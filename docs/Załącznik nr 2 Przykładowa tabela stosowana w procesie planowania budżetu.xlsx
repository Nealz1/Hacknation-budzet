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pivotTables/pivotTable12.xml" ContentType="application/vnd.openxmlformats-officedocument.spreadsheetml.pivotTable+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en_skoroszyt" defaultThemeVersion="202300"/>
  <mc:AlternateContent xmlns:mc="http://schemas.openxmlformats.org/markup-compatibility/2006">
    <mc:Choice Requires="x15">
      <x15ac:absPath xmlns:x15ac="http://schemas.microsoft.com/office/spreadsheetml/2010/11/ac" url="H:\Hackathon\1.12.2025\"/>
    </mc:Choice>
  </mc:AlternateContent>
  <xr:revisionPtr revIDLastSave="0" documentId="13_ncr:1_{DA877EFB-D57C-428A-A056-051A5623BB10}" xr6:coauthVersionLast="47" xr6:coauthVersionMax="47" xr10:uidLastSave="{00000000-0000-0000-0000-000000000000}"/>
  <bookViews>
    <workbookView xWindow="-108" yWindow="-108" windowWidth="41496" windowHeight="16776" firstSheet="6" activeTab="7" xr2:uid="{23F3227E-1435-4834-B9FC-A14E1D02FBC1}"/>
  </bookViews>
  <sheets>
    <sheet name="6060 pogrupowane na zadania" sheetId="9" state="hidden" r:id="rId1"/>
    <sheet name="dotacje majątkowe" sheetId="10" state="hidden" r:id="rId2"/>
    <sheet name="OPBW wynagr_JS" sheetId="11" state="hidden" r:id="rId3"/>
    <sheet name="Analiza 01.10.2024" sheetId="12" state="hidden" r:id="rId4"/>
    <sheet name="obligatoryjne" sheetId="28" state="hidden" r:id="rId5"/>
    <sheet name="wynagr. wynikajace z OSR" sheetId="21" state="hidden" r:id="rId6"/>
    <sheet name="planowanie na lata 2026-2029" sheetId="31" r:id="rId7"/>
    <sheet name="informacje szczegółowe" sheetId="41" r:id="rId8"/>
    <sheet name="podział limitów" sheetId="1" state="hidden" r:id="rId9"/>
  </sheets>
  <externalReferences>
    <externalReference r:id="rId10"/>
    <externalReference r:id="rId11"/>
  </externalReferences>
  <definedNames>
    <definedName name="_xlnm._FilterDatabase" localSheetId="0" hidden="1">'6060 pogrupowane na zadania'!$X$1:$X$73</definedName>
    <definedName name="_xlnm._FilterDatabase" localSheetId="6" hidden="1">'planowanie na lata 2026-2029'!$A$3:$AM$29</definedName>
    <definedName name="_xlnm._FilterDatabase" localSheetId="8" hidden="1">'podział limitów'!$A$1:$AA$861</definedName>
    <definedName name="_xlnm._FilterDatabase" localSheetId="5" hidden="1">'wynagr. wynikajace z OSR'!$A$2:$AA$45</definedName>
    <definedName name="_Hlk194915201" localSheetId="6">'planowanie na lata 2026-2029'!#REF!</definedName>
    <definedName name="_Hlk194915201" localSheetId="5">'wynagr. wynikajace z OSR'!#REF!</definedName>
    <definedName name="_xlnm.Database">#REF!</definedName>
    <definedName name="kod_BZ">'[1]dane '!$A$36:$A$39</definedName>
    <definedName name="Koszty">[2]KATEGORIE!$A$2:$A$3</definedName>
    <definedName name="_xlnm.Print_Area" localSheetId="7">'informacje szczegółowe'!$A$1:$C$29</definedName>
    <definedName name="_xlnm.Print_Area" localSheetId="6">'planowanie na lata 2026-2029'!$A$1:$AM$29</definedName>
    <definedName name="_xlnm.Print_Area" localSheetId="5">'wynagr. wynikajace z OSR'!$A$1:$X$46</definedName>
    <definedName name="RodzajWydatku">[2]KATEGORIE!$B$2:$B$3</definedName>
    <definedName name="_xlnm.Print_Titles" localSheetId="6">'planowanie na lata 2026-2029'!$3:$3</definedName>
    <definedName name="_xlnm.Print_Titles" localSheetId="5">'wynagr. wynikajace z OSR'!$2:$2</definedName>
  </definedNames>
  <calcPr calcId="191029"/>
  <pivotCaches>
    <pivotCache cacheId="0" r:id="rId12"/>
    <pivotCache cacheId="1" r:id="rId13"/>
    <pivotCache cacheId="2" r:id="rId14"/>
    <pivotCache cacheId="3" r:id="rId1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H5" i="31" l="1"/>
  <c r="X5" i="31"/>
  <c r="S5" i="31"/>
  <c r="AC5" i="31"/>
  <c r="Y27" i="31"/>
  <c r="Y24" i="31"/>
  <c r="Y21" i="31"/>
  <c r="Y18" i="31"/>
  <c r="Y13" i="31"/>
  <c r="Y9" i="31"/>
  <c r="X7" i="31"/>
  <c r="X6" i="31"/>
  <c r="S12" i="31"/>
  <c r="S11" i="31"/>
  <c r="S10" i="31"/>
  <c r="S8" i="31"/>
  <c r="S7" i="31"/>
  <c r="S6" i="31"/>
  <c r="Y29" i="31" l="1"/>
  <c r="S9" i="31"/>
  <c r="T27" i="31"/>
  <c r="R27" i="31"/>
  <c r="V27" i="31"/>
  <c r="W27" i="31"/>
  <c r="AA27" i="31"/>
  <c r="AD27" i="31"/>
  <c r="AB27" i="31"/>
  <c r="AF27" i="31"/>
  <c r="AI27" i="31"/>
  <c r="AG27" i="31"/>
  <c r="Q27" i="31"/>
  <c r="T24" i="31"/>
  <c r="R24" i="31"/>
  <c r="V24" i="31"/>
  <c r="W24" i="31"/>
  <c r="AA24" i="31"/>
  <c r="AD24" i="31"/>
  <c r="AB24" i="31"/>
  <c r="AF24" i="31"/>
  <c r="AI24" i="31"/>
  <c r="AG24" i="31"/>
  <c r="Q24" i="31"/>
  <c r="T21" i="31"/>
  <c r="R21" i="31"/>
  <c r="V21" i="31"/>
  <c r="W21" i="31"/>
  <c r="AA21" i="31"/>
  <c r="AD21" i="31"/>
  <c r="AB21" i="31"/>
  <c r="AF21" i="31"/>
  <c r="AI21" i="31"/>
  <c r="AG21" i="31"/>
  <c r="Q21" i="31"/>
  <c r="T18" i="31"/>
  <c r="R18" i="31"/>
  <c r="V18" i="31"/>
  <c r="W18" i="31"/>
  <c r="AA18" i="31"/>
  <c r="AD18" i="31"/>
  <c r="AB18" i="31"/>
  <c r="AF18" i="31"/>
  <c r="AI18" i="31"/>
  <c r="AG18" i="31"/>
  <c r="Q18" i="31"/>
  <c r="T13" i="31"/>
  <c r="R13" i="31"/>
  <c r="V13" i="31"/>
  <c r="W13" i="31"/>
  <c r="AA13" i="31"/>
  <c r="AD13" i="31"/>
  <c r="AB13" i="31"/>
  <c r="AF13" i="31"/>
  <c r="AI13" i="31"/>
  <c r="AG13" i="31"/>
  <c r="Q13" i="31"/>
  <c r="T9" i="31"/>
  <c r="R9" i="31"/>
  <c r="V9" i="31"/>
  <c r="W9" i="31"/>
  <c r="AA9" i="31"/>
  <c r="AD9" i="31"/>
  <c r="AB9" i="31"/>
  <c r="AF9" i="31"/>
  <c r="AI9" i="31"/>
  <c r="AG9" i="31"/>
  <c r="Q9" i="31"/>
  <c r="AH26" i="31" l="1"/>
  <c r="AH25" i="31"/>
  <c r="AH23" i="31"/>
  <c r="AH22" i="31"/>
  <c r="AH20" i="31"/>
  <c r="AH19" i="31"/>
  <c r="AH17" i="31"/>
  <c r="AH16" i="31"/>
  <c r="AH15" i="31"/>
  <c r="AH14" i="31"/>
  <c r="AH11" i="31"/>
  <c r="AH12" i="31"/>
  <c r="AH10" i="31"/>
  <c r="AH8" i="31"/>
  <c r="AH7" i="31"/>
  <c r="AH6" i="31"/>
  <c r="AC26" i="31"/>
  <c r="AC25" i="31"/>
  <c r="AC23" i="31"/>
  <c r="AC22" i="31"/>
  <c r="AC20" i="31"/>
  <c r="AC19" i="31"/>
  <c r="AC17" i="31"/>
  <c r="AC16" i="31"/>
  <c r="AC15" i="31"/>
  <c r="AC14" i="31"/>
  <c r="AC11" i="31"/>
  <c r="AC12" i="31"/>
  <c r="AC10" i="31"/>
  <c r="AC8" i="31"/>
  <c r="AC7" i="31"/>
  <c r="AC6" i="31"/>
  <c r="X26" i="31"/>
  <c r="X25" i="31"/>
  <c r="X27" i="31" s="1"/>
  <c r="X23" i="31"/>
  <c r="X22" i="31"/>
  <c r="X20" i="31"/>
  <c r="X19" i="31"/>
  <c r="X17" i="31"/>
  <c r="X16" i="31"/>
  <c r="X15" i="31"/>
  <c r="X14" i="31"/>
  <c r="X11" i="31"/>
  <c r="X12" i="31"/>
  <c r="X10" i="31"/>
  <c r="X8" i="31"/>
  <c r="S26" i="31"/>
  <c r="S25" i="31"/>
  <c r="S23" i="31"/>
  <c r="S22" i="31"/>
  <c r="S20" i="31"/>
  <c r="S19" i="31"/>
  <c r="S17" i="31"/>
  <c r="S16" i="31"/>
  <c r="S15" i="31"/>
  <c r="S14" i="31"/>
  <c r="S24" i="31" l="1"/>
  <c r="S27" i="31"/>
  <c r="AH21" i="31"/>
  <c r="X13" i="31"/>
  <c r="AC21" i="31"/>
  <c r="AC9" i="31"/>
  <c r="S21" i="31"/>
  <c r="AC13" i="31"/>
  <c r="AH9" i="31"/>
  <c r="X21" i="31"/>
  <c r="S13" i="31"/>
  <c r="AC24" i="31"/>
  <c r="AC27" i="31"/>
  <c r="AH24" i="31"/>
  <c r="AH27" i="31"/>
  <c r="AH18" i="31"/>
  <c r="X9" i="31"/>
  <c r="AC18" i="31"/>
  <c r="X18" i="31"/>
  <c r="X24" i="31"/>
  <c r="S18" i="31"/>
  <c r="AH13" i="31"/>
  <c r="P46" i="21" l="1"/>
  <c r="Q46" i="21"/>
  <c r="R46" i="21"/>
  <c r="O46" i="21"/>
  <c r="S46" i="21"/>
  <c r="L45" i="21"/>
  <c r="I45" i="21"/>
  <c r="L44" i="21"/>
  <c r="I44" i="21"/>
  <c r="L43" i="21"/>
  <c r="I43" i="21"/>
  <c r="L42" i="21"/>
  <c r="I42" i="21"/>
  <c r="L41" i="21"/>
  <c r="I41" i="21"/>
  <c r="L40" i="21"/>
  <c r="I40" i="21"/>
  <c r="L39" i="21"/>
  <c r="I39" i="21"/>
  <c r="L38" i="21"/>
  <c r="I38" i="21"/>
  <c r="L37" i="21"/>
  <c r="I37" i="21"/>
  <c r="L36" i="21"/>
  <c r="I36" i="21"/>
  <c r="L35" i="21"/>
  <c r="I35" i="21"/>
  <c r="L34" i="21"/>
  <c r="I34" i="21"/>
  <c r="L33" i="21"/>
  <c r="I33" i="21"/>
  <c r="L32" i="21"/>
  <c r="I32" i="21"/>
  <c r="L31" i="21"/>
  <c r="I31" i="21"/>
  <c r="L30" i="21"/>
  <c r="I30" i="21"/>
  <c r="L29" i="21"/>
  <c r="I29" i="21"/>
  <c r="L28" i="21"/>
  <c r="I28" i="21"/>
  <c r="L27" i="21"/>
  <c r="I27" i="21"/>
  <c r="L26" i="21"/>
  <c r="I26" i="21"/>
  <c r="L25" i="21"/>
  <c r="I25" i="21"/>
  <c r="L24" i="21"/>
  <c r="I24" i="21"/>
  <c r="L23" i="21"/>
  <c r="I23" i="21"/>
  <c r="L22" i="21"/>
  <c r="I22" i="21"/>
  <c r="L21" i="21"/>
  <c r="I21" i="21"/>
  <c r="L20" i="21"/>
  <c r="I20" i="21"/>
  <c r="L19" i="21"/>
  <c r="I19" i="21"/>
  <c r="L18" i="21"/>
  <c r="I18" i="21"/>
  <c r="L17" i="21"/>
  <c r="I17" i="21"/>
  <c r="L16" i="21"/>
  <c r="I16" i="21"/>
  <c r="L15" i="21"/>
  <c r="I15" i="21"/>
  <c r="L14" i="21"/>
  <c r="I14" i="21"/>
  <c r="L13" i="21"/>
  <c r="I13" i="21"/>
  <c r="L12" i="21"/>
  <c r="I12" i="21"/>
  <c r="L11" i="21"/>
  <c r="I11" i="21"/>
  <c r="L10" i="21"/>
  <c r="I10" i="21"/>
  <c r="L9" i="21"/>
  <c r="J9" i="21"/>
  <c r="I9" i="21"/>
  <c r="L8" i="21"/>
  <c r="I8" i="21"/>
  <c r="L7" i="21"/>
  <c r="I7" i="21"/>
  <c r="L6" i="21"/>
  <c r="I6" i="21"/>
  <c r="L5" i="21"/>
  <c r="I5" i="21"/>
  <c r="L4" i="21"/>
  <c r="I4" i="21"/>
  <c r="L3" i="21"/>
  <c r="J3" i="21"/>
  <c r="I3" i="21"/>
  <c r="M29" i="12" l="1"/>
  <c r="O31" i="12" s="1"/>
  <c r="O30" i="12"/>
  <c r="M37" i="12"/>
  <c r="O38" i="12" s="1"/>
  <c r="T30" i="12"/>
  <c r="V31" i="12" s="1"/>
  <c r="O39" i="12" l="1"/>
  <c r="V32" i="12"/>
  <c r="G910" i="1" l="1"/>
  <c r="Q860" i="1" s="1"/>
  <c r="F910" i="1"/>
  <c r="P860" i="1" s="1"/>
  <c r="E910" i="1"/>
  <c r="D910" i="1"/>
  <c r="N860" i="1" s="1"/>
  <c r="O860" i="1"/>
  <c r="D909" i="1"/>
  <c r="R858" i="1"/>
  <c r="Q858" i="1"/>
  <c r="Y856" i="1"/>
  <c r="Y855" i="1"/>
  <c r="Y854" i="1"/>
  <c r="Y853" i="1"/>
  <c r="Y852" i="1"/>
  <c r="Y851" i="1"/>
  <c r="Y850" i="1"/>
  <c r="Y849" i="1"/>
  <c r="Y848" i="1"/>
  <c r="Y841" i="1"/>
  <c r="Y840" i="1"/>
  <c r="Y839" i="1"/>
  <c r="Y838" i="1"/>
  <c r="Y837" i="1"/>
  <c r="Y836" i="1"/>
  <c r="Y834" i="1"/>
  <c r="Y828" i="1"/>
  <c r="Y793" i="1"/>
  <c r="Y792" i="1"/>
  <c r="Y791" i="1"/>
  <c r="Y790" i="1"/>
  <c r="Y789" i="1"/>
  <c r="Y788" i="1"/>
  <c r="Y787" i="1"/>
  <c r="Y786" i="1"/>
  <c r="Y785" i="1"/>
  <c r="Y784" i="1"/>
  <c r="Y783" i="1"/>
  <c r="Y782" i="1"/>
  <c r="Y781" i="1"/>
  <c r="Y780" i="1"/>
  <c r="Y779" i="1"/>
  <c r="Y778" i="1"/>
  <c r="Y777" i="1"/>
  <c r="Y776" i="1"/>
  <c r="Y775" i="1"/>
  <c r="Y774" i="1"/>
  <c r="Y773" i="1"/>
  <c r="Y772" i="1"/>
  <c r="Y771" i="1"/>
  <c r="Y770" i="1"/>
  <c r="Y769" i="1"/>
  <c r="Y768" i="1"/>
  <c r="Y767" i="1"/>
  <c r="Y766" i="1"/>
  <c r="Y765" i="1"/>
  <c r="Y764" i="1"/>
  <c r="Y763" i="1"/>
  <c r="Y762" i="1"/>
  <c r="Y761" i="1"/>
  <c r="Y760" i="1"/>
  <c r="Y759" i="1"/>
  <c r="Y758" i="1"/>
  <c r="Y757" i="1"/>
  <c r="Y756" i="1"/>
  <c r="Y755" i="1"/>
  <c r="Y754" i="1"/>
  <c r="Y753" i="1"/>
  <c r="Y752" i="1"/>
  <c r="Y751" i="1"/>
  <c r="Y750" i="1"/>
  <c r="Y749" i="1"/>
  <c r="Y748" i="1"/>
  <c r="Y747" i="1"/>
  <c r="Y746" i="1"/>
  <c r="Y745" i="1"/>
  <c r="Y744" i="1"/>
  <c r="Y743" i="1"/>
  <c r="Y742" i="1"/>
  <c r="P742" i="1"/>
  <c r="Y741" i="1"/>
  <c r="Y740" i="1"/>
  <c r="Y739" i="1"/>
  <c r="Y738" i="1"/>
  <c r="P738" i="1"/>
  <c r="Y737" i="1"/>
  <c r="Y736" i="1"/>
  <c r="Y735" i="1"/>
  <c r="Y734" i="1"/>
  <c r="Y733" i="1"/>
  <c r="Y732" i="1"/>
  <c r="Y731" i="1"/>
  <c r="Y730" i="1"/>
  <c r="Y729" i="1"/>
  <c r="Y728" i="1"/>
  <c r="Y727" i="1"/>
  <c r="Y726" i="1"/>
  <c r="Y725" i="1"/>
  <c r="Y724" i="1"/>
  <c r="Y723" i="1"/>
  <c r="Y722" i="1"/>
  <c r="Y721" i="1"/>
  <c r="Y720" i="1"/>
  <c r="Y719" i="1"/>
  <c r="Y718" i="1"/>
  <c r="Y717" i="1"/>
  <c r="Y716" i="1"/>
  <c r="Y715" i="1"/>
  <c r="Y714" i="1"/>
  <c r="Y713" i="1"/>
  <c r="Y712" i="1"/>
  <c r="Y711" i="1"/>
  <c r="Y710" i="1"/>
  <c r="Y709" i="1"/>
  <c r="Y708" i="1"/>
  <c r="Y707" i="1"/>
  <c r="Y706" i="1"/>
  <c r="Y705" i="1"/>
  <c r="Y704" i="1"/>
  <c r="Y703" i="1"/>
  <c r="Y702" i="1"/>
  <c r="Y701" i="1"/>
  <c r="Y700" i="1"/>
  <c r="Y699" i="1"/>
  <c r="Y698" i="1"/>
  <c r="Y697" i="1"/>
  <c r="Y696" i="1"/>
  <c r="Y695" i="1"/>
  <c r="Y694" i="1"/>
  <c r="Y693" i="1"/>
  <c r="Y692" i="1"/>
  <c r="Y691" i="1"/>
  <c r="Y690" i="1"/>
  <c r="Y689" i="1"/>
  <c r="Y688" i="1"/>
  <c r="Y687" i="1"/>
  <c r="Y686" i="1"/>
  <c r="Y685" i="1"/>
  <c r="Y684" i="1"/>
  <c r="Y683" i="1"/>
  <c r="Y682" i="1"/>
  <c r="Y681" i="1"/>
  <c r="Y680" i="1"/>
  <c r="Y679" i="1"/>
  <c r="Y678" i="1"/>
  <c r="Y677" i="1"/>
  <c r="Y676" i="1"/>
  <c r="Y675" i="1"/>
  <c r="Y674" i="1"/>
  <c r="Y673" i="1"/>
  <c r="Y672" i="1"/>
  <c r="Y671" i="1"/>
  <c r="Y670" i="1"/>
  <c r="Y669" i="1"/>
  <c r="Y668" i="1"/>
  <c r="Y667" i="1"/>
  <c r="Y666" i="1"/>
  <c r="Y665" i="1"/>
  <c r="Y664" i="1"/>
  <c r="Y663" i="1"/>
  <c r="Y662" i="1"/>
  <c r="Y661" i="1"/>
  <c r="Y660" i="1"/>
  <c r="Y659" i="1"/>
  <c r="Y658" i="1"/>
  <c r="Y657" i="1"/>
  <c r="Y656" i="1"/>
  <c r="Y655" i="1"/>
  <c r="Y654" i="1"/>
  <c r="Y653" i="1"/>
  <c r="Y652" i="1"/>
  <c r="Y651" i="1"/>
  <c r="Y650" i="1"/>
  <c r="Y649" i="1"/>
  <c r="Y648" i="1"/>
  <c r="Y647" i="1"/>
  <c r="Y646" i="1"/>
  <c r="Y645" i="1"/>
  <c r="Y644" i="1"/>
  <c r="Y643" i="1"/>
  <c r="Y642" i="1"/>
  <c r="Y641" i="1"/>
  <c r="Y640" i="1"/>
  <c r="Y639" i="1"/>
  <c r="Y638" i="1"/>
  <c r="Y637" i="1"/>
  <c r="Y636" i="1"/>
  <c r="Y635" i="1"/>
  <c r="Y634" i="1"/>
  <c r="Y633" i="1"/>
  <c r="Y632" i="1"/>
  <c r="Y631" i="1"/>
  <c r="Y630" i="1"/>
  <c r="Y629" i="1"/>
  <c r="Y628" i="1"/>
  <c r="Y627" i="1"/>
  <c r="Y626" i="1"/>
  <c r="Y625" i="1"/>
  <c r="Y624" i="1"/>
  <c r="Y623" i="1"/>
  <c r="Y622" i="1"/>
  <c r="Y621" i="1"/>
  <c r="Y620" i="1"/>
  <c r="Y619" i="1"/>
  <c r="Y618" i="1"/>
  <c r="Y617" i="1"/>
  <c r="Y616" i="1"/>
  <c r="Y615" i="1"/>
  <c r="Y614" i="1"/>
  <c r="Y613" i="1"/>
  <c r="Y612" i="1"/>
  <c r="Y611" i="1"/>
  <c r="Y610" i="1"/>
  <c r="Y609" i="1"/>
  <c r="Y608" i="1"/>
  <c r="Y607" i="1"/>
  <c r="Y606" i="1"/>
  <c r="Y605" i="1"/>
  <c r="Y604" i="1"/>
  <c r="Y603" i="1"/>
  <c r="Y602" i="1"/>
  <c r="Y601" i="1"/>
  <c r="Y600" i="1"/>
  <c r="Y599" i="1"/>
  <c r="Y598" i="1"/>
  <c r="Y597" i="1"/>
  <c r="Y596" i="1"/>
  <c r="Y595" i="1"/>
  <c r="Y594" i="1"/>
  <c r="Y593" i="1"/>
  <c r="Y592" i="1"/>
  <c r="Y591" i="1"/>
  <c r="Y590" i="1"/>
  <c r="Y589" i="1"/>
  <c r="Y588" i="1"/>
  <c r="Y587" i="1"/>
  <c r="Y586" i="1"/>
  <c r="Y585" i="1"/>
  <c r="Y584" i="1"/>
  <c r="Y583" i="1"/>
  <c r="Y582" i="1"/>
  <c r="Y581" i="1"/>
  <c r="Y580" i="1"/>
  <c r="Y579" i="1"/>
  <c r="Y578" i="1"/>
  <c r="Y577" i="1"/>
  <c r="Y576" i="1"/>
  <c r="Y575" i="1"/>
  <c r="Y574" i="1"/>
  <c r="Y573" i="1"/>
  <c r="Y572" i="1"/>
  <c r="Y571" i="1"/>
  <c r="Y570" i="1"/>
  <c r="Y569" i="1"/>
  <c r="Y568" i="1"/>
  <c r="Y567" i="1"/>
  <c r="Y566" i="1"/>
  <c r="Y565" i="1"/>
  <c r="Y564" i="1"/>
  <c r="Y563" i="1"/>
  <c r="Y562" i="1"/>
  <c r="Y561" i="1"/>
  <c r="Y560" i="1"/>
  <c r="Y559" i="1"/>
  <c r="Y558" i="1"/>
  <c r="Y557" i="1"/>
  <c r="Y556" i="1"/>
  <c r="Y555" i="1"/>
  <c r="Y554" i="1"/>
  <c r="Y553" i="1"/>
  <c r="Y552" i="1"/>
  <c r="Y551" i="1"/>
  <c r="Y550" i="1"/>
  <c r="Y549" i="1"/>
  <c r="Y548" i="1"/>
  <c r="Y547" i="1"/>
  <c r="Y546" i="1"/>
  <c r="Y545" i="1"/>
  <c r="Y544" i="1"/>
  <c r="Y543" i="1"/>
  <c r="Y542" i="1"/>
  <c r="Y541" i="1"/>
  <c r="Y540" i="1"/>
  <c r="Y539" i="1"/>
  <c r="Y538" i="1"/>
  <c r="Y537" i="1"/>
  <c r="Y536" i="1"/>
  <c r="Y535" i="1"/>
  <c r="Y534" i="1"/>
  <c r="Y533" i="1"/>
  <c r="Y532" i="1"/>
  <c r="Y531" i="1"/>
  <c r="Y530" i="1"/>
  <c r="Y529" i="1"/>
  <c r="Y528" i="1"/>
  <c r="Y527" i="1"/>
  <c r="Y526" i="1"/>
  <c r="Y525" i="1"/>
  <c r="Y524" i="1"/>
  <c r="Y523" i="1"/>
  <c r="Y522" i="1"/>
  <c r="Y521" i="1"/>
  <c r="Y520" i="1"/>
  <c r="Y519" i="1"/>
  <c r="Y518" i="1"/>
  <c r="Y517" i="1"/>
  <c r="Y516" i="1"/>
  <c r="Y515" i="1"/>
  <c r="Y514" i="1"/>
  <c r="Y513" i="1"/>
  <c r="Y512" i="1"/>
  <c r="Y511" i="1"/>
  <c r="Y510" i="1"/>
  <c r="Y509" i="1"/>
  <c r="Y508" i="1"/>
  <c r="Y507" i="1"/>
  <c r="Y506" i="1"/>
  <c r="Y505" i="1"/>
  <c r="Y504" i="1"/>
  <c r="Y503" i="1"/>
  <c r="Y502" i="1"/>
  <c r="Y501" i="1"/>
  <c r="Y500" i="1"/>
  <c r="Y499" i="1"/>
  <c r="Y498" i="1"/>
  <c r="Y497" i="1"/>
  <c r="Y496" i="1"/>
  <c r="Y495" i="1"/>
  <c r="Y494" i="1"/>
  <c r="Y493" i="1"/>
  <c r="Y492" i="1"/>
  <c r="Y491" i="1"/>
  <c r="Y490" i="1"/>
  <c r="Y489" i="1"/>
  <c r="Y488" i="1"/>
  <c r="Y487" i="1"/>
  <c r="Y486" i="1"/>
  <c r="Y485" i="1"/>
  <c r="Y484" i="1"/>
  <c r="Y483" i="1"/>
  <c r="Y482" i="1"/>
  <c r="Y481" i="1"/>
  <c r="Y480" i="1"/>
  <c r="Y479" i="1"/>
  <c r="Y478" i="1"/>
  <c r="Y477" i="1"/>
  <c r="Y476" i="1"/>
  <c r="Y475" i="1"/>
  <c r="Y474" i="1"/>
  <c r="Y473" i="1"/>
  <c r="Y472" i="1"/>
  <c r="Y471" i="1"/>
  <c r="Y470" i="1"/>
  <c r="Y469" i="1"/>
  <c r="Y468" i="1"/>
  <c r="Y467" i="1"/>
  <c r="Y466" i="1"/>
  <c r="Y465" i="1"/>
  <c r="Y464" i="1"/>
  <c r="Y463" i="1"/>
  <c r="Y462" i="1"/>
  <c r="Y461" i="1"/>
  <c r="Y460" i="1"/>
  <c r="Y459" i="1"/>
  <c r="Y458" i="1"/>
  <c r="Y457" i="1"/>
  <c r="Y456" i="1"/>
  <c r="Y455" i="1"/>
  <c r="Y454" i="1"/>
  <c r="Y453" i="1"/>
  <c r="Y452" i="1"/>
  <c r="Y451" i="1"/>
  <c r="Y450" i="1"/>
  <c r="Y449" i="1"/>
  <c r="Y448" i="1"/>
  <c r="Y447" i="1"/>
  <c r="Y446" i="1"/>
  <c r="Y445" i="1"/>
  <c r="Y444" i="1"/>
  <c r="Y443" i="1"/>
  <c r="Y442" i="1"/>
  <c r="Y441" i="1"/>
  <c r="Y440" i="1"/>
  <c r="Y439" i="1"/>
  <c r="Y438" i="1"/>
  <c r="Y437" i="1"/>
  <c r="Y436" i="1"/>
  <c r="Y435" i="1"/>
  <c r="Y434" i="1"/>
  <c r="Y433" i="1"/>
  <c r="Y432" i="1"/>
  <c r="Y431" i="1"/>
  <c r="Y430" i="1"/>
  <c r="Y429" i="1"/>
  <c r="Y428" i="1"/>
  <c r="Y427" i="1"/>
  <c r="Y426" i="1"/>
  <c r="Y409" i="1"/>
  <c r="Y408" i="1"/>
  <c r="Y407" i="1"/>
  <c r="Y406" i="1"/>
  <c r="Y405" i="1"/>
  <c r="Y404" i="1"/>
  <c r="Y403" i="1"/>
  <c r="Y402" i="1"/>
  <c r="Y401" i="1"/>
  <c r="Y400" i="1"/>
  <c r="Y399" i="1"/>
  <c r="Y398" i="1"/>
  <c r="Y397" i="1"/>
  <c r="Y396" i="1"/>
  <c r="Y395" i="1"/>
  <c r="Y394" i="1"/>
  <c r="Y393" i="1"/>
  <c r="Y392" i="1"/>
  <c r="Y391" i="1"/>
  <c r="Y390" i="1"/>
  <c r="Y389" i="1"/>
  <c r="Y388" i="1"/>
  <c r="Y387" i="1"/>
  <c r="Y386" i="1"/>
  <c r="Y385" i="1"/>
  <c r="Y384" i="1"/>
  <c r="Y383" i="1"/>
  <c r="Y382" i="1"/>
  <c r="Y381" i="1"/>
  <c r="Y380" i="1"/>
  <c r="N288" i="1"/>
  <c r="R273" i="1"/>
  <c r="Q273" i="1"/>
  <c r="P273" i="1"/>
  <c r="O273" i="1"/>
  <c r="N273" i="1"/>
  <c r="N240" i="1"/>
  <c r="N239" i="1"/>
  <c r="P228" i="1"/>
  <c r="O228" i="1"/>
  <c r="N228" i="1"/>
  <c r="Y218" i="1"/>
  <c r="Y217" i="1"/>
  <c r="Y216" i="1"/>
  <c r="Y215" i="1"/>
  <c r="Y214" i="1"/>
  <c r="Y213" i="1"/>
  <c r="Y212" i="1"/>
  <c r="Y211" i="1"/>
  <c r="Y210" i="1"/>
  <c r="Y209" i="1"/>
  <c r="Y208" i="1"/>
  <c r="Y207" i="1"/>
  <c r="Y206" i="1"/>
  <c r="Y205" i="1"/>
  <c r="Y204" i="1"/>
  <c r="Y203" i="1"/>
  <c r="Y202" i="1"/>
  <c r="Y201" i="1"/>
  <c r="Y200" i="1"/>
  <c r="Y199" i="1"/>
  <c r="Y198" i="1"/>
  <c r="Y197" i="1"/>
  <c r="Y196" i="1"/>
  <c r="Y195" i="1"/>
  <c r="Y194" i="1"/>
  <c r="Y193" i="1"/>
  <c r="Y192" i="1"/>
  <c r="Y191" i="1"/>
  <c r="Y190" i="1"/>
  <c r="Y189" i="1"/>
  <c r="Y188" i="1"/>
  <c r="Y187" i="1"/>
  <c r="Y186" i="1"/>
  <c r="Y185" i="1"/>
  <c r="Y184" i="1"/>
  <c r="Y183" i="1"/>
  <c r="Y182" i="1"/>
  <c r="Y181" i="1"/>
  <c r="Y180" i="1"/>
  <c r="Y179" i="1"/>
  <c r="Y178" i="1"/>
  <c r="Y177" i="1"/>
  <c r="Y176" i="1"/>
  <c r="Y175" i="1"/>
  <c r="Y174" i="1"/>
  <c r="Y173" i="1"/>
  <c r="Y172" i="1"/>
  <c r="Y171" i="1"/>
  <c r="Y170" i="1"/>
  <c r="Y169" i="1"/>
  <c r="Y168" i="1"/>
  <c r="Y167" i="1"/>
  <c r="Y166" i="1"/>
  <c r="Y165" i="1"/>
  <c r="Y164" i="1"/>
  <c r="Y163" i="1"/>
  <c r="N156" i="1"/>
  <c r="Q110" i="1"/>
  <c r="Q859" i="1" s="1"/>
  <c r="P110" i="1"/>
  <c r="P858" i="1" s="1"/>
  <c r="O110" i="1"/>
  <c r="O858" i="1" s="1"/>
  <c r="N110" i="1"/>
  <c r="N858" i="1" s="1"/>
  <c r="G912" i="1"/>
  <c r="M887" i="1"/>
  <c r="F912" i="1"/>
  <c r="P861" i="1" l="1"/>
  <c r="N861" i="1"/>
  <c r="Q861" i="1"/>
  <c r="N859" i="1"/>
  <c r="O859" i="1"/>
  <c r="O861" i="1" s="1"/>
  <c r="P859" i="1"/>
  <c r="E912" i="1"/>
  <c r="D912" i="1"/>
  <c r="AF29" i="31"/>
  <c r="W29" i="31"/>
  <c r="AC29" i="31"/>
  <c r="S29" i="31"/>
  <c r="AH29" i="31"/>
  <c r="AA29" i="31"/>
  <c r="AI29" i="31"/>
  <c r="R29" i="31"/>
  <c r="T29" i="31"/>
  <c r="AB29" i="31"/>
  <c r="X29" i="31"/>
  <c r="Q29" i="31"/>
  <c r="AG29" i="31"/>
  <c r="V29" i="31"/>
  <c r="AD29" i="3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tc={52B7F8B4-F139-4E9D-AA58-D0C2204DE7B9}</author>
  </authors>
  <commentList>
    <comment ref="D3" authorId="0" shapeId="0" xr:uid="{52B7F8B4-F139-4E9D-AA58-D0C2204DE7B9}">
      <text>
        <t>[Komentarz podzielony na wątki]
Używana wersja programu Excel umożliwia odczytanie tego komentarza podzielonego na wątki, jednak wszelkie wprowadzone w nim zmiany zostaną usunięte po otwarciu pliku w nowszej wersji programu Excel. Dowiedz się więcej: https://go.microsoft.com/fwlink/?linkid=870924
Komentarz:
    Brak paragrafu - wydatki zagregowane dot. wynagrodzeń osobowych (brutto-brutto)</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tc={C591BCDE-F328-4600-A246-FEB38E8AFA86}</author>
    <author>tc={BB4F986D-78A3-4DA8-B102-09B0B1265B7F}</author>
    <author>tc={9DD5733E-A9C5-4F47-AC74-9348B9A3BBD8}</author>
    <author>tc={55D5519C-CCC7-4473-9760-BBB5657533A2}</author>
    <author>tc={24E62770-77D8-4338-BF58-C2593C551F43}</author>
    <author>tc={478CD403-4A7F-4216-9E59-15FF3D54103F}</author>
    <author>tc={7D142580-42A0-4ABF-AADD-4E53F304E969}</author>
    <author>tc={B0EB8398-D014-4555-9E4F-980F0F93049E}</author>
    <author>tc={FAF7A795-ED54-41B1-B6FE-8E2EC8BAB178}</author>
    <author>tc={30F982A2-ACF7-430B-91A3-5EE031A3E38E}</author>
  </authors>
  <commentList>
    <comment ref="N113" authorId="0" shapeId="0" xr:uid="{C591BCDE-F328-4600-A246-FEB38E8AFA86}">
      <text>
        <t>[Komentarz podzielony na wątki]
Używana wersja programu Excel umożliwia odczytanie tego komentarza podzielonego na wątki, jednak wszelkie wprowadzone w nim zmiany zostaną usunięte po otwarciu pliku w nowszej wersji programu Excel. Dowiedz się więcej: https://go.microsoft.com/fwlink/?linkid=870924
Komentarz:
    Zwiększenie odpisu na 2025 r.</t>
      </text>
    </comment>
    <comment ref="O113" authorId="1" shapeId="0" xr:uid="{BB4F986D-78A3-4DA8-B102-09B0B1265B7F}">
      <text>
        <t>[Komentarz podzielony na wątki]
Używana wersja programu Excel umożliwia odczytanie tego komentarza podzielonego na wątki, jednak wszelkie wprowadzone w nim zmiany zostaną usunięte po otwarciu pliku w nowszej wersji programu Excel. Dowiedz się więcej: https://go.microsoft.com/fwlink/?linkid=870924
Komentarz:
    Zwiększenie odpisu na 2025 r.</t>
      </text>
    </comment>
    <comment ref="P113" authorId="2" shapeId="0" xr:uid="{9DD5733E-A9C5-4F47-AC74-9348B9A3BBD8}">
      <text>
        <t>[Komentarz podzielony na wątki]
Używana wersja programu Excel umożliwia odczytanie tego komentarza podzielonego na wątki, jednak wszelkie wprowadzone w nim zmiany zostaną usunięte po otwarciu pliku w nowszej wersji programu Excel. Dowiedz się więcej: https://go.microsoft.com/fwlink/?linkid=870924
Komentarz:
    Zwiększenie odpisu na 2025 r.</t>
      </text>
    </comment>
    <comment ref="Q113" authorId="3" shapeId="0" xr:uid="{55D5519C-CCC7-4473-9760-BBB5657533A2}">
      <text>
        <t>[Komentarz podzielony na wątki]
Używana wersja programu Excel umożliwia odczytanie tego komentarza podzielonego na wątki, jednak wszelkie wprowadzone w nim zmiany zostaną usunięte po otwarciu pliku w nowszej wersji programu Excel. Dowiedz się więcej: https://go.microsoft.com/fwlink/?linkid=870924
Komentarz:
    Zwiększenie odpisu na 2025 r.</t>
      </text>
    </comment>
    <comment ref="H820" authorId="4" shapeId="0" xr:uid="{24E62770-77D8-4338-BF58-C2593C551F43}">
      <text>
        <t>[Komentarz podzielony na wątki]
Używana wersja programu Excel umożliwia odczytanie tego komentarza podzielonego na wątki, jednak wszelkie wprowadzone w nim zmiany zostaną usunięte po otwarciu pliku w nowszej wersji programu Excel. Dowiedz się więcej: https://go.microsoft.com/fwlink/?linkid=870924
Komentarz:
    Do wyjaśnienia paragraf</t>
      </text>
    </comment>
    <comment ref="H821" authorId="5" shapeId="0" xr:uid="{478CD403-4A7F-4216-9E59-15FF3D54103F}">
      <text>
        <t>[Komentarz podzielony na wątki]
Używana wersja programu Excel umożliwia odczytanie tego komentarza podzielonego na wątki, jednak wszelkie wprowadzone w nim zmiany zostaną usunięte po otwarciu pliku w nowszej wersji programu Excel. Dowiedz się więcej: https://go.microsoft.com/fwlink/?linkid=870924
Komentarz:
    Do wyjaśnienia paragraf</t>
      </text>
    </comment>
    <comment ref="H824" authorId="6" shapeId="0" xr:uid="{7D142580-42A0-4ABF-AADD-4E53F304E969}">
      <text>
        <t>[Komentarz podzielony na wątki]
Używana wersja programu Excel umożliwia odczytanie tego komentarza podzielonego na wątki, jednak wszelkie wprowadzone w nim zmiany zostaną usunięte po otwarciu pliku w nowszej wersji programu Excel. Dowiedz się więcej: https://go.microsoft.com/fwlink/?linkid=870924
Komentarz:
    Do korekty paragraf</t>
      </text>
    </comment>
    <comment ref="N829" authorId="7" shapeId="0" xr:uid="{B0EB8398-D014-4555-9E4F-980F0F93049E}">
      <text>
        <t>[Komentarz podzielony na wątki]
Używana wersja programu Excel umożliwia odczytanie tego komentarza podzielonego na wątki, jednak wszelkie wprowadzone w nim zmiany zostaną usunięte po otwarciu pliku w nowszej wersji programu Excel. Dowiedz się więcej: https://go.microsoft.com/fwlink/?linkid=870924
Komentarz:
    Rok 2025 i 2026 po anekssie</t>
      </text>
    </comment>
    <comment ref="Q830" authorId="8" shapeId="0" xr:uid="{FAF7A795-ED54-41B1-B6FE-8E2EC8BAB178}">
      <text>
        <t>[Komentarz podzielony na wątki]
Używana wersja programu Excel umożliwia odczytanie tego komentarza podzielonego na wątki, jednak wszelkie wprowadzone w nim zmiany zostaną usunięte po otwarciu pliku w nowszej wersji programu Excel. Dowiedz się więcej: https://go.microsoft.com/fwlink/?linkid=870924
Komentarz:
    Skorygowane zgodnie z korespondencją z p. Marcinem Kondratowiczem 27-28.07.2024</t>
      </text>
    </comment>
    <comment ref="H850" authorId="9" shapeId="0" xr:uid="{30F982A2-ACF7-430B-91A3-5EE031A3E38E}">
      <text>
        <t>[Komentarz podzielony na wątki]
Używana wersja programu Excel umożliwia odczytanie tego komentarza podzielonego na wątki, jednak wszelkie wprowadzone w nim zmiany zostaną usunięte po otwarciu pliku w nowszej wersji programu Excel. Dowiedz się więcej: https://go.microsoft.com/fwlink/?linkid=870924
Komentarz:
    Do wyjaśnienia paragraf</t>
      </text>
    </comment>
  </commentList>
</comments>
</file>

<file path=xl/sharedStrings.xml><?xml version="1.0" encoding="utf-8"?>
<sst xmlns="http://schemas.openxmlformats.org/spreadsheetml/2006/main" count="12330" uniqueCount="2103">
  <si>
    <t>część</t>
  </si>
  <si>
    <t>departament</t>
  </si>
  <si>
    <t xml:space="preserve">rodzaj projektu </t>
  </si>
  <si>
    <t>opis projektu</t>
  </si>
  <si>
    <t>DATA ZŁOŻENIA WNIOSKU/
PLANOWANA DATA ZŁOŻENIA WNIOSKU / PREUMOWA</t>
  </si>
  <si>
    <t xml:space="preserve">PROGRAM OPERACYJNY/ INICJATYWA </t>
  </si>
  <si>
    <t xml:space="preserve">termin realizacji
</t>
  </si>
  <si>
    <t>paragraf</t>
  </si>
  <si>
    <t>źródło fin.</t>
  </si>
  <si>
    <t>bz</t>
  </si>
  <si>
    <t>Beneficjent</t>
  </si>
  <si>
    <t xml:space="preserve">nazwa zadania
</t>
  </si>
  <si>
    <t>Szczegółowe uzasadnienie</t>
  </si>
  <si>
    <t>2025</t>
  </si>
  <si>
    <t>2026</t>
  </si>
  <si>
    <t>2027</t>
  </si>
  <si>
    <t>2028</t>
  </si>
  <si>
    <t>2029</t>
  </si>
  <si>
    <t>etap działań</t>
  </si>
  <si>
    <t>umowy</t>
  </si>
  <si>
    <t>nr umowy</t>
  </si>
  <si>
    <t>z kim zawarta</t>
  </si>
  <si>
    <t>Uwagi</t>
  </si>
  <si>
    <t xml:space="preserve">BA </t>
  </si>
  <si>
    <t>umowa</t>
  </si>
  <si>
    <t>usługa cateringowa</t>
  </si>
  <si>
    <t>n/d</t>
  </si>
  <si>
    <t>24 miesiące</t>
  </si>
  <si>
    <t>22.1.1.1.</t>
  </si>
  <si>
    <t>usługa cateringowa na potrzeby organizacji wydarzeń w MC</t>
  </si>
  <si>
    <t>bieżące potrzeby - obsługa spotkań, narad, konferencji organizowanych w MC, w szczególności z udziałem Kierownictwa</t>
  </si>
  <si>
    <t>80/BA/24</t>
  </si>
  <si>
    <t>Bracia Pietrzak Spółka Jawna Zielonka</t>
  </si>
  <si>
    <t>deklaracja DN-1</t>
  </si>
  <si>
    <t>podatek od nieruchomości</t>
  </si>
  <si>
    <t>12 miesięcy</t>
  </si>
  <si>
    <t>utrzymanie budynku - opłata ustawowa</t>
  </si>
  <si>
    <t xml:space="preserve">ustawowo nakazana płatność w ratach comiesięcznych </t>
  </si>
  <si>
    <t>deklaracja</t>
  </si>
  <si>
    <t>urząd m.st. Warszawa</t>
  </si>
  <si>
    <t>umowa dzierżawna</t>
  </si>
  <si>
    <t>36 miesięcy</t>
  </si>
  <si>
    <t>dzierżawa terenu pod termomodernizację budynku</t>
  </si>
  <si>
    <t>ZT/SR/D/117/2023</t>
  </si>
  <si>
    <t>Zarząd Terenów Publicznych</t>
  </si>
  <si>
    <t>decyzja</t>
  </si>
  <si>
    <t>decyzja o zajęcie pasa drogowego</t>
  </si>
  <si>
    <t>36 miesięcy miesiące</t>
  </si>
  <si>
    <t>umowa dzierżawy - opłata z góry na trzy lata</t>
  </si>
  <si>
    <t>Zajęcie pasa drogowego w celu umieszczenia w nim nadwieszenia w postaci warstwy ocieplenia budynku - złożenie nowego wniosku do ZDM -  listopad 2024 r.</t>
  </si>
  <si>
    <t>planowane</t>
  </si>
  <si>
    <t>ZDM/GPD/I/1A/P/490/2022</t>
  </si>
  <si>
    <t>Zarząd Dróg Miejskich</t>
  </si>
  <si>
    <t>obecna umowa obowiązuje do 02.12.2024</t>
  </si>
  <si>
    <t>zajęcie pasa drogowego w celu umieszczenia w nim ściennej stacji ładowania ok 0,08 m</t>
  </si>
  <si>
    <t>zajęcie pasa drogowego na obiekt służący obsłudze komunikacyjnej nieruchomości</t>
  </si>
  <si>
    <t>zarząd Dróg Miejskich</t>
  </si>
  <si>
    <t>odbiór odpadów komunalnych</t>
  </si>
  <si>
    <t>18 miesięcy</t>
  </si>
  <si>
    <t>umowa 171/BDG/22 oraz aneks nr 1 i aneks nr 2 przedłużający umowę do 30.06.2024 r.</t>
  </si>
  <si>
    <t xml:space="preserve">odbiór odpadów komunalnych z budynku przy ul. Królewskiej 27. </t>
  </si>
  <si>
    <t>umowa/porozumienie</t>
  </si>
  <si>
    <t>171/BDG/22</t>
  </si>
  <si>
    <t>obecnie firma -"Byś"</t>
  </si>
  <si>
    <t>koniec umowy z dniem 30.06.2024</t>
  </si>
  <si>
    <t>umowa 201/BA/24</t>
  </si>
  <si>
    <t>201/BA/24</t>
  </si>
  <si>
    <t>firma "BYŚ"</t>
  </si>
  <si>
    <t>umowa zawarta na 18 miesięcy</t>
  </si>
  <si>
    <t xml:space="preserve">umowa </t>
  </si>
  <si>
    <t>dostawa wody/odbiór ścieków do budynku</t>
  </si>
  <si>
    <t>36 miesięcy lub do wyczerpania kwoty</t>
  </si>
  <si>
    <t>odprowadzanie ścieków</t>
  </si>
  <si>
    <t>umowa MPWiK został podpisana dnia 14 grudnia 2022 r. Okres obowiązywania umowy: 01.01.2023 do 31.12.2025 lub do wyczerpania środków</t>
  </si>
  <si>
    <t>019977/001/2/22; 1577/BDG/22</t>
  </si>
  <si>
    <t>MPWiK</t>
  </si>
  <si>
    <t>dostarczanie wody do budynku</t>
  </si>
  <si>
    <t>019977/001/2/22; 3577/BDG/22</t>
  </si>
  <si>
    <t>dostawa energii cieplnej</t>
  </si>
  <si>
    <t>48 miesięcy lub do wyczerpania kwoty</t>
  </si>
  <si>
    <t>Przesył/dystrybucja i dostawa energii cieplnej do budynku przy ul. Królewskiej 27 w Warszawie w latach 2021 - 2024.
Całkowita kwota umowy: 729 565,54 zł</t>
  </si>
  <si>
    <t>Umowa nr 27/U/BDG/2020 z dn. 30.12.2020 r. obowiązuje 01.01.2023 r. do 31.12.2024 r. lub do wyczerpania środków. W związku z wysoką podwyżką cen w 2023 r. został przeprowadzony przetarg. Nowa umowa będzie podpisana pod konie stycznia 2024 r.</t>
  </si>
  <si>
    <t>obecnie - Veolia Energia Warszawa S.A.</t>
  </si>
  <si>
    <t>umowa zakończona</t>
  </si>
  <si>
    <t>48 MIESIĘCY</t>
  </si>
  <si>
    <t>Przesył/dystrybucja i dostawa energii cieplnej do budynku przy ul. Królewskiej 27 w Warszawie w latach 2024 - 2027.
Całkowita kwota umowy: 1 758 069,51 zł</t>
  </si>
  <si>
    <t>umowa nr 202/C/BA/23; 3-08059 obowiązuje do 31.12.2027 lub do wyczerpania kwoty</t>
  </si>
  <si>
    <t>202/C/BA/23; 3-08059</t>
  </si>
  <si>
    <t>Veolia Energia Warszawa SA</t>
  </si>
  <si>
    <t>dostawa energii elektrycznej</t>
  </si>
  <si>
    <t>24 miesiące lub do wyczerpania kwoty</t>
  </si>
  <si>
    <t>Dostawa energii elektrycznej do budynku przy ul. Królewskiej 27 w Warszawie w latach 2023 – 2024.</t>
  </si>
  <si>
    <t>Umowa nr 2022/05/KPRM z dn. 28.09.2022 r. wchodzi w życie z dniem 01.01.2023 r. do 31.12.2024 r. lub do wyczerpania środków. W roku 2024 rozpocznie się postępowanie prowadzone przez COAR na rzecz jap - MC przystąpiło do procedury</t>
  </si>
  <si>
    <t>2022/05/KPRM</t>
  </si>
  <si>
    <t>obecnie - Tauron Sprzedaż Sp. z o.o.</t>
  </si>
  <si>
    <t>pod koniec 2024 r. podpisana zostanie nowa umowa na 24 miesiące - postępowanie COAR</t>
  </si>
  <si>
    <t>dystrybucja energii elektrycznej</t>
  </si>
  <si>
    <t>do wyczerpania kwoty</t>
  </si>
  <si>
    <t>Dystrybucja energii elektrycznej do budynku przy ul. Królewskiej 27 w Warszawie w latach 2022 – czas nieokreślony.
Całkowita kwota umowy: 1 791 210,43 zł</t>
  </si>
  <si>
    <t>Umowa został podpisana dnia 31 stycznia 2022 r. Okres obowiązywania umowy: 01.01.2022 na czas nieokreślony lub do wyczerpania środków. Prawdopodobnie pod koniec 2024 należy wszcząć procedurę przetargową</t>
  </si>
  <si>
    <t>ND-D/1040/2021; 1507/BDG/21</t>
  </si>
  <si>
    <t>obecnie - Stoen Operator Sp. z o.o.</t>
  </si>
  <si>
    <t xml:space="preserve">usługa sprzątania i dostawy art. higienicznych </t>
  </si>
  <si>
    <t>obecna umowa 205/C/BA/23. planowana nowa procedura przetargowa w lipcu 2024 r.</t>
  </si>
  <si>
    <t xml:space="preserve">usługa utrzymania czystości w budynku i wokół budynku w roku 2024 </t>
  </si>
  <si>
    <t>205/C/BA/23</t>
  </si>
  <si>
    <t>Konsorcjum - lider DGP</t>
  </si>
  <si>
    <t>planowane pod koniec 2024 r. postępowanie</t>
  </si>
  <si>
    <t>zakup art. spożywczych</t>
  </si>
  <si>
    <t>obecna umowa nr 1698/BDG/23 Umowa zawarta na 12 miesięcy od daty podpisania tj. do 05-01-2024  oraz aneks nr 1  wydłużający umowę do 30-06-2024</t>
  </si>
  <si>
    <t>cykliczna dostawa napojów i art.. Spożywczych na potrzeby MC</t>
  </si>
  <si>
    <t>Hurtownia BB</t>
  </si>
  <si>
    <t>zakup art.. Spożywczych</t>
  </si>
  <si>
    <t>obecna umowa nr 124/BA/24 zawarta na 12 miesięcy od daty podpisania 27.05.2024</t>
  </si>
  <si>
    <t>124/BA/24</t>
  </si>
  <si>
    <t>zakup art. biurowych</t>
  </si>
  <si>
    <t>MC zgłosiło udział w postepowaniu prowadzonym przez COAR - prawdopodobne rozstrzygnięcie pod koniec 2024 r.</t>
  </si>
  <si>
    <t>sukcesywna dostawa art. biurowych na potrzeby MC</t>
  </si>
  <si>
    <t>usługa poligraficzna</t>
  </si>
  <si>
    <t>dostawa wizytówek, teczek, tablic itp.</t>
  </si>
  <si>
    <t xml:space="preserve">wniosek otwarty/umowa   </t>
  </si>
  <si>
    <t>prasa drukowana</t>
  </si>
  <si>
    <t>sukcesywna dostaw prasy drukowanej na potrzeby MC umowa nr 457/C/BA/23/A zawarta w dniu 31.01.2024</t>
  </si>
  <si>
    <t>457/C/BA/23/A</t>
  </si>
  <si>
    <t>Kolporter SA</t>
  </si>
  <si>
    <t>prasa elektroniczna</t>
  </si>
  <si>
    <t>dostępy do prasy w formie elektronicznej, umowa 457/C/BA/23/B zawarta w dniu 31.01.2024</t>
  </si>
  <si>
    <t>457/C/BA/23/B</t>
  </si>
  <si>
    <t>dostęp do serwisu Polityka Insight</t>
  </si>
  <si>
    <t xml:space="preserve">dostęp do serwisu  </t>
  </si>
  <si>
    <t>dostęp do serwisu elektronicznego, umowa nr 97/BA/24 zawarta w dniu 18.04.2024</t>
  </si>
  <si>
    <t>97/BA/24</t>
  </si>
  <si>
    <t>Polityka Insight Sp. z o.o.</t>
  </si>
  <si>
    <t>Inforlex</t>
  </si>
  <si>
    <t>dostęp elektroniczny</t>
  </si>
  <si>
    <t>dostęp do medium - kompleksowa baza wiedzy adresowana do specjalistów w urzędach oraz osób stosujących na co dzień przepisy w jednostkach sektora finansów publicznych.       
Płatność jednorazowa na trzy lata</t>
  </si>
  <si>
    <t>umowa zostanie zawarta po utworzeniu intranetu MC</t>
  </si>
  <si>
    <t>dostawa papieru kserograficznego A4 i A3</t>
  </si>
  <si>
    <t>dostawa papieru</t>
  </si>
  <si>
    <t>papier kserograficzny różna gramatura dla potrzeb komórek organizacyjnych MC</t>
  </si>
  <si>
    <t>wniosek otwarte</t>
  </si>
  <si>
    <t>zakupy bieżące prowadzone przez Wydział Administracyjny</t>
  </si>
  <si>
    <t>12 miesięcy (do końca roku budżetowego)</t>
  </si>
  <si>
    <t>bieżące zakupy, w tym: art. dekoracyjne
art. ogrodnicze
art. rtg i AGD
środki czystości i pielęgnacyjne (nie ujęte w umowę na usługę sprzątania)
naczynia i art. gospodarstwa domowego, art. chemiczne i higieniczne (nie ujęte w umowie)
art. chemiczne i higieniczne (nie ujęte w umowie)
art. tekstylne (zasłony, firany, akcesoria obiciowe)
wykładziny i chodniki
karnisze i inne art. okienne (żaluzje, rolety)
Zakup samochodowych środków czystości i materiałów eksploatacyjnych
zakup kart wjazdowych dla samochodów na lotnisko</t>
  </si>
  <si>
    <t>zakupy różne związane z bieżącą potrzebą</t>
  </si>
  <si>
    <t>wniosek otwarty/umowa</t>
  </si>
  <si>
    <t>procedowanie bieżących dostaw i usług przez WG</t>
  </si>
  <si>
    <t>wnioski otwarte do końca roku budżetowego</t>
  </si>
  <si>
    <t>usługi i dostawy, w tym:</t>
  </si>
  <si>
    <t>usługi i dostawy na bieżącą działalność resortu</t>
  </si>
  <si>
    <t>wniosek otwarty</t>
  </si>
  <si>
    <t>bilety ZTM</t>
  </si>
  <si>
    <t>wniosek otwarty do końca roku budżetowego</t>
  </si>
  <si>
    <t>bilety na potrzeby pracowników MC przemieszczających się po Warszawie w sprawach służbowych</t>
  </si>
  <si>
    <t>wniosek</t>
  </si>
  <si>
    <t>obsługa transportowa</t>
  </si>
  <si>
    <t xml:space="preserve">umowa obowiązuje do 30.04.2024 </t>
  </si>
  <si>
    <t>obsługa transportowa MC</t>
  </si>
  <si>
    <t xml:space="preserve">obsługa transportowa prowadzona przez COI na potrzeby MC do 30.04.2024
nowa umowa - zakup lub wynajem pojazdów (wcześniej określenie rodzajów/marek/ modeli / parametrów/ pojazdów – wraz z wymaganym przepisami pojazdem elektrycznym </t>
  </si>
  <si>
    <t>39 miesięcy</t>
  </si>
  <si>
    <t>obsługa transportowa MC, umowa nr 96/BA/24 z dnia 01.05.2024</t>
  </si>
  <si>
    <t>obsługa transportowa prowadzona przez COI na potrzeby MC</t>
  </si>
  <si>
    <t>planowana</t>
  </si>
  <si>
    <t>96/BA/24</t>
  </si>
  <si>
    <t>Centralny Ośrodek Informatyki</t>
  </si>
  <si>
    <t>Zakup usług telewizji kablowej dla lokalizacji ul. Królewska 27</t>
  </si>
  <si>
    <t>Zakup usługi sygnału telewizji kablowej dla lokalizacji Królewska 27</t>
  </si>
  <si>
    <t>obecnie obowiązuje umowa nr 640/BI/21. Umowa na świadczenie usług TV zawarta porozumieniem w dniu 06-12-2023 (przeniesienie cesji z KPRM na MC), aneksem nr 1 umowa zawarta na 24 miesiące to jest do 10-2024. Procedurę na kolejną usługę w zakresie należy rozpocząć w sierpniu 2024 r.</t>
  </si>
  <si>
    <t xml:space="preserve">obecnie - UPC </t>
  </si>
  <si>
    <t>UPC/P4</t>
  </si>
  <si>
    <t>wnioski otwarte/umowy</t>
  </si>
  <si>
    <t>Zakupy bieżące prowadzone przez Wydział Gospodarczy  art. do prac konserwatorsko- naprawczych</t>
  </si>
  <si>
    <t>wnioski</t>
  </si>
  <si>
    <t>zakupy bieżące na potrzeby MC</t>
  </si>
  <si>
    <t>materiały konserwatorsko - naprawcze na potrzeby MC</t>
  </si>
  <si>
    <t>najem powierzchni biurowej w związku z pracami inwestycyjno-budowlanymi na znacznej powierzchni budynku MC</t>
  </si>
  <si>
    <t>w przypadku planowanych remontów i inwestycji w budynku MC przy ul. Królewskiej najem powierzchni biurowej</t>
  </si>
  <si>
    <t>najem powierzchni na czas prowadzonych prac inwestycyjno-remontowych</t>
  </si>
  <si>
    <t xml:space="preserve"> wyliczenia oparte są na danych z Centrum Królewska
- wynajem typowego piętra - 580 m 2
stanowiska biurowe są wyposażone, świadczenia eksploatacyjne po stronie wynajmującego. Na każdym piętrze znajdują się kompleksy gabinetowe - dyrektorskie
- koszt 1 m² - 22,5 euro
- 1 euro - 4,28 (z dnia 05.07.2024)
- koszty eksploatacyjne 34 zł/m²
- oddzielnie zakładane liczniki od mediów
- 1 faktura - 55 854 zł
- 2 faktura - 19 720 zł
- razem koszt/miesiąc ok. 75 574 zł brutto
oczywiście można dokonać wyliczenia na podnajem ale robione jest ono po przedstawieniu konkretnych danych</t>
  </si>
  <si>
    <t>delegacje służbowe krajowe pracowników BA</t>
  </si>
  <si>
    <t>delegacje krajowe pracowników BA wynikające z realizowanych zadań</t>
  </si>
  <si>
    <t>realizacja zadań</t>
  </si>
  <si>
    <t>BBF - del. krajowe w ramach zgłoszenia BDG</t>
  </si>
  <si>
    <t>delegacje służbowe zagraniczne pracowników BA</t>
  </si>
  <si>
    <t>delegacje zagraniczne pracowników BA wynikające z realizowanych zadań</t>
  </si>
  <si>
    <t>BBF - del. zagraniczne w ramach zgłoszenia DWM</t>
  </si>
  <si>
    <t>owocowe wtorki</t>
  </si>
  <si>
    <t>pracownicy MC</t>
  </si>
  <si>
    <t>owoce dla pracowników we wtorki</t>
  </si>
  <si>
    <t>poprawa warunków pracy pracowników</t>
  </si>
  <si>
    <t>planowane kontynuacja</t>
  </si>
  <si>
    <t>Sukcesywne świadczenie usług polegających na przemieszczaniu wyposażenia oraz usług transportowych wykonywanych w związku z przewozem wyposażenia</t>
  </si>
  <si>
    <t>wniosek wrzesień 2023 r., a także planowany wniosek w lipcu 2024 r. na zawarcie aneksu do umowy</t>
  </si>
  <si>
    <t>15 m-cy od podpisania umowy lub do wyczerpania środków na umowie</t>
  </si>
  <si>
    <t xml:space="preserve">Sukcesywne świadczenie usług polegających na przemieszczaniu wyposażenia oraz usług transportowych wykonywanych w związku z przewozem wyposażenia. </t>
  </si>
  <si>
    <t>296/C/BA/23 z 5.10.2023 r.</t>
  </si>
  <si>
    <t xml:space="preserve">firma Japa&amp;Co Dariusz Jakubowski </t>
  </si>
  <si>
    <t>zamówienie/umowa</t>
  </si>
  <si>
    <t>Zakup mebli i foteli pracowniczych</t>
  </si>
  <si>
    <t>wniosek luty 2024 r. oraz wniosek uzupełniający w kwietniu 2024 r.</t>
  </si>
  <si>
    <t>wg potrzeb</t>
  </si>
  <si>
    <t>Zakup mebli i foteli pracowniczych (zakup składników majątkowych)</t>
  </si>
  <si>
    <t>umowy/zamówienia wg potrzeb</t>
  </si>
  <si>
    <t>umowy/zamówienia</t>
  </si>
  <si>
    <t>57/BA/24 z 29.03.2024 r., 127/BA/2024 z 22.05.2024 r., 127/BA/2024/1 z 20.06.2024 r.</t>
  </si>
  <si>
    <t>Bemondi sp. z o.o.; Contract sp. z o.o.; Lobby meble s.c. Tomasz Madlewski, Krzysztof Łudzik</t>
  </si>
  <si>
    <t>oprócz umów realizacja na podstawie pojedynczych zamówień wg potrzeb</t>
  </si>
  <si>
    <t>Zakup mebli i foteli pracowniczych (koszty dostawy)</t>
  </si>
  <si>
    <t>57/BA/24 z 29.03.2024 r., 127/BA/2024 z 22.05.2024 r.</t>
  </si>
  <si>
    <t>Bemondi sp. z o.o.; Contract sp. z o.o.</t>
  </si>
  <si>
    <t>Zakup sprzętu i wyposażenia biurowego, RTV, AGD, np. Niszczarek, klimatyzatorów, wentylatorów, lodówek, ekspresów do kawy, kuchenek mikrofalowych, czajników</t>
  </si>
  <si>
    <t>wniosek I kw. 2024 r.</t>
  </si>
  <si>
    <t>Zakup sprzętu i wyposażenia biurowego, RTV, AGD, np. Niszczarek, klimatyzatorów, wentylatorów, lodówek, ekspresów do kawy, kuchenek mikrofalowych, czajników (zakup składników majątkowych i wyposażenia)</t>
  </si>
  <si>
    <t>zamówienia wg potrzeb</t>
  </si>
  <si>
    <t>wniosek 17/BA/24 oraz 69/BA/24 (zamówienia wg potrzeb, dotychczas bez umów)</t>
  </si>
  <si>
    <t>Zakup sprzętu i wyposażenia biurowego, RTV, AGD, np. Niszczarek, klimatyzatorów, wentylatorów, lodówek, ekspresów do kawy, kuchenek mikrofalowych, czajników (koszty dostawy)</t>
  </si>
  <si>
    <t>zamówienie</t>
  </si>
  <si>
    <t>Renowacja i konserwacja mebli i wyposażenia (drewnianego, metalowego)</t>
  </si>
  <si>
    <t>planowany wniosek IV kw. 2024 r.</t>
  </si>
  <si>
    <t>Ubezpieczenie majątku Ministerstwa</t>
  </si>
  <si>
    <t>wniosek grudzień 2023 r.</t>
  </si>
  <si>
    <t>grudzień 2026 r.</t>
  </si>
  <si>
    <t>2023/04 (wniosek 408/BA/C/23)</t>
  </si>
  <si>
    <t>Zamówienie centralne COAR, umowa zawarta z konsorcjum PZU S.A. oraz TUiR Warta S.A.</t>
  </si>
  <si>
    <t>umowa 3-letnia na lata 2024-2026 do której wystawiane są polisy</t>
  </si>
  <si>
    <t>zamówienie/polisa</t>
  </si>
  <si>
    <t>Ubezpieczenie OC/AC samochodu osobowego</t>
  </si>
  <si>
    <t>grudzień 2024 r.</t>
  </si>
  <si>
    <t>grudzień 2025 r.</t>
  </si>
  <si>
    <t>polisa</t>
  </si>
  <si>
    <t>polisa nr 1089942168</t>
  </si>
  <si>
    <t>PZU S.A.</t>
  </si>
  <si>
    <t>polisa roczna</t>
  </si>
  <si>
    <t>Usługa odbioru i utylizacji odpadów MC</t>
  </si>
  <si>
    <t>wniosek marzec 2024 r.</t>
  </si>
  <si>
    <t>czerwiec 2025 r.</t>
  </si>
  <si>
    <t>planowana umowa</t>
  </si>
  <si>
    <t>w trakcie przetargu</t>
  </si>
  <si>
    <t>Zakup wyposażenia dla SOP</t>
  </si>
  <si>
    <t>wniosek czerwiec 2024 r.</t>
  </si>
  <si>
    <t>lipiec 2024 r.</t>
  </si>
  <si>
    <t>wniosek nr 216/BA/24</t>
  </si>
  <si>
    <t>Zakup licencji i wsparcia - MC</t>
  </si>
  <si>
    <t>budżet państwa (z wyjątkiem GDDKiA)</t>
  </si>
  <si>
    <t>Zakup licencji i usług wsparcia na potrzeby sieci LAN/WAN MC, które powstały w wyniku wydzielenia MC ze struktur KPRM  (licencje i suport)</t>
  </si>
  <si>
    <t>nie dotyczy</t>
  </si>
  <si>
    <t>Zakup urządzeń sieciowych - MC</t>
  </si>
  <si>
    <t>Zakup urządzeń potrzeby sieci LAN/WAN MC, które powstały w wyniku wydzielenia MC ze struktur KPRM  (Serwer HCI, switche core, switche accessowe, firewall brzegowy, sieć WiFi (kontrolery oraz access pointy), Routery)</t>
  </si>
  <si>
    <t>zakupy inwestycyjne na potrzeby MC</t>
  </si>
  <si>
    <t>skaner, bramka itp..</t>
  </si>
  <si>
    <t>Zakup urządzeń teleinformatycznych na potrzeby nowych pracowników, wymiany urządzań uszkodzonych (laptopy i inny niskocenny sprzęt dla pracowników MC).</t>
  </si>
  <si>
    <t xml:space="preserve">Zakup urządzeń teleinformatycznych na potrzeby nowych pracowników, wymiany urządzań uszkodzonych (laptopy i inny niskocenny sprzęt dla pracowników MC). </t>
  </si>
  <si>
    <t>Zakup telefonów, laptopów, monitorów, stacji dokujących i urządzeń peryferyjnych na potrzeby pracowników MC.</t>
  </si>
  <si>
    <t xml:space="preserve">Zakup - wyposażenie stanowisk pracy zgodnie z wymogami BHP </t>
  </si>
  <si>
    <t>Zakup podstawek pod monitor, monitorów w zw. z wejściem w życie w listopadzie 2023 r.  nowych przepisów BHP dot. wyposażenia stanowisk pracy podczas pracy zdalnej</t>
  </si>
  <si>
    <t>Łącze internetowe - MC</t>
  </si>
  <si>
    <t>Zapewnienie dostępu do Internetu i usług świadczonych z wykorzystaniem sieci publicznej.</t>
  </si>
  <si>
    <t>14/DSP/NASK/2019 (NASK 39471) z 30.09.2019 r. z późniejszymi aneksami - internet dla MC</t>
  </si>
  <si>
    <t>NASK S.A</t>
  </si>
  <si>
    <t>Telefonia komórkowa - MC</t>
  </si>
  <si>
    <t>Zapewnienie komunikacji telefonicznej pracowników MC. Kwota 2431 tys. zł. do rozbicia na trzy lata - do ustalenia z BA.</t>
  </si>
  <si>
    <t>2021/06 (do 31 stycznia 2024 r.)</t>
  </si>
  <si>
    <t>T-Mobile Polska S.A.</t>
  </si>
  <si>
    <t>Zakup certyfikatów SSL - MC</t>
  </si>
  <si>
    <t>Zapewnienie poufności połączeniom z serwisami internetowymi</t>
  </si>
  <si>
    <t>Umowa z COI na świadczenie obsługi informatycznej i teletechnicznej - MC</t>
  </si>
  <si>
    <t>Zapewnienie dostępu MC do infrastruktury teleinformatycznej</t>
  </si>
  <si>
    <t>procedowana umowa/porozumienie</t>
  </si>
  <si>
    <t>procedowana</t>
  </si>
  <si>
    <t>COI</t>
  </si>
  <si>
    <t xml:space="preserve">Zamówienie </t>
  </si>
  <si>
    <t>Serwis internetowy SzuKIO</t>
  </si>
  <si>
    <t>Dostęp do serwisu SzuKIO.pl - autorskiej bazy orzeczeń z zakresu zamówień bez limitu osób</t>
  </si>
  <si>
    <t xml:space="preserve">Udzielenie zamówienia jest konieczne w celu wsparcia zespołu do spraw zamówień publicznych w bieżącej interpretacji przepisów z zakresu zamówień publicznych.  Portal Zamówień Publicznych umożliwia dostęp do artykułów dotyczących interpretacji przepisów Prawa zamówień publicznych oraz  porad ekspertów, a także wzorów dokumentów i orzeczeń. </t>
  </si>
  <si>
    <t>Wykonawca zostanie określony po rozstrzygnięciu procedury wyłonienia</t>
  </si>
  <si>
    <t>Serwis internetowy z obszaru Prawa zamówień publicznych</t>
  </si>
  <si>
    <t>Złożony wniosek nr 402/BA/C/23 oraz 15.02.2024</t>
  </si>
  <si>
    <t>Dostęp do serwisów z artykułami dotyczącymi obszarów zamówień publicznych</t>
  </si>
  <si>
    <t xml:space="preserve">Udzielenie zamówienia jest konieczne w celu bieżącej interpretacji przepisów z zakresu zamówień publicznych Zamówienie to będzie znaczącym wsparciem w pracy zespołu do spraw zamówień publicznych z możliwością indywidulanych porad ekspertów. </t>
  </si>
  <si>
    <t>Wiedza i Praktyka Sp. z o.o. ul Łotewska 9a, 03-918 Warszawa</t>
  </si>
  <si>
    <t>Umowa</t>
  </si>
  <si>
    <t>Usługi prawne</t>
  </si>
  <si>
    <t>Umowa ramowa na świadczenie usług w zakresie wsparcia prawnego w obszarze zamówień publicznych (reprezentacja przed KIO, pisanie pism procesowych, opinie prawne).</t>
  </si>
  <si>
    <t>Udzielenie zamówienie ma na celu wyłonienie wykonawcy do zastępstwa procesowego w rozprawach przed Krajową Izbą Odwoławczą oraz do przygotowywania pism procesowych.</t>
  </si>
  <si>
    <t>Platforma zakupowa</t>
  </si>
  <si>
    <t>Dostęp do platformy zakupowej w celu publikacji postępowań o udzielenie zamówień publicznych</t>
  </si>
  <si>
    <t xml:space="preserve">Udzielenie zamówienia ma na celu wykorzystanie komercyjnej platformy zakupowej w procesie udzielania zamówień publicznych </t>
  </si>
  <si>
    <t>181/BA/24</t>
  </si>
  <si>
    <t>Otwarty Rynek Elektroniczny S.A.  ul. Domaniewska 49, 02-672 Warszawa</t>
  </si>
  <si>
    <t>Naprawy, przeglądy, modernizacje, uzupełnienia w systemach bezpieczeństwa MC ul. Królewska 27</t>
  </si>
  <si>
    <t>Wniosek składany corocznie. Nie można określić dokładnych kwot dla poszczególnych paragrafów.</t>
  </si>
  <si>
    <t>2024-2029</t>
  </si>
  <si>
    <t>Utrzymanie systemów bezpieczeństwa w budynku MC ul. Królewska 27</t>
  </si>
  <si>
    <t>Wniosek otwarty</t>
  </si>
  <si>
    <t>Złożono wniosek na rok 2024</t>
  </si>
  <si>
    <t>BBF - czym różni się poz. 93 z poz. 95?</t>
  </si>
  <si>
    <t>Zakup materiałów do personalizacji identyfikatorów (karty, taśmy do drukarki)</t>
  </si>
  <si>
    <t>Wniosek składany corocznie. Nie można określić kwot dla poszczególnych paragrafów.</t>
  </si>
  <si>
    <t>Identyfikacja osób oraz kontrola ruchu osobowego w budynku MC ul. Królewska 27</t>
  </si>
  <si>
    <t>wniosek zostanie złożony w mirę potrzeb</t>
  </si>
  <si>
    <t>Usługa ochrony obiektu i obsługi recepcji w budynku MC ul. Królewska 27</t>
  </si>
  <si>
    <t>Bieżąca Umowa z firmą Basma do 30 Listopada 2024.
W latach kolejnych nowe umowy</t>
  </si>
  <si>
    <t xml:space="preserve">2024-2029 </t>
  </si>
  <si>
    <t>Zapewnienie bezpieczeństwa budynku i pracowników MC ul. Królewska 27 oraz obsługa recepcji.</t>
  </si>
  <si>
    <t>1155/BDG/22 do 30.11.2024</t>
  </si>
  <si>
    <t xml:space="preserve">Aktualizacja (12.07.2024) rok 2025 z 2500 na 2130 oraz 2026 z 2500 na 1953 zgodnie z wniosiem w sprawie BA.WZP.261.281.2024 IK: 829215.    Wszczęcie postępowania planowane jest na lipiec 2024 (nowa umowa obejmie okres od 01.12.2024 r. do 30.11.2026 r.  </t>
  </si>
  <si>
    <t>wniosek/umowa</t>
  </si>
  <si>
    <t>Okresowy przegląd podręcznego sprzętu gaśniczego w budynku przy ul. Królewskiej 27 oraz wymiana wyeksploatowanych części.
Aktualizacja IBP</t>
  </si>
  <si>
    <t>Zapewnienie bezpieczeństwa PPOŻ budynku MC ul. Królewska 27</t>
  </si>
  <si>
    <t>BBF - czym różni się poz. 98 z poz. 100?</t>
  </si>
  <si>
    <t xml:space="preserve">Rozbudowy, modernizacje, reorganizacje SKD związana z pracami przy realizacji inwestycji w zakresie ,wentylacji i klimatyzacji oraz PPOŻ i innych. </t>
  </si>
  <si>
    <t xml:space="preserve">wniosek/umowa IV kwartał 2024 lub kolejne lata </t>
  </si>
  <si>
    <t>W trakcie lub/oraz po zakończeniu inwestycji w zakresie ,wentylacji i klimatyzacji oraz PPOŻ i innych tj. 2024-2026</t>
  </si>
  <si>
    <t>22.1.1.1</t>
  </si>
  <si>
    <t xml:space="preserve">Rozbudowy, modernizacje, reorganizacje SKD związana z pracami przy realizacji inwestycji w zakresie, wentylacji i klimatyzacji oraz PPOŻ i innych. Zmiany wynikające z planowanych inwestycji mogą spowodować koniczność zmian SKD. rozbudowa o nowe strefy KD, konfiguracja ustawień, integracja nowych i istniejących systemów, zmiany usytuowania elementów SKD, CCTV, itp. </t>
  </si>
  <si>
    <t xml:space="preserve">wniosek/umowa </t>
  </si>
  <si>
    <t xml:space="preserve">Serwis/przeglądy/ naprawy skanera RTG oraz bramki detekcyjnej </t>
  </si>
  <si>
    <t>wniosek/umowa styczeń 2026</t>
  </si>
  <si>
    <t>Po wygaśnięciu gwarancji tj. od marca 2026 roku</t>
  </si>
  <si>
    <t xml:space="preserve">Urządzenia RTG oraz bramka detekcyjna wymagają okresowych przeglądów, serwisów oraz ewentualnych napraw w celu zapewnienia prawidłowego oraz bezpiecznego użytkowania. </t>
  </si>
  <si>
    <t>Środowiskowe badania dozymetryczne</t>
  </si>
  <si>
    <t>kolejny wniosek/umowa styczeń 2025</t>
  </si>
  <si>
    <t>Badania wykonywane są kwartalnie od 2024 r.</t>
  </si>
  <si>
    <t xml:space="preserve">Urządzenia wytwarzające promieniowanie jonizujące wymagają stałej kontroli dozymetrycznej wynikającej z ustawy Prawo Atomowe </t>
  </si>
  <si>
    <t xml:space="preserve">wniosek </t>
  </si>
  <si>
    <t>złożono wniosek na rok 2024</t>
  </si>
  <si>
    <t xml:space="preserve">Tłumaczenia języka migowego </t>
  </si>
  <si>
    <t>kolejny wniosek/umowa 01.01.2026 r.</t>
  </si>
  <si>
    <t xml:space="preserve">Aktualnie umowa obowiązuje do 20.03.2026 r. </t>
  </si>
  <si>
    <t xml:space="preserve">Zasady związane z dostępności obiektu MC dla osób z niepełnosprawnościami wymagają umożliwienia komunikacji, w tym celu zapewniona jest możliwość połączenia z tłumaczem języka migowego. </t>
  </si>
  <si>
    <t>79/BA/24</t>
  </si>
  <si>
    <t>POLSKI ZWIĄZEK  GŁUCHYCH - ODDZIAŁ MAZOWIECKI</t>
  </si>
  <si>
    <t>centrala do NOMA</t>
  </si>
  <si>
    <t>centrala NOMA</t>
  </si>
  <si>
    <t>podłaczenie central przeciwpożarowych w siedzibie MC do systemu NOMA</t>
  </si>
  <si>
    <t xml:space="preserve">Usługa przeglądu dźwigu towarowo-osobowego - nie mamy dźwigu towarowego ale w 2025 już będzie </t>
  </si>
  <si>
    <t>36  miesięcy</t>
  </si>
  <si>
    <t>jak w opisie projektu</t>
  </si>
  <si>
    <t>bieżąca konserwacja urządzenia - wymóg prawny</t>
  </si>
  <si>
    <t> </t>
  </si>
  <si>
    <t xml:space="preserve"> Remonty bieżące budynku związane z  dostosowaniem budynku do potrzeb pracowników</t>
  </si>
  <si>
    <t>10 miesięcy</t>
  </si>
  <si>
    <t>wprowadzenia do budynku odpowiednich standardów dla pracowników</t>
  </si>
  <si>
    <t>nieplanowane</t>
  </si>
  <si>
    <t>6 milionów z pierwotnych założeń (11 217 000)  zwolniono do rezerwy</t>
  </si>
  <si>
    <t>Budowa windy osobowo-towarowej w budynku przy ul Królewskiej 27 w Warszawie</t>
  </si>
  <si>
    <t>II KW 2025</t>
  </si>
  <si>
    <t>Udzielenie zamówienie ma na celu dostosowanie Holu B i tej części budynku dla osób z niepełnosprawnością, poprawę warunków pracy.</t>
  </si>
  <si>
    <t xml:space="preserve">Bieżące nieprzewidziane wydatki związane z: remontami oraz  konserwacją i wyposażenia, znajdującego się na ul. Królewskiej 27 </t>
  </si>
  <si>
    <t>w przypadku wystąpienia awarii lub usterki wskazanej w protokołach z przeglądu</t>
  </si>
  <si>
    <t>umowy krótko terminowe</t>
  </si>
  <si>
    <t>konieczne naprawy bieżących usterek  i reakcja na uwagi odnotowane w przeglądach okresowych budynku</t>
  </si>
  <si>
    <t xml:space="preserve"> kontynuacja</t>
  </si>
  <si>
    <t>wnioski/umowy</t>
  </si>
  <si>
    <t>25/BA/24
111/BA/24                                                                                    186/BA/24</t>
  </si>
  <si>
    <t>Rezydent S.A</t>
  </si>
  <si>
    <t>Kompleksowa konserwacja i bieżące naprawy instalacji elektrycznej oraz zapewnienie bieżącej wymiany wyeksploatowanego osprzętu elektrycznego oraz źródeł światła wew. i na zew. budynku przy ul. Królewskiej 27 w Warszawie</t>
  </si>
  <si>
    <t>451/BA/C/23 do końca 2024</t>
  </si>
  <si>
    <t>Kompleksowa konserwacja i bieżące naprawy   instalacji wodno-kanalizacyjnej oraz konserwacja instalacji centralnego ogrzewania budynku  przy ul. Królewskiej 27 w Warszawie</t>
  </si>
  <si>
    <t>umowa bieżąca obowiązuje do końca 2024 _ nowy wniosek w listopadzie 2024</t>
  </si>
  <si>
    <t>24 miesięcy</t>
  </si>
  <si>
    <t>27/BDG/23 do końca 2024</t>
  </si>
  <si>
    <t>Kompleksowa konserwacja i bieżące naprawy drzwi przesuwnych wejściowych budynku  przy ul. Królewskiej 27 w Warszawie</t>
  </si>
  <si>
    <t>230/BGDG 2023 do końca 2025 nowy wniosek styczeń 2025</t>
  </si>
  <si>
    <t xml:space="preserve">24 miesiąc </t>
  </si>
  <si>
    <t>230/BDG/23 do 04.2025</t>
  </si>
  <si>
    <t>Budowa Systemu Ochrony Przeciwpożarowej w budynku przy ul Królewskiej 27 w Warszawie (zaprojektuj i wybuduj )</t>
  </si>
  <si>
    <t>II KW 2025 IKW2026</t>
  </si>
  <si>
    <t>Udzielenie zamówienie ma na celu spełnienie odpowiednich przepisów ppoż budynku i zapewnienie bezpieczeństwa pracowników.</t>
  </si>
  <si>
    <t>Przebudowa wentylacji i budowa klimatyzacji w budynku przy ul. Królewskiej 27 w Warszawie</t>
  </si>
  <si>
    <t>IV KW 2025 II KW2026</t>
  </si>
  <si>
    <t xml:space="preserve">Udzielenie zamówienie ma na celu polepszenie warunków BHP dla pracowników Ministerstwa </t>
  </si>
  <si>
    <t>Konserwacja na potrzeby gwarancji nowego systemu klimatyzacji w budynku przy ul. Królewskiej 27 w Warszawie</t>
  </si>
  <si>
    <t>Opracowanie ekspertyz technicznych, programówfunkcjonalno-użytkoweych, opinii i  dokumentacji projektowej na potrzeby remontowych w budynku przy ul. Królewskiej 27 w Warszawie</t>
  </si>
  <si>
    <t>Udzielenie zamówienie ma na celu spełnienia warunków prawa budowlanego.</t>
  </si>
  <si>
    <t>Usługa pełnienia nadzoru inwestorskiego nad zadaniami inwestycyjnymi w budynku przy ul. Królewskiej 27 w Warszawie</t>
  </si>
  <si>
    <t xml:space="preserve"> październik 2024</t>
  </si>
  <si>
    <t>do końca zakończenia robót na klimatyzacji</t>
  </si>
  <si>
    <t xml:space="preserve">Udzielenie zamówienie ma na celu spełnienia warunków prawa budowlanego w zakresie odbioru robót i dokumentacji technicznej dla inwestycji, </t>
  </si>
  <si>
    <t xml:space="preserve">Usługa pełnienia nadzoru inwestorskiego nad zadaniem inwestycyjnym w budynku przy ul. Królewskiej 27 w Warszawie </t>
  </si>
  <si>
    <t xml:space="preserve">do końca zakończenia robót na ppoż </t>
  </si>
  <si>
    <t>Przeglądy okresowe budynków w zakresie  budowlane elektryczne , budowalne (roczne i 5 letnie)</t>
  </si>
  <si>
    <t>umowa bieżąca obowiązuje do końca 2025 _ nowy wniosek w grudzień 2025</t>
  </si>
  <si>
    <t>IV 2025</t>
  </si>
  <si>
    <t xml:space="preserve">wymóg prawa budowlanego </t>
  </si>
  <si>
    <t>284/BDG/23  do 11. 2025</t>
  </si>
  <si>
    <t xml:space="preserve">Przegląd wind i platformy dla niepełnosprawnych </t>
  </si>
  <si>
    <t>kontynuacja</t>
  </si>
  <si>
    <t>73/BA/24 dotycząca platformy do końca 2024
w 12.2026 koniec gwarancji na windę</t>
  </si>
  <si>
    <t>Usługa dezynfekcji, dezynsekcji i deratyzacji w budynku przy ul. Królewskiej 27 w Warszawie</t>
  </si>
  <si>
    <t>umowa bieżąca 392/BA/2023 do grudnia 2025</t>
  </si>
  <si>
    <t xml:space="preserve">Udzielenie zamówienie ma na celu  wykluczenie  szkodników z budynku </t>
  </si>
  <si>
    <t>392/BA/2023 do 12.2025</t>
  </si>
  <si>
    <t>dostawa książek, czsopism, wydawnictw specjalistycznych i branżowych</t>
  </si>
  <si>
    <t>I 2025</t>
  </si>
  <si>
    <t>niezbędne dla uzyskania wiedzy potrzebnej w realizacji inwestycji</t>
  </si>
  <si>
    <t>indywidualne środki ochrony osobistej</t>
  </si>
  <si>
    <t xml:space="preserve">niezbędna podczas nadzoru inwestora nad robotami budowlanymi </t>
  </si>
  <si>
    <t>Zamówienie</t>
  </si>
  <si>
    <t>Asortyment BHP: odzież ochronna, środki ochrony indywidualnej, środki higieny, wyposażenie apteczek, baterie i elektrody do defibrylatorów, znaki bezpieczeństwa, taśmy ostrzegawcze</t>
  </si>
  <si>
    <t>45323</t>
  </si>
  <si>
    <t>Zapewnienie pracownikom MC bezpiecznych i higienicznych warunków pracy</t>
  </si>
  <si>
    <t>Udzielenie zamówienia jest konieczne w celu spełnienia wymogów przepisów BHP nałożonych na pracodawcę</t>
  </si>
  <si>
    <t>Akcesoria BHP poprawiające ergonomię stanowisk pracy: podnóżki, podstawki pod laptop itp.</t>
  </si>
  <si>
    <t>Zapewnienie pracownikom MC ergonomicznych warunków pracy biurowej</t>
  </si>
  <si>
    <t>Najem dystrybutorów wody dla pracowników MC przy Królewskiej 27</t>
  </si>
  <si>
    <t>Umowa Nr 170/C/BA/23 obowiązuje od 01.09.2023 r. do 31.08.2025 r.</t>
  </si>
  <si>
    <t xml:space="preserve">Zapewnienie pracownikom MC wody pitnej uzdatnionej i filtrowanej </t>
  </si>
  <si>
    <t>170/C/BA/23</t>
  </si>
  <si>
    <t>Vera-Vend Sp. z o.o. Warszawa</t>
  </si>
  <si>
    <t>rozważane jest aneksowanie umowy i zamiana dystrybutorów z funkcją wody gazowanej. Koszt takiego dystrybutora to 220 zł./m-c brutto. W budynku MC zamontowanych jest 14 sztuk dystrybutorów co daje kwotę miesięczną 3 080,00 zł./m-c. W skali roku jest to 36 960,00 zł.brutto. Kwota w tabeli została podana na kolejne lata.</t>
  </si>
  <si>
    <t>podpis elektroniczny</t>
  </si>
  <si>
    <t>Wniosek składany corocznie. Nie można określić kwoty z uwagi na nieznane zapotrzebowanie</t>
  </si>
  <si>
    <t>podpis elektroniczny dla pracowników/kierownictwa MC</t>
  </si>
  <si>
    <t>podpis elektroniczny niezbędny do elektronizacji spraw załatwianych w urzędzie</t>
  </si>
  <si>
    <t>wniosek na część roku 2024, 2 wnioski po 20 tys. brutto, 15/BA/24 i 129/BA/24</t>
  </si>
  <si>
    <t>usługi związane z wprowadzeniem EZD RP w MC</t>
  </si>
  <si>
    <t>III 2024</t>
  </si>
  <si>
    <t>niezbędne w ramach zmiany oprogramowania służącego do elektronicznego obiegu dokumentów</t>
  </si>
  <si>
    <t>BBF</t>
  </si>
  <si>
    <t>-</t>
  </si>
  <si>
    <t>Wynagrodzenia osobowe pracowników_pracownicy nie objęci mnożnikiem</t>
  </si>
  <si>
    <t>Wynagrodzenia osobowe pracowników_pracownicy nie objęci mnożnikiem MC</t>
  </si>
  <si>
    <t>Wynagrodzenia osobowe pracowników_pracownicy nie objęci mnożnikiem _ GovTech przesunięcie z KPRM cz.16</t>
  </si>
  <si>
    <t>osoby zajmujące kierownicze stanowiska "R"</t>
  </si>
  <si>
    <t>Wynagrodzenia osobowe członków korpusu służby cywilnej</t>
  </si>
  <si>
    <t>Wynagrodzenia osobowe członków korpusu służby cywilnej_GovTech przesunięcie z KPRM cz.16</t>
  </si>
  <si>
    <t>Dodatkowe wynagrodzenie roczne</t>
  </si>
  <si>
    <t>Dodatkowe wynagrodzenie roczne_ pracownicy nie objęci mnożnikiem</t>
  </si>
  <si>
    <t>Dodatkowe wynagrodzenie roczne_korpus służby cywilnej</t>
  </si>
  <si>
    <t>Uposażenia żołnierzy zawodowych oraz funkcjonariuszy</t>
  </si>
  <si>
    <t>Dodatkowe uposażenie roczne dla żołnierzy zawodowych oraz nagrody roczne dla funkcjonariuszy</t>
  </si>
  <si>
    <t>Składki na ubezpieczenia społeczne</t>
  </si>
  <si>
    <t>Składki na ubezpieczenia społeczne_ MC</t>
  </si>
  <si>
    <t>Składki na ubezpieczenia społeczne_GovTech przesunięcie z KPRM cz.16</t>
  </si>
  <si>
    <t>Składki na Fundusz Pracy oraz Fundusz Solidarnościowy</t>
  </si>
  <si>
    <t>Składki na Fundusz Pracy oraz Fundusz Solidarnościowy_GovTech przesunięcie z KPRM cz.16</t>
  </si>
  <si>
    <t>opłaty sądowe</t>
  </si>
  <si>
    <t>Wpłaty na PPK finansowane przez podmiot zatrudniający</t>
  </si>
  <si>
    <t>Wpłaty na Państwowy Fundusz Rehabilitacji Osób Niepełnosprawnych*</t>
  </si>
  <si>
    <t>Wpłaty na Państwowy Fundusz Rehabilitacji Osób Niepełnosprawnych</t>
  </si>
  <si>
    <t>Wynagrodzenia bezosobowe</t>
  </si>
  <si>
    <t>Odpisy na zakładowy fundusz świadczeń socjalnych</t>
  </si>
  <si>
    <t>Odpisy na zakładowy fundusz świadczeń socjalnych_GovTech przesunięcie z KPRM cz.16 (od 2025 r. w wierszu powyżej)</t>
  </si>
  <si>
    <t>dostęp do systemu finansowo-księgowego</t>
  </si>
  <si>
    <t>rozbudowa modułów i modernizacja systemu</t>
  </si>
  <si>
    <t xml:space="preserve">dostosowanie i rozbudowa systemu z instruktarzem, utrzymanie i wsparcie techniczne </t>
  </si>
  <si>
    <t>266/C/BBF/23</t>
  </si>
  <si>
    <t>QNT Systemy informatyczne</t>
  </si>
  <si>
    <t>przeprowadzenie instruktaży (§4300); Umowa nr 266/C/BBF/23 zawarta w dniu 29.12.2023r.  (MC- QNT Systemy Informatyczne Sp. z.o.o)</t>
  </si>
  <si>
    <t>usługi utrzymania i wsparcia technicznego (§4300); Umowa nr 266/C/BBF/23 zawarta w dniu 29.12.2023r.  (MC- QNT Systemy Informatyczne Sp. z.o.o)</t>
  </si>
  <si>
    <t>asysta merytoryczna, usługi rozbudowy (§4300); Umowa nr 266/C/BBF/23 zawarta w dniu 29.12.2023r.  (MC- QNT Systemy Informatyczne Sp. z.o.o)</t>
  </si>
  <si>
    <t>dostęp do literatury fachowej - elektroniczny</t>
  </si>
  <si>
    <t>dostęp do literatury fachowej - elektroniczny - aktualizacja wiedzy, monitorowanie zmian</t>
  </si>
  <si>
    <t>Różne wydatki na rzecz osób fizycznych</t>
  </si>
  <si>
    <t>na rzecz żołnierzy i funkcjonariuszy</t>
  </si>
  <si>
    <t>Praktyki studenckie</t>
  </si>
  <si>
    <t>BDG</t>
  </si>
  <si>
    <t>nd</t>
  </si>
  <si>
    <t xml:space="preserve">Refundacja kosztów zakupu okularów i soczewek kontaktowych dla pracowników MC </t>
  </si>
  <si>
    <t xml:space="preserve">Pracownikom MC zatrudnionym na stanowiskach pracy wyposażonych w monitory ekranowe, którzy w czasie pracy obsługują monitor ekranowy co najmniej przez połowę dobowego wymiaru czasu pracy, przysługuje refundacja kosztówzakupu okularów lub soczewek kontaktowych korygujących wzrok, używanych do pracy przy monitorze ekranowym na podstawie zarządzenia Nr 2 DG MC z 16.08.2023 r. </t>
  </si>
  <si>
    <t>zarządzenie DG MC nr 2 z dnia 16.08.2023 r.</t>
  </si>
  <si>
    <t>Ryczałty - praca zdalna</t>
  </si>
  <si>
    <t>Pokrycie w formie ryczałtu kosztów energii elektrycznej oraz usługi Internetu niezbędnych do wykonywania pracy zdalnej przez pracowników</t>
  </si>
  <si>
    <t>Odszkodowania z tyt. spraw pracowniczych</t>
  </si>
  <si>
    <t>Odszkodowania - wyroki sądowe spr. pracownicze</t>
  </si>
  <si>
    <t>cnd</t>
  </si>
  <si>
    <t>BBF - do wyjaśnienia paragraf - wg mnie 4600/4610</t>
  </si>
  <si>
    <t>Świadczenie usług medycznych z zakresu medycyny pracy dla kandydatów do pracy i pracowników Ministerstwa Cyfryzacji</t>
  </si>
  <si>
    <t xml:space="preserve">Zapewnienie kandydatom do pracy i pracownikom Ministerstwa Cyfryzacji wstępnych, kontrolnych i okresowych badań medycyny pracy </t>
  </si>
  <si>
    <t>Placówka medycyny pracy</t>
  </si>
  <si>
    <t>Wynagrodzenia bezosobowe, w tym członków Komisji Dyscyplinarnej</t>
  </si>
  <si>
    <t>Zapewnienie środków na umowy cywilnoprawnej i wynagrodzenia składów orzekających Komisji Dyscyplinarnej Ministerstwa Cyfryzacji</t>
  </si>
  <si>
    <t xml:space="preserve">Organizacja płatnych staży absolwenckich </t>
  </si>
  <si>
    <t xml:space="preserve">Zapewnienie możliwości organizacji w MC płatnych staży absolwenckich </t>
  </si>
  <si>
    <t>2024/2025</t>
  </si>
  <si>
    <t>Zapewnienie usług wspracia psychologicznego dla pracowników MC</t>
  </si>
  <si>
    <t>Działania prewencyjne w zakresie work life balance</t>
  </si>
  <si>
    <t>wniosek nr 180/BDG/24</t>
  </si>
  <si>
    <t>Udział pracowników MC w konferencjach, refundacja studiów</t>
  </si>
  <si>
    <t>Zapewnienie możliwości udział pracowników MC w konferencjach, refundacji studiów</t>
  </si>
  <si>
    <t>Testy kompetencyjne z PTP w wersji papierowej</t>
  </si>
  <si>
    <t>Zapewnienie możliwości stosowania testów kompetencyjnych z PTP w wersji papierowej</t>
  </si>
  <si>
    <t>Literatura branżowa z zakresu zarządzania kapitałem ludzkim</t>
  </si>
  <si>
    <t xml:space="preserve">Zwiększenie wiedzy  z zakresu zzl poprzez literatura branżową </t>
  </si>
  <si>
    <t xml:space="preserve">Podnoszenie kwalifikacji zawodowych pracowników MC zatrudnionych w ksc </t>
  </si>
  <si>
    <t xml:space="preserve">Zapewnienie możliwości podnoszenia kwalifikacji zawodowych pracowników MC zatrudnionych w ksc </t>
  </si>
  <si>
    <t>Podnoszenie kwalifikacji zawodowych pracowników MC zatrudnionych poza ksc</t>
  </si>
  <si>
    <t>Zapewnienie możliwości podnoszenia kwalifikacji zawodowych pracowników MC zatrudnionych poza ksc</t>
  </si>
  <si>
    <t>usługa pocztowa</t>
  </si>
  <si>
    <t xml:space="preserve">   luty  2023</t>
  </si>
  <si>
    <t>24 miesiące lub do wyczerpania środków</t>
  </si>
  <si>
    <t>Świadczenie przez Wykonawcę na rzecz Zamawiającego usług pocztowych w obrocie krajowym i zagranicznym w zakresie przyjmowania, przemieszczania i doręczania przesyłek listowych oraz ich ewentualnych zwrotów</t>
  </si>
  <si>
    <t>na podstawie art. 2 ust. 1 pkt 1 ustawy z 11 września 2019 r. Prawo Zamówień Publicznych zawarta na okres od 16.05.2023 r. do 16.05.2025r.</t>
  </si>
  <si>
    <t xml:space="preserve">Umowa nr 211/BDG/23 </t>
  </si>
  <si>
    <t>Umowa nr 211/BDG/24</t>
  </si>
  <si>
    <t xml:space="preserve">Poczta Polska S.A </t>
  </si>
  <si>
    <t xml:space="preserve">                luty  2025</t>
  </si>
  <si>
    <t>2025-2029</t>
  </si>
  <si>
    <t>świadczenia usług pocztowych na kolejny okres t.j od 17.05.2025 (uwaga zmiana systemu - e-doręczenia)</t>
  </si>
  <si>
    <t>Poczta Polska S.A</t>
  </si>
  <si>
    <t>usługa kurierska</t>
  </si>
  <si>
    <t xml:space="preserve">      styczeń 2025</t>
  </si>
  <si>
    <t>Świadczenie przez Wykonawcę zagranicznych, krajowych, miejskich usług kurierskich w zakresie przyjmowania, przemieszczania i doręczania przesyłek dla Zamawiającego</t>
  </si>
  <si>
    <t xml:space="preserve">świadczenie usług kurierskich od stycznia 2025 r. na okres 12 mies., następne umowy/wnioski podpisywane z kurierem </t>
  </si>
  <si>
    <t>Firma kurierska</t>
  </si>
  <si>
    <t xml:space="preserve">e-Doręczenia </t>
  </si>
  <si>
    <t xml:space="preserve">      wrzesień   2024</t>
  </si>
  <si>
    <t>świadczenie usług z operatorem wyznaczonym do e-Doręczenia</t>
  </si>
  <si>
    <t xml:space="preserve">planowane </t>
  </si>
  <si>
    <t>Poczta Polska</t>
  </si>
  <si>
    <t xml:space="preserve">zakup usług </t>
  </si>
  <si>
    <t>zakup usług związanych z realizacją zadań BDG</t>
  </si>
  <si>
    <t>Delegacje krajowe</t>
  </si>
  <si>
    <t>Zabezpieczenie potrzeb w zakresie delegacji krajowych pracowników MC w związku z realizowanymi zadaniami.</t>
  </si>
  <si>
    <t>Biuro Ministra</t>
  </si>
  <si>
    <t>Rada do Spraw Cyfryzacji - koszty dojazdu</t>
  </si>
  <si>
    <t>Zwrot kosztów podróży dla członków Rady do Spraw Cyfryzacji reguluje art. 17 ust. 18 ustawy o informatyzacji działalności podmiotów realizujących zadania publiczne (Dz.U. 2017 poz. 570, z późn. zm.)
Rada ds. Cyfryzacji kadencji 2023-2025 spotyka się średnio na dwóch posiedzeniach miesięcznie. W połowie przyszłego roku nastąpi jednak zakończenie bieżącej kadencji RdC - nie ma możliwości przewidzenia, z jaką częstotliwością spotykać się będzie RdC kolejnej kadencji, kwoty na kolejne lata szacowane są więc na podstawie działań RdC obecnej kadencji.</t>
  </si>
  <si>
    <t>Rada do Spraw Cyfryzacji - wynagrodzenia</t>
  </si>
  <si>
    <t>Kwestie wynagrodzenia dla członków RdC reguluje aktualnie Rozporządzenie Ministra Administracji i Cyfryzacji z dnia 20 czerwca 2014 r. w sprawie wysokości wynagrodzenia członków Rady do Spraw Cyfryzacji (Dz.U. 2014 poz. 819).  
Rada ds. Cyfryzacji kadencji 2023-2025 spotyka się średnio na dwóch posiedzeniach miesięcznie. W połowie przyszłego roku nastąpi jednak zakończenie bieżącej kadencji RdC - nie ma możliwości przewidzenia, z jaką częstotliwością spotykać się będzie RdC kolejnej kadencji, kwoty na kolejne lata szacowane są więc na podstawie działań RdC obecnej kadencji.</t>
  </si>
  <si>
    <t>Wydatki związane z obsługą organizacyjną Ministra Cyfryzacji, wydatki związane z funkcjonowaniem magazynku upominków, Zakup książek, e-booków, publikacji i pomocy dydaktycznych potrzebych do realizacji zadań i poszerzania wiedzy pracowników BM</t>
  </si>
  <si>
    <t xml:space="preserve">Np.organizacja spotkań Ministra Cyfryzacji, zakup kwiatów itp.
Decyzja o ew.wydatkach zależna od bieżących potrzeb członków Kierownictwa </t>
  </si>
  <si>
    <t>Wydatki związane z funkcjonowaniem magazynku upominków</t>
  </si>
  <si>
    <t xml:space="preserve">Zarządzenie nr 13 Dyrektora Generalnego Ministerstwa Cyfryzacji z dnia 06.12.2023 r. </t>
  </si>
  <si>
    <t>Organizacja Dnia Dziecka</t>
  </si>
  <si>
    <t>Wydarzenie wewnętrzne dla dzieci pracowników</t>
  </si>
  <si>
    <t>Koszty sądowe związane ze skargami na bezczynność dot. Wniosków o udostępnienie informacji publicznej (sprawy administracyjne)</t>
  </si>
  <si>
    <t xml:space="preserve">Planowane na podstawie pisma znak: DP.MC.SSPO.0333.1.2024 z 4 czerwca 2024 r. </t>
  </si>
  <si>
    <t xml:space="preserve">Zakup książek, e-booków, publikacji i pomocy dydaktycznych potrzebych do realizacji zadań i poszerzania wiedzy pracowników </t>
  </si>
  <si>
    <t>Szybko zmieniające się przepisy, rozwój technologii informatycznych, pojawiające się nowe zagrożenia dotyczące bezpieczeństwa informacji wymuszają aktualizację wiedzy na powyższe zagadnienia.</t>
  </si>
  <si>
    <t>Komitet Audytu - wynagrodzenia członków niezależnych</t>
  </si>
  <si>
    <t xml:space="preserve">Na podstawie art. 288. ust. 1. ustawy o finansach publicznych Minister Cyfryzacji zobowiązany jest do powołania Komitetu Audytu. Zgodnie z przyjętym założeniem w skład KA powołanych będzie trzech członków niezależnych. Zgodnie z art. 290 ustawy członek niezależny komitetu audytu wykonuje swoje zadania za wynagrodzeniem. 
Z uwagi na możliwą zmianę wysokości przeciętnego wynagrodzenia w gospodarce narodowej, wg którego naliczane jest wynagrodzenie członków KA, szacowana kwota została podana w zaokrągleniu. Przyjęto przy tym przeciętne wynagrodzenia w gospodarce narodowej z roku 2022 r. które wynisi 6 346,15 zł (wzór do wyliczenia wynagrodzenia: https://sip.legalis.pl/document-full.seam?documentId=mfrxilrrge2tgnjvhaytqltwmvzc4mjxge2tc&amp;refSource=guide )
</t>
  </si>
  <si>
    <t>Zakup usług obejmujących wykonanie ekspertyz, analiz i opinii niezbędnych do realizacji zadań.</t>
  </si>
  <si>
    <t>Realizowane zadania często mają charakter wysokospecjalistyczny i konieczne jest wsparcie ze strony ekspertów zewnętrznych, czy też zlecenie analizy. Możliwość skorzystania z pomocy ekserta przewiduje m. in. ustawa o kontroli w administracji rządowej.</t>
  </si>
  <si>
    <t>Ocena zewnętrzna audytu wewnętrznego</t>
  </si>
  <si>
    <t>Obowiązek prowadzenia oceny zewnętrznej przynajmniej raz na pięć lat przez wykwalifikowaną, niezależną osobę lub zespół spoza organizacji - wynika z Międzynarodowych standardów praktyki zawodowej audytu wewnętrznego (standard 1312), wskazanych przez Ministra Finansów jako obowiązujące w Komunikacie Nr 4 Ministra Finansów z dnia 20 maja 2011 r. w sprawie standardów audytu wewnętrznego w jednostkach sektora finansów publicznych (Dz. Urz. Min. Fin. Nr 5, poz. 23).</t>
  </si>
  <si>
    <t>Podróże służbowe zagraniczne - pracowników BM</t>
  </si>
  <si>
    <t>Podróże służbowe zagraniczne pracowników BM  - w zależności od bieżących potrzeb</t>
  </si>
  <si>
    <t>Zaplanowane tylko delegacje zagraniczne, ponieważ delegacje krajowe dla całęgo MC planuje i zgłasza BDG.</t>
  </si>
  <si>
    <t>BK</t>
  </si>
  <si>
    <t xml:space="preserve">Zakup materiałów i wyposażenia </t>
  </si>
  <si>
    <t xml:space="preserve">Zakup materiałów promocyjnych (materiały edukacyjne, książki) </t>
  </si>
  <si>
    <t xml:space="preserve">Nie są zaangażowane środki. Nie można ograniczyć wysokości zadania. </t>
  </si>
  <si>
    <t xml:space="preserve">Zakup materiałów promocyjnych </t>
  </si>
  <si>
    <t xml:space="preserve">Gażdżety z logo MC </t>
  </si>
  <si>
    <t xml:space="preserve">Obrandowanie MC (ścianki, roll up'y z logo MC) </t>
  </si>
  <si>
    <t>Usługi poligraficzne (druk ulotek, broszur)</t>
  </si>
  <si>
    <t xml:space="preserve">Zakup usług </t>
  </si>
  <si>
    <t xml:space="preserve">Monitoring mediow </t>
  </si>
  <si>
    <t xml:space="preserve">Są zaanagżowane środki - 31 734 zł. Nie można ograniczyć wysokości zadania. </t>
  </si>
  <si>
    <t xml:space="preserve">Zakup usług - wynagrodzenia bezosobowe </t>
  </si>
  <si>
    <t>Obsługa fotograficzna i video</t>
  </si>
  <si>
    <t xml:space="preserve">Są zaanagżowane środki - 62 1000, 00 zł. Nie można ograniczyć wysokości zadania. </t>
  </si>
  <si>
    <t xml:space="preserve">Sprzęt AV (gimbale, mikrofony do nagrań) </t>
  </si>
  <si>
    <t xml:space="preserve">Licencje, subskrypcje roczne (wersje Premium, programy graficzne) </t>
  </si>
  <si>
    <t xml:space="preserve">Konkursy tematyczne i nagrody </t>
  </si>
  <si>
    <t xml:space="preserve">Wynagrodzenie agencyjno-prowizyjne </t>
  </si>
  <si>
    <t xml:space="preserve"> Produkcja i emisja kampanii info-promo (prezydencja Polski w UE) - zamówienie na agencje reklamowe</t>
  </si>
  <si>
    <t xml:space="preserve">Eventy, konferencje, DD w KPRM itp. - budżet nowego Wydziału ds. Koordynacji Wydarzeń </t>
  </si>
  <si>
    <t>Dodatkowe kampanie medialne (poza KEI) i niezaplanowane potrzeby innych departamentów dot. działań komunikacyjnych</t>
  </si>
  <si>
    <t>CRKC</t>
  </si>
  <si>
    <t>16.5.2.2</t>
  </si>
  <si>
    <t>Dogłębne audyty dostepności cyfrowej stron internetowych podmiotów publicznych zgodnie z realizacją zadań nałożonych przez Ustawę z dnia 4 kwietnia 2019 r. o dostępności cyfrowej stron internetowych i aplikacji mobilnych podmiotów publicznych (art. 12 pkt 2)</t>
  </si>
  <si>
    <t>Dogłębne audyty dostepności cyfrowej aplikacji mobilnych podmiotów publicznych zgodne z realizacją zadań nałożonych przez Ustawę z dnia 4 kwietnia 2019 r. o dostępności cyfrowej stron internetowych i aplikacji mobilnych podmiotów publicznych (art. 12 pkt 2)</t>
  </si>
  <si>
    <t xml:space="preserve">Utrzymanie programu do badania dostepności cyfrowej stron internetowych </t>
  </si>
  <si>
    <t>Tłumaczenie dokumentów dot. dostępności cyfrowej (normy, WCAG)</t>
  </si>
  <si>
    <t>Organizacja spotkań i konferencji (w tym koszty usług tłumacza) oraz konferencje organizpwane w ramach prezydencji Polski w UE</t>
  </si>
  <si>
    <t>Organizacja spotkań i konferencji (w tym koszty usług tłumacza)</t>
  </si>
  <si>
    <t>Prezydencja</t>
  </si>
  <si>
    <t>Badania i analizy</t>
  </si>
  <si>
    <t>Realizacja badań i analiz w zakresie kompetencji cyfrowych wynika z regulaminu organizacyjnego CRKC</t>
  </si>
  <si>
    <t>Zakup narzędzia do tworzenia ankiet onlinie</t>
  </si>
  <si>
    <t>Narzędzie jest niezbędne do realizacji niektórych badań własnymi zasobami CRKC.</t>
  </si>
  <si>
    <t>184/CRKC/24 (na rok 2024/2025)</t>
  </si>
  <si>
    <t>W 2025 r. procedowana będzie kolejna umowa na kolejne lata</t>
  </si>
  <si>
    <t xml:space="preserve">Dotacja dla NASK na utrzymanie realizacja umów wykonawczych, system IT do relokacji i dystrybucji,  wsparcia informacyjno-technicznego na potrzeby komputerów dla uczniów i realizacja konkursów na nadmiarowe laptopy. </t>
  </si>
  <si>
    <t>Realizacja zadania wynika z ustawy o  wsparciu rozwoju kompetencji cyfrowych uczniów i nauczycieli.</t>
  </si>
  <si>
    <t>realizowane</t>
  </si>
  <si>
    <t>113/CRKC/24</t>
  </si>
  <si>
    <t>Naukowa i Akademicka Sieć Komputerowa – Państwowy Instytut Badawczy</t>
  </si>
  <si>
    <t>podmioty pozostałe (z wyjątkiem PKP PLK S.A.)</t>
  </si>
  <si>
    <t xml:space="preserve">Pełnienie funkcji Podmiotu Zewnętrznego Zapewnienia Jakości </t>
  </si>
  <si>
    <t>Pełnienie funkcji Podmiotu Zewnętrznego Zapewnienia Jakości przez Siecią Badawczą Łukasiewicz - Instytutem Technologii Eksploatacji oraz Grupę Gumułkę - Euroedukacja, w stosunku do Intytucji Certyfikujących</t>
  </si>
  <si>
    <t>16.5.2.3</t>
  </si>
  <si>
    <t>Pełnienie funkcji Specjalisty bądź Eksperta</t>
  </si>
  <si>
    <t>Wykonawca przyjmując do wykonania Zadanie działa jako specjalista  bądź ekspert powołany do zespołu ekspertów, o którym mowa w ustawie o ZSK i rozporządzeniu MEN.</t>
  </si>
  <si>
    <t>pozostałe jednostki sektora finansów publicznych</t>
  </si>
  <si>
    <t xml:space="preserve">Przeciwdziałanie dezinformacji </t>
  </si>
  <si>
    <t>Dotacja celowa na wydatki bieżące z przeznaczeniem na realizację zadania pn. „Monitoring treści o potencjale dezinformacyjnym w mediach społecznościowych oraz prace rozwojowe nad usprawnieniem narzędzi wspierających budowanie odporności administracji publicznej oraz społeczeństwa wobec zjawiska dezinformacji poprzez działania naukowe i edukacyjne” na podstawie art. 37 ust. 1 i 2 ustawy z dnia 30 kwietnia 2010 r. o instytutach badawczych (Dz. U. z 2022 r. poz. 498) w wys. 11.916.503,52 zł. W ramach zadania  planowanego do kontynuacji  w 2024 roku  Naukowa i Akademicka Sieć Komputerowa – Państwowy Instytut Badawczy planuje zrealizować wydatki bieżące z przeznaczeniem na realizację m.in. następujących działań: 
-ciągły, bardziej precyzyjny monitoring infosfery;
rozwijanie dodatkowych funkcjonalności narzędzia do monitorowania dezinformacji;
- analiza narracji dezinformujących oraz wypracowanie predykcji sytuacji;
- edukacja interesariuszy z administracji publicznej w zakresie przeciwdziałania dezinformacji;
- ekspercki udział w konferencjach i wydarzeniach;
- kampanie informacyjne dla całego społeczeństwa.</t>
  </si>
  <si>
    <t>364/C/CRKC/2023 na kwotę 11.999.978,52 zł</t>
  </si>
  <si>
    <t>Dotacja celowa na wydatki majątkowe na zadanie "Monitoring treści o potencjale dezinformacyjnym w mediach społecznościowych oraz prace rozwojowe nad usprawnieniem narzędzi wspierających budowanie odporności administracji publicznej oraz społeczeństwa wobec zjawiska dezinformacji poprzez działania naukowe i edukacyjne” na podstawie art. 37 ust. 1 i 2 ustawy z dnia 30 kwietnia 2010 r. o instytutach badawczych (Dz. U. z 2022 r. poz. 498 w wys. 83.475,00 zł. W ramach zadania  planowanego do kontynuacji  w 2024 roku Naukowa i Akademicka Sieć Komputerowa – Państwowy Instytut Badawczy planuje zrealizować wydatki majątkowe na zakup rozwiązań z zakresu bezpieczeństwa. W ramach powyższej kwoty planuje się opłaty za licencje dla architektów i programistów utrzymujących aplikacje, licencji dla rozwiązań podnoszących efektywność i możliwości analityczne systemu oraz zakupy realizowane w celu rozbudowy platformy sprzętowej.</t>
  </si>
  <si>
    <t xml:space="preserve">Program wieloletni "Program Rozwoju Talentów Informatycznych na lata 2019-2029"   - Uchwała nr 43 Rady Ministrów z dnia 28 maja 2019 r. w sprawie ustanowienia programu wieloletniego "Program Rozwoju Talentów Informatycznych na lata 2019-2029", zmieniona uchwałą nr 134 Rady Ministrów z dnia 25 września 2020 r. oraz uchwałą nr 138 Rady Ministrów z dnia 25 października 2021 r. zmieniająca uchwałę w sprawie ustanowienia programu wieloletniego "Program Rozwoju Talentów Informatycznych na lata 2019-2029 </t>
  </si>
  <si>
    <t>Program wieloletni "Program Rozwoju Talentów Informatycznych na lata 2019-2029"</t>
  </si>
  <si>
    <t xml:space="preserve">Uchwała nr 43 Rady Ministrów z dnia 28 maja 2019 r. w sprawie ustanowienia programu wieloletniego "Program Rozwoju Talentów Informatycznych na lata 2019-2029", zmienioną uchwałą nr 134 Rady Ministrów z dnia 25 września 2020 r. oraz uchwałą nr 138 Rady Ministrów z dnia 25 października 2021 r. zmieniającą uchwałę w sprawie ustanowienia programu wieloletniego "Program Rozwoju Talentów Informatycznych na lata 2019-2029". Planowane jest ogłoszenie konkursów Ministra Cyfryzacji na przeprowadzenie konkursów: Mistrzostwa w Algorytmice i Programowaniu, Mistrzostwa w Projektowaniu Gier Komputerowych. </t>
  </si>
  <si>
    <t>Art 5a ust.1   ustawy o działalności pożytku publicznego i o wolontariacie - podstawa prawna uchwalenia Programu współpracy.Obecnie procedowany jest projekt Programu współpracy Ministra Cyfryzacji z organizacjami pozarządowymi oraz podmiotami wymienionymi w art. 3 ust. 3  ustawy o działalności pożytku publicznego i o wolontariacie na lata 2025-2027 , w projekcie tym przewidziano  kwotę  po 35.000 tys.  zł na 2025 rok i  kolejne lata .
Planowane jest udzielenie dotacji celowych przez Ministra Cyfryzacji  na podstawie  art. 11 ust. 2 oraz art. 13  ustawy z dnia 24 kwietnia 2003 r. o działalności pożytku publicznego i o wolontariacie (tj. Dz. U. z 2023 r. poz. 571) organizacjom pozarządowym oraz podmiotom wymienionym w art. 3 ust. 3 ustawy o działalności pożytku publicznego i o wolontariacie stosownie do zapisów zawartych w Programie współpracy Ministra Cyfryzacji. Jednym z celów Programu jest zaangażowanie organizacji pozarządowych w realizację zadań na rzecz rozwoju kompetencji cyfrowych obywateli rozwoju cyfrowej gospodarki; wspieranie i rozwijanie potencjału organizacji pozarządowych, aktywności obywatelskiej oraz nieformalnych inicjatyw. Planowane jest ogłoszenie otwartych  konkursów na realizację zadań ujętych w  ww. Programie.</t>
  </si>
  <si>
    <t>Program współpracy Ministra Cyfryzacji z organizacjami pozarządowymi oraz podmiotami wymienionymi w art. 3 ust. 3 ustawy o działalności pożytku publicznego i o wolontariacie na lata 2022-2024</t>
  </si>
  <si>
    <t>Program współpracy Ministra Cyfryzacji z organizacjami pozarządowymi oraz podmiotami wymienionymi w art. 3 ust. 3 ustawy o działalności pożytku publicznego i o wolontariacie na lata 2022-2024 na kwotę 35.000.000 zł. Podstawa prawna  -  art. 5b ust. 1 ustawy z dnia 24 kwietnia 2003 r. o działalności pożytku publicznego i o wolontariacie (Dz. U. z 2020 r. poz. 1057 oraz z 2021 r. poz. 1038, 1243 i 1535). Z uwagi że, w tym roku realizacja Programu się kończy,  przygotowywany jest projekt Programu na kolejne lata. W ramach aktualnie obowiązującego Programu planowane jest ogłoszenie konkursów skierowanych do NGO m.in. w przedmocie szkoleń z zaawansowanych kompetancji cyfrowych dla kobiet oraz innych grup odbiorców.</t>
  </si>
  <si>
    <t xml:space="preserve"> Przeciwdziałanie dezinformacji w wys. 5.000 tys. zł.
W ramach zadania planowane są na 2025 rok działania związane z dezinformacją m.in. szkolenia, działania informacyjno – promocyjne.</t>
  </si>
  <si>
    <t xml:space="preserve"> Przeciwdziałanie dezinformacji w wys. 5.000.000 zł.
W ramach zadania planowane są na 2025 rok działania związane z dezinformacją m.in. szkolenia, działania informacyjno – promocyjne ( w tym m.in. szkolenia, informacja oraz promocja w radiu i telewizji, internecie ). </t>
  </si>
  <si>
    <t>Dotacja celowa na wydatki bieżące  dla Instytutu Chemii Bioorganicznej PAN Poznańskie Centrum Superkomputerowo-Sieciowe w Poznaniu z przeznaczeniem na realizację projektu "Rozwój kompetencji cyfrowych w zakresie inżynierii kwantowej "-  na  podstawie   art. 10c ust 1,2 i 6  ustawy z dnia 8 sierpnia 1996 r. o Radzie Ministrów planowane jest wydanie decyzji Prezesa Rady Minsitrów  powierzającej Instytutowi realizację ww. projektu . Przewiduje się wydtaki min. na, wsparcie w zakresie wykorzystania mocy obliczeniowych komputera kwantowego IBM Quantum,Opracowanie wytycznych/założeń do programów studiów w zakresie inżynierii kwantowej, Przeprowadzenie pilotażu szkoleń dla kadry akademickiej z zakresu tematyki inżynierii kwantowej</t>
  </si>
  <si>
    <t xml:space="preserve">Rozwój kompetencji cyfrowych w zakresie inżynierii kwantowej </t>
  </si>
  <si>
    <t>Dotacja celowa na wydatki bieżące dla NASK-PIB  z przeznaczeniem na realizację zadania pn. „Monitoring treści o
potencjale dezinformacyjnym w mediach społecznościowych oraz prace rozwojowe nad
usprawnieniem narzędzi wspierających budowanie odporności administracji publicznej
oraz społeczeństwa wobec zjawiska dezinformacji poprzez działania naukowe i
edukacyjne",” na podstawie art. 37 ust. 1 i 2 ustawy z dnia 30 kwietnia 2010 r. o instytutach badawczych (Dz. U. z 2022 r. poz. 498). 
W ramach zadania  przewidziano realizację  m.in. działań:
-Szybkie wykrywanie i reagowanie na dezinformację 
(Częściowe utrzymanie systemu szybkiego reagowania, opracowanie strategii reagowania na dezinformację przez instytucje publiczne);
-Pogłębiona analiza i analiza trendów (ogólnodostępne raporty).
- Analiza trendów narracyjnych (ogólnodostępne raporty),
- Analiza kampanii dezinformacyjnych,
-Prowadzenie działań na rzecz edukacji społecznej oraz prowadzenie celowych kampanii, informacyjnych przy wykorzystaniu kanałów NASK.
-Opracowanie strategii komunikacji reakcji na dezinformacje instytucji publicznych.</t>
  </si>
  <si>
    <t>„Monitoring treści o potencjale dezinformacyjnym w mediach społecznościowych oraz prace rozwojowe nad
usprawnieniem narzędzi wspierających budowanie odporności administracji publicznej oraz społeczeństwa wobec zjawiska dezinformacji poprzez działania naukowe i edukacyjne</t>
  </si>
  <si>
    <t>Dotacja celowa dla NASK-PIB na wdrożenie przez NASK-PIB portalu o kompetencjach cyfrowych  oraz organizacji konferencji „Digital Skills Summit” realizowanych w ramach „Programu Rozwoju Kompetencji Cyfrowych”</t>
  </si>
  <si>
    <t>Realizacja działań wynikających z  Programu Rozwoju Kompetencji Cyfrowych</t>
  </si>
  <si>
    <t>Dotacja celowa dla NASK-PIB na realizację projektu szkoleniowego dla seniorów i uczniów pn. Szkoła międzypokoleniowa</t>
  </si>
  <si>
    <t>delegacje służbowe krajowe dla pracowników CRKC</t>
  </si>
  <si>
    <t>delegacje służbowe krajowe</t>
  </si>
  <si>
    <t>BBF - del krajowe dla całego urzędu zaplanowane przez BDG</t>
  </si>
  <si>
    <t>delegacje służbowe zagraniczne dla pracowników CRKC</t>
  </si>
  <si>
    <t>delegacje służbowe zagraniczne</t>
  </si>
  <si>
    <t>BBF - del zagraniczne dla całego urzędu zaplanowane przez DWM</t>
  </si>
  <si>
    <t xml:space="preserve">Catering okazjonalny </t>
  </si>
  <si>
    <t>Catering okazjonalny</t>
  </si>
  <si>
    <t>Catering okazjonalny niezbędny do prowadzonych spotkań i wydarzeń organizowanych przez CRKC, w tym np. Okrągły stół dla kobiet czy seniorów.</t>
  </si>
  <si>
    <t>Tłumaczenia</t>
  </si>
  <si>
    <t>tłumaczenia</t>
  </si>
  <si>
    <t>szkolenia dla pracowników CRKC</t>
  </si>
  <si>
    <t>szkolenia</t>
  </si>
  <si>
    <t>DBI</t>
  </si>
  <si>
    <t>Inny</t>
  </si>
  <si>
    <t>EBSI</t>
  </si>
  <si>
    <t>III kwartał 2024</t>
  </si>
  <si>
    <t>2024-2027</t>
  </si>
  <si>
    <t>Dotacja dla NASK - system EBSI - wydatki bieżące</t>
  </si>
  <si>
    <t>Realizacja zadania pn. „Pełnienie roli operatora węzła EBSI POLSKA” zakłada dofinansowanie działań Naukowej i Akademickiej Sieci Komputerowej – Państwowego Instytutu Badawczego (NASK – PIB), których celem jest realizacja działań związanych z rozwojem EBSI, budową, utrzymaniem i obsługą węzłów EBSI wg wymagań określanych przez grupę techniczną EBP, polskiej infrastruktury sieci EBSI i obsługiwanych z jej użyciem przypadków użycia wybranych w ramach EBP (Europejskie Porozumienie Blockchain) i podjętych do realizacji i świadczenia usług publicznych przez stosowne instytucje lub inne podmioty w Polsce.</t>
  </si>
  <si>
    <t>NASK</t>
  </si>
  <si>
    <t>Powinno być DEP</t>
  </si>
  <si>
    <t>Dotacja dla NASK - system EBSI - wydatki majątkowe</t>
  </si>
  <si>
    <t>Widok 2.0</t>
  </si>
  <si>
    <t>II kwartał 2024</t>
  </si>
  <si>
    <t>(Dotacja dla IŁ) Widok.gov.pl Platforma agregująca statystyki nt działaniach administracji publicznej w celu zachowania transparentności pracy + utrzymanie</t>
  </si>
  <si>
    <t>podpisana umowa/porozumienie</t>
  </si>
  <si>
    <t>IŁ</t>
  </si>
  <si>
    <t>Dotacja dla IŁ - Rozwój projektu wspomagania diagnostyki medycznej za pomocą technologii AI (e-Konsylium + platforma kardiologiczna)</t>
  </si>
  <si>
    <t>II kwartał</t>
  </si>
  <si>
    <t>Rozwój Technologii Przełomowych w Polsce - GRAI</t>
  </si>
  <si>
    <t>I-IV kwartał 2024</t>
  </si>
  <si>
    <t>Konferencje / materiały promocyjne  we współpracy z Grupą Roboczą ds. AI</t>
  </si>
  <si>
    <t>Organizacja konferencji służących promocji zastosowań technologii przełomowych w różnych sektorach gospodarki i w społeczeństwie,  ze szczególnym uwzględnieniem Internetu Rzeczy, Sztucznej Inteligencji. </t>
  </si>
  <si>
    <t>Publikacja Raportów/Opracowań / materiałów edukacyjnych, broszur informacyjnych itp. we współpracy z Grupą Roboczą ds. AI</t>
  </si>
  <si>
    <t xml:space="preserve">Działnia służyć będą rozpowszechnianiu i archiwizacji efektów wypracowanych opracowań analitycznych dot. zastosowań, analizy trendów dotyczących nowych technologii (IoT, AI) - stale uaktualnianych w związku z dynamiką rozwoju technologicznego. </t>
  </si>
  <si>
    <t>Badania/ekspertyzy m.in. we współpracy z Grupą Roboczą ds. AI</t>
  </si>
  <si>
    <t>Zlecanie badań i analiz eksperckich w obszarach: a/ wykorzystanie sztucznej inteligencji w przedsiębiorstwach - wpływ SI na rynek pracy; b/Opracowania analityczne / opracowania założeń do programów rozwoju IoT w Polsce; c/ ekonometryczne ekspertyzy dla mierników gospodarki cyfrowej. Eksperyzy będą podstawą do opracowywania kierunków dalszego rozwoju i powtarzane regularnie posłużą monitorowaniu postępów/efektów podejmowanych działań. Podstawa prawca: art. 4 ustawy z dnia 6 marca 2018 r. - Prawo przedsiębiorców, z wyłączeniem ekspertyz, analiz, opinii i innych materiałów sporządzanych i opłacanych w ramach realizowanych przez jednostkę remontów i inwestycji.</t>
  </si>
  <si>
    <t xml:space="preserve">Rozwój projektu i strony AI4SME agregującej potrzebne informacje i narzędzia dla wdrażania AI w małych i średnich przedsiębiorstwach </t>
  </si>
  <si>
    <t>Podnoszenie świadomości wykorzystania sztucznej inteligencji w sektorze małych i średnich przedsiębiorstw, a także promowanie polskich firm świadczących usługi w tym zakresie.</t>
  </si>
  <si>
    <t>Projekt Godna Zaufania Sztuczna Inteligencja zgodna z AI Act</t>
  </si>
  <si>
    <t>2024-2026</t>
  </si>
  <si>
    <t>Wdrożenie rozwiązań opartych o AI w usługach publicznych  wiąże się z różnymi wyzwaniami, nie tylko natury prawnej czy technologicznej. To również kwestia edukacji na temat tego, jak działa ta technologia i, jakie dostarcza nam możliwości. Istotne jest zwiększanie świadomości, że te rozwiązania są bezpieczne, a ich adopcja nie będzie skutkowała np. redukcją zatrudnienia, co z resztą jest dość powszechną obawą wśród pracowników w każdym sektorze.</t>
  </si>
  <si>
    <t>z Beneficjentem wyłonionym w drodze przetargu/postępowania konkursowego</t>
  </si>
  <si>
    <t>Składka członkowska w GPAI (the Global Partnership for Artificial Inteligence)</t>
  </si>
  <si>
    <t>prawna realizacja "Polityki dla Rozwoju Sztucznej Inteligencji w Polsce po 2020 r." wymaga aktywnego udziału Polski w międzynarodowych inicjatywach. Jedną z nich jest GPAI. Składka uzgodniona przez Państwa i organizacje wchodzące w skład inicjatywy (https://www.gpai.ai/community/) ma być wykorzystana na utrzymanie sekretariatu organizacji i realizacje projektów zaplanowanych wspólnie przez zaangażowane kraje. Polska chce i powinna mieć wływ na wypracowane przez organizację kierunki działań, czego wyrazem był list intencyjny Ministra Cyfryzacji z 9 listopada 2020 r. Uiszczanie składki zapewni Polsce rzeczywisty wpływ na podejmowane decyzje w ramach GPAI. Podstawę prawną dla uczestnictwa Polski w GPAI są zapisy  „Polityki dla rozwoju sztucznej inteligencji w Polsce od roku 2020” ustanowionej uchwałą nr 196 Rady Ministrów z dnia 28 grudnia 2020 r. (Rozdział 5 „AI i współpraca międzynarodowa” wraz  jej celem krótkookresowym pkt 3 , w zw. z rozdziałem 6 „AI i sektor publiczny”  i jej celem średniookresowym określonym w pkt 2 w zw. z wnioskami ze strony 62 i ramami polskiego ekosystemu określonymi w załączniku nr 2.). Składka na rzecz the Organisation for Economic Co-operation and Development (the OECD) ma być uiszczana w jednej transzy raz w roku. Podstawy jej wyliczenia zawiera załączony dokument OECD.  Polityka AI ma nierozłączny związek z realizacją działań na rzecz informatyzacji działalności podmiotów realizujących zadania publiczne, poprzez zapewnianie warunków do wdrazania technologii sztucznej inteligencji w optymalizacji procesów w administarcji publicznej.</t>
  </si>
  <si>
    <t>Wkład własny Polski w ALT-EDIC (europejskie konsorcjum Language Data Space - European Digital Infrastructure Consortium)</t>
  </si>
  <si>
    <t>Rozwój zastosowań technologii przełomowych w programie "Droga ku cyfrowej dekadzie"</t>
  </si>
  <si>
    <t>list intencyjny podpisany - Polska zadeklarowała swój udział w pracach nad wnioskiem o utworzenie ALT EDIC - Alliance for Language Technologies. Głównym celem projektu jest zachowanie różnorodności językowej i kulturowej w Europie oraz promowanie doskonałości technologicznej i przywództwa. Inne wyzwania obejmują zarządzanie tendencyjnością, frugal AI, wyjaśnialność lub możliwość ponownego wykorzystania modeli. Zakres EDIC wpisuje się w następujące obszary działań cyfrowej dekady: europejskie wspólne infrastruktura i usługi w zakresie danych, nabywanie superkomputerów i komputerów kwantowych i włączanie ich do Wspólnego Przedsięwzięcia w dziedzinie Europejskich Obliczeń Wielkiej Skali (Wspólnego Przedsięwzięcia EuroHPC); podłączona do sieci administracja publiczna; europejskie centra innowacji cyfrowych. Oczekiwane rezultaty obejmują m.in.: stworzenie platformy do gromadzenia tekstowych i głosowych baz danych, inkluzywne i reprezentatywne gromadzenie danych do modelowania języka czy kompilowanie i udostępnianie modeli językowych typu open source do ponownego wykorzystania w przemyśle.</t>
  </si>
  <si>
    <t>ALT EDIC</t>
  </si>
  <si>
    <t>nie jest umowa ale decyzja KE</t>
  </si>
  <si>
    <t>Wkład własny w Blockchain EDIC (europejskie konsorcjum European Digital Infrastructure Consortium)</t>
  </si>
  <si>
    <t>Zapewnienie wkładu własnego Polski w konsorcjum EDIC Blockchain na podstawie decyzji Parlamentu Europejskiego i Rady ustanawiajacego program "Droga ku cyfrowej dekadzie". Polska wzięła udział w złożeniu formalnego wniosku w sprawie utworzenia EDIC Blockchain (Europeum). Deklaracja udziału Polski w konsorcjum została podpisana przez Ministra Cyfryzacji. EDIC zapewni wzmocnienie i rozszerzenie dotychczas funkcjonującej wspólnej inicjatywy European Blockchain Partnership (EBP). W EBP uczestniczą wszystkie państwa członkowskie UE, a także Liechtenstein, Norwegia i Ukraina jako obserwatorzy. Wizją jest stworzenie solidnych ram instytucjonalnych, które ułatwią rozwój europejskiej infrastruktury blokchain i budowanie na niej usług. Celem konsorcjum jest zapewnienie nowej generacji bezpieczniejszych i wydajniejszych usług poprzez integrację zdecentralizowanych technologii w różnych obszarach rozwoju gospodarczego i społecznego, przy jednoczesnym zapewnieniu przestrzegania zasad zaufania, przejrzystości oraz osiągnięcia korzyści dla szerszej społeczności europejskiej. Zakres EDIC wpisuje się w szczególności w cele cyfrowej dekady dotyczące cyfryzacji usług publicznych oraz transformacji cyfrowej przedsiębiorstw, ale również rozwoju kompetencji cyfrowych. Oczekiwane rezultaty to: wspieranie transformacji cyfrowej usług publicznych i prywatnych, wzmocnienie zaufania i cyberodporności usług poprzez wykorzystanie technologii rejestrów rozproszonych i blockchain, przyspieszenie absorpcji rozwiązań infrastruktury cyfrowej przez rząd i przemysł, wspieranie rozwoju otwartych standardów i wspólnych praktyk, wzmocnienie umiejętności i kompetencji cyfrowych, wzmocnienie europejskiego ekosystemu usług i europejskiej autonomii.</t>
  </si>
  <si>
    <t>EUROPEUM EDIC</t>
  </si>
  <si>
    <t xml:space="preserve">Badania </t>
  </si>
  <si>
    <t>Dotacja dla NASK - Badania: Obszar innowacji, trendów i zagrożeń przyszłości</t>
  </si>
  <si>
    <t>Badania</t>
  </si>
  <si>
    <t>Dotacja dla NASK - Badania: Obszar obecnych problemów społecznych wynikających z cyfryzacji życia społecznego</t>
  </si>
  <si>
    <t>Dotacja dla NASK - Badania: Obszar obecnych programów/projektów ministerialnych i ich funkcjonalność społeczna</t>
  </si>
  <si>
    <t>Budowa w Polsce instalacji komputera kwantowego</t>
  </si>
  <si>
    <t>IV kwartał 2024</t>
  </si>
  <si>
    <t>Budowa w Polsce komputera kwantowego z 50% wkładu z EU, Podnoszenie potencjału Polski w zakresie przełomowej technologii kwantowej</t>
  </si>
  <si>
    <t>Ares(2024)4930551-08/07/2024</t>
  </si>
  <si>
    <t>EuroHPC JU</t>
  </si>
  <si>
    <t>(10c) Dotacja dla konsorcjum PLLum - Budowa otwartego polskiego dużego modelu językowego  (część konsorcjum z sektora finansów publicznych)</t>
  </si>
  <si>
    <t>I kwartał 2024</t>
  </si>
  <si>
    <t xml:space="preserve">Budowa transparentnego, otwartego i ope-source modelu LLM. Na takim modelu będą mogły bazować rozwiązania dla administracji publicznej. Model będzie dostępny dla wszystkich. </t>
  </si>
  <si>
    <t>1/WI/DBiI/2023</t>
  </si>
  <si>
    <t>Politechnika Wrocławska</t>
  </si>
  <si>
    <t>(10c) Dotacja dla ICHB - Dostęp do dedykowanego komputera kwantowego IBM i Q- HUB</t>
  </si>
  <si>
    <t xml:space="preserve">ICHB Pan  </t>
  </si>
  <si>
    <t>(10c) Dotacja dla konsorcjum PLLum - Budowa otwartego polskiego dużego modelu językowego  (część konsorcjum spoza sektora finansów publicznych)</t>
  </si>
  <si>
    <t>uczelnie publiczne</t>
  </si>
  <si>
    <t>Lider konsorcjum PLLuM (PWr) będzie wydatkowal srodki i rozliczal się z MC</t>
  </si>
  <si>
    <t>Usługi doradcze w zakresie działalności gospodarczej i zarządzania</t>
  </si>
  <si>
    <t>2024-2025</t>
  </si>
  <si>
    <t>Usługi doradcze w zakresie działalności gospodarczej i zarządzania oraz podobne</t>
  </si>
  <si>
    <t>Zapewnienie wsparcia eksperckiego przy przygotowywaniu do wdrożenia „Programu Krajowych Ram wspierania strategicznych inwestycji półprzewodnikowych” (dalej jako „Program”), w szczególności w zakresie zagadnień technicznych, ekonomicznych i prawnych.</t>
  </si>
  <si>
    <t>Olesiński i Wspólnicy Sp.k</t>
  </si>
  <si>
    <t>Wdrażanie i koordynacja Polityki rozwoju sztucznej inteliegncji</t>
  </si>
  <si>
    <t>I kwartał 2025</t>
  </si>
  <si>
    <t>2025-2027</t>
  </si>
  <si>
    <t>Powołanie zespołu koordynującego wdrażanie i realizację Polityki AI</t>
  </si>
  <si>
    <t>Fundusz AI</t>
  </si>
  <si>
    <t>III kwartał 2025</t>
  </si>
  <si>
    <t>Powołanie Funduszu AI</t>
  </si>
  <si>
    <t>BBF - proszę o decyzje kierunkowe</t>
  </si>
  <si>
    <t>ZPA Konferencja podsumowująca</t>
  </si>
  <si>
    <t>I kw 2025</t>
  </si>
  <si>
    <t>Konferencja ZPA</t>
  </si>
  <si>
    <t>Konferencja podsumowująca projekt ZPA - zgodnie z wytycznymi dla informacji i promocji Programu Operacyjnego Polska Cyfrowa i podpisaną umową o dofinansowanie</t>
  </si>
  <si>
    <t>Utrzymanie Portalu ZPA</t>
  </si>
  <si>
    <t>IV kw 2024-I kw 2025</t>
  </si>
  <si>
    <t>Utrzymanie Portalu ZPA NASK ustawa o ZPA (podmiotowa+celowa)</t>
  </si>
  <si>
    <t>Zapewnienie trwałości projektu realizowanego w ramach Programu Operacyjnego Polska Cyfrowa</t>
  </si>
  <si>
    <t>Utrzymanie Portalu ZPA NASK ustawa o informatyzacji (celowa)</t>
  </si>
  <si>
    <t>ZPA Certyfikaty</t>
  </si>
  <si>
    <t>II kw 2025</t>
  </si>
  <si>
    <t>ZPA Certyfikaty niezbędne do prawidłowego funkcjonowania Platformy ZPA (utrzymanie)</t>
  </si>
  <si>
    <t>ZPA - zakup Certyfikatów niezbędnych do prawidłowego funkcjonowania Platformy ZPA (utrzymanie)</t>
  </si>
  <si>
    <t>ZPA Licencje</t>
  </si>
  <si>
    <t>ZPA oprogramowanie analityczne i do budowy Platformy ZPA (utrzymanie)</t>
  </si>
  <si>
    <t>ZPA - zakup licencji oprogramowania analitycznego i przedłużenie do oprogramowania do budowy platformy</t>
  </si>
  <si>
    <t>BBF - paragraf skorygowany po uzgodnieniach z Dyr. Pamelą Krzypkowską na teams - wydatek majątkowy nie był zgłaszany do MF w formularzu BW-IA</t>
  </si>
  <si>
    <t>FERC</t>
  </si>
  <si>
    <t>Widok 3.0</t>
  </si>
  <si>
    <t>Projekt Widok 3.0</t>
  </si>
  <si>
    <t>udostępnienie portalu z narzędziami umożliwiającymi zwiększenie wpływu i udziału obywateli w życiu społecznym przez dostęp w jednym miejscu do odpowiednio zaprezentowanych danych z możliwością interakcji z administracją publiczną za pomocą zagregowanych usług z wykorzystanie nowoczesnych technologii i innowacyjnych rozwiązań</t>
  </si>
  <si>
    <t>BBF - usunięto kwoty z uwagi na wydatki projektowe z limitów MFiPR</t>
  </si>
  <si>
    <t>Sudium wykonalności i wsparcie merytoryczne w trakcie ocenie eksperckiej</t>
  </si>
  <si>
    <t>Opracowanie studium wykonalności i dokumentacji w tym analiz niezbędnych do uzyskania dofinansowania oraz wsparcie merytoryczne w trakcie oceny eksperckiej</t>
  </si>
  <si>
    <t>Urząd ds. AI (Komisja AI)</t>
  </si>
  <si>
    <t>Powołanie urzędu, komisji ds. nadzoru AI w sprawie AI Act</t>
  </si>
  <si>
    <t>To jest na urząd AI wynikajacy z AI Act, suma kosztów urzędowych  + wynagrodzenia</t>
  </si>
  <si>
    <t>BBF- zgodnie z mailem z 15.07.2024 r. - wątpliwości dot. nowego urzędu włącznie z pytaniem, czy MC powinno zabezpieczać na to środki.</t>
  </si>
  <si>
    <t>środki niezbędne do realizacji podróży służbowych</t>
  </si>
  <si>
    <t>delegacje służbowe</t>
  </si>
  <si>
    <t>2023/07/MC</t>
  </si>
  <si>
    <t>WNT</t>
  </si>
  <si>
    <t>BBF-del krajowe dla całego urzędu planuje BDG</t>
  </si>
  <si>
    <t>Delegacje zagranicznie</t>
  </si>
  <si>
    <t>II kwartał 2025</t>
  </si>
  <si>
    <t>BBF - del. Zagraniczne dla całego urzędu planuje DWM</t>
  </si>
  <si>
    <t>DC</t>
  </si>
  <si>
    <t>16.5.3.2.</t>
  </si>
  <si>
    <t xml:space="preserve">budżet państwa </t>
  </si>
  <si>
    <t>Zakup systemu cyber threat intelligence poziomu operacyjnego dla podmiotów krajowego systemu cyberbezpieczeństwa</t>
  </si>
  <si>
    <t>Celem zadania jest zakup rocznego dostępu do systemu rozpoznawania zagrożeń w cyberprzestrzeni (CTI) poziomu operacyjnego,  wspomagającego pracę zespołów cyberbezpieczeństwa , w tym zespów reagowania na incydenty komputerowe wchodzące w skład krajowego systemu cyberbezpieczeństwa. Dostęp do informacji CTI poziomu operacyjnego przyczyni się do zwiększenia skuteczności wykrywania oraz przewidywania cyberataków i reagowania na nie. System będzie pozyskany na potrzeby Ministerstwa Cyfryzacji i innych podmiotów zapewniających cyberbezpieczeństwo na poziomie krajowym.
Podstawa prawna: art. 62 ustawy z dnia 5 lipca 2018 r. o krajowym systemie cyberbezpieczeństwa (Dz.U. z 2023 r. poz. 913 z późn. zm.)</t>
  </si>
  <si>
    <t>zawarta umowa na 2024</t>
  </si>
  <si>
    <t>82/C/DC/23</t>
  </si>
  <si>
    <t>Trafford IT Spółka z o.o, Spółka kom.</t>
  </si>
  <si>
    <t>planowana kolejna umowa/Pzp</t>
  </si>
  <si>
    <t>usługi/dostawy - par. 430</t>
  </si>
  <si>
    <t>WAC</t>
  </si>
  <si>
    <t>Zakup systemu i usługi do symulowania ataków typu phishing i podnoszenia świadomości użytkowników MC</t>
  </si>
  <si>
    <t xml:space="preserve">Podnoszenie świadomości z zakresu cyberbezpieczeństwa, w szczególności reagowania na ataki typu phishing.
Głównym celem wskaznym w "Strategii Cyberbezpieczeństwa RP na lata 2019-2024" jest podniesienie poziomu odporności na cyberzagrożenia oraz zwięksenie poziomu ochrony informacji w sektorze publicznym, (...) oraz promowanie wiedzy i dobrych praktyk umożliwiających obywatelom lepszą ochronę ich informacji. Jednym z celów szczegółowych Strategii jest budowanie świadomości i kompetencji społecznych w zakresie cyberbezpieczeństwa - zwiększanie kompetencji kadry podmiotów istotnych dla cyberbezpieczeństwa RP.
Dodatkowo, zgodnie z ustawą o krajowym systemie cyberbezpieczeństwa, podmioty realizujące zadania publiczne zobowiązane są do zapewnienia zarządzania incydentami. Z prowadzonych przez DC zadań związanych z obsługą incydentów cyberbezpieczeństwa wynika, że wiele z nich dotyczy phishingu. </t>
  </si>
  <si>
    <t>WBT</t>
  </si>
  <si>
    <t>16.5.3.1.</t>
  </si>
  <si>
    <t>Dotacja podmiotowa CSIRT - NASK</t>
  </si>
  <si>
    <t>Podstawa prawna: art. 26 ust. 9 ustawy z dnia 5 lipca 2018 r. o krajowym systemie cyberbezpieczeństwa.
Utrzymanie i rozwój Zespołu Reagowania na Incydenty Bezpieczeństwa Komputerowego (CSIRT) przy Naukowej i Akademickiej Sieci Komputerowej Państwowym Instytucie Badawczym polega na realizacji zadań ściśle określonych w ustawie o krajowym systemie cyberbezpieczeństwa wprost wymienionych w zadań wymienionych w art. 26 oraz w związku z art. 26 ust. 9 w ustawie z dnia 5 lipca 2018 r. o krajowym systemie cyberbezpieczeństwa</t>
  </si>
  <si>
    <t>planowane po przyjęciu ustawy budżetowej</t>
  </si>
  <si>
    <t>NASK-PIB</t>
  </si>
  <si>
    <t>dotacja podmiotowa kontynuacja</t>
  </si>
  <si>
    <t>dotacja podmiotowa</t>
  </si>
  <si>
    <t>WFKSC</t>
  </si>
  <si>
    <t>Dotacja Celowa - ochrona i rozwój systemu teleinformatycznego S46 (wydatki majątkowe).</t>
  </si>
  <si>
    <t xml:space="preserve">Podstawa prawna: art. 47 ust. 2 ustawy z dnia 5 lipca 2018 r. o krajowym systemie cyberbezpieczeństwa.
Zadanie polega na utrzymaniu i rozwoju warstwy technologicznej i aplikacyjnej S46 oraz działanie systemu S46 w trybie ciągłym, zwiększenia odporności na katastrofy oraz zwiększenia korzyści z wykorzystania systemu poprzez zwiększenie liczby podłączonych do S46 podmiotów krajowego systemu cyberbezpieczeństwa. Za utrzymanie systemu S46, zgodnie z art. 46 ustawy o krajowym systemie cyberbezpieczeństwa, odpowiada minister właściwy do spraw informatyzacji. Jest to zadanie ciągłe. </t>
  </si>
  <si>
    <t>79/DC/D/2022</t>
  </si>
  <si>
    <t>kontynuacja dotacji</t>
  </si>
  <si>
    <t>dotacje -majątkowe- par. 6…</t>
  </si>
  <si>
    <t>Dotacja Celowa - ochrona i rozwój systemu teleinformatycznego S46 (wydatki bieżące)</t>
  </si>
  <si>
    <t>dotacja celowa -bieżące</t>
  </si>
  <si>
    <t>Dotacja celowa na Utrzymanie i rozwój systemu łączności mobilnej umożliwiającej przetwarzanie informacji niejawnych do klauzuli „zastrzeżone” SKR-Z</t>
  </si>
  <si>
    <t>Rozwój i utrzymania systemu SKR-Z na 2024 r. Aneks 2 do k. 2024 r. Podstawa prawna: art. 37 ust. 1 ustawy z dnia 30 kwietnia 2010 r. o instytutach badawczych (t.j. Dz.U. z 2022 r. poz. 498).</t>
  </si>
  <si>
    <t>80/DC/D/2022</t>
  </si>
  <si>
    <t>WPiWO</t>
  </si>
  <si>
    <t>16.5.3.4.</t>
  </si>
  <si>
    <t>Abonament Panel Agenta - niezbędny do komunikatora Threema</t>
  </si>
  <si>
    <t>Umowa udzielona z wyłączeniem ustawy PZP na podstawie art. 12 ust. 1 pkt 1 litera b z uwagi na istotny interes bezpieczeństwa państwa.Abonament niezbędny do komunikatora Threema</t>
  </si>
  <si>
    <t>planowana kolejna umowa/ Pzp</t>
  </si>
  <si>
    <t>abonament tel.-par. 436</t>
  </si>
  <si>
    <t>Porozumienie pomiędzy NASK-PIB a MC na abonamenty SKR-Z</t>
  </si>
  <si>
    <t>Podstawa prawna: art. 37 ust. 1 ustawy z dnia 30 kwietnia 2010 r. o instytutach badawczych (t.j. Dz.U. z 2022 r. poz. 498)</t>
  </si>
  <si>
    <t>Zakup usługi konfiguracji i uruchomienia Oprogramowania na Platformie oraz zapewnienie dostępu do Usługi, która polega na udostępnieniu Oprogramowania zainstalowanego na Platformie w modelu usługowym (SaaS)</t>
  </si>
  <si>
    <t>Utrzymanie i rozwój komunikatora Threema (wersja mobilna, desktop i web).</t>
  </si>
  <si>
    <t>692/DC/22</t>
  </si>
  <si>
    <t>Operator Chmury Krajowej Sp. z o.o.</t>
  </si>
  <si>
    <t>Forum cyberbezpieczeństwa - w ramach Europejskiego Kongresu Gospodarczego, Katowice 2024</t>
  </si>
  <si>
    <t xml:space="preserve">Znacząca konferencja w Europie Centralnej, zrzeszająca przedstawicieli biznesu, polityki, ekspertów świata IT i branży cyberbezpieczeństwa. Cel: informowanie o aktualnych priorytetach i działaniach MC, budowanie wizerunku MC, promocja, networking. W 2024 planowane również zaangażowanie DC MC i sieci Krajowych Centrów Koordynacji Kompetencji Cyberbezpieczeństwa NCC-PL.  </t>
  </si>
  <si>
    <t>WSiPP</t>
  </si>
  <si>
    <t>CyberLekcje</t>
  </si>
  <si>
    <t>zadanie adresowane do uczniów szkół podstawowych i średnich,  nawiązujące do zadania realizowanego w latach 2021-2022</t>
  </si>
  <si>
    <t xml:space="preserve">Bezpieczni w Sieci </t>
  </si>
  <si>
    <t>Głównym celem zadania „Projekt edukacyjny Bezpieczni w sieci”, jest przekazanie nauczycielom i uczniom (klas 7-8 szkół podstawowych oraz szkół ponadpodstawowych) podstawowej wiedzy z zakresu bezpiecznego i świadomego korzystania z internetu, podniesienie świadomości na temat zagrożeń w intrenecie oraz sposobów ochrony przed tymi zagrożeniami. Projekt ma również wyposażyć nauczycieli w odpowiednią wiedzę, jak zapobiegać zagrożeniom i reagować na incydenty naruszenia bezpieczeństwa cyfrowego.
Podstawa prawna: art. 45 ust. 1 pkt 4 ustawy o krajowym systemie cyberbezpieczeństwa tj. prowadzenie działań informacyjnych dotyczących dobrych praktyk, programów edukacyjnych, kampanii i szkoleń na rzecz poszerzania wiedzy i budowania świadomości z zakresu cyberbezpieczeństwa, w tym bezpiecznego korzystania z Internetu przez różne kategorie użytkowników. Ponadto, cel szczegółowy nr 4 Strategii Cyberbezpieczeństwa Rzeczypospolitej Polskiej na lata 2019-2024.</t>
  </si>
  <si>
    <t>Dotacja celowa na realizację zadania pn. Działania prewencyjno-edukacyjne z zakresu cyberbezpieczeństwa w 2024 roku – podnoszenie odporności Rzeczypospolitej Polskiej na zagrożenia w przestrzeni cyfrowej</t>
  </si>
  <si>
    <t>Realizacja zadania jest odpowiedzią na stale rosnącą liczbę zgłaszanych zdarzeń i incydentów cyberbezpieczeństwa, co wymaga podjęcia skoordynowanych działań w skali całego kraju odpowiednio dopasowanych do jak najszerszego kręgu odbiorców. Realizacja zadania przyczyni się do wzmocnienia poziomu odporności struktur państwa na zagrożenia w przestrzeni cyfrowej. Zwiększanie świadomości zagrożeń oraz budowanie kompetencji kadry zarządczej i personelu instytucji kluczowych dla bezpieczeństwa publicznego i dobra obywateli jest istotnym narzędziem w zakresie ochrony państwa przed próbami destabilizacji funkcjonowania Rzeczypospolitej Polskiej.
Podstawa prawna: art. 37 ust. 1 ustawy o instytutach badawczych</t>
  </si>
  <si>
    <t>16.5.1.3.</t>
  </si>
  <si>
    <t>Polska Akademia Nauk i tworzone przez nią jednostki organizacyjne</t>
  </si>
  <si>
    <t>PIONIER-Q
Dotacja celowa na realizację zadania z zakresu informatyzacji sektora publicznego oraz innowacji cyfrowych, polegającego na utrzymaniu zdolności zleceniobiorców do realizacji projektu pn. „PIONIER-Q: Ogólnopolska Kwantowa Infrastruktura Komunikacyjna”, będącego wkładem Polski do inicjatywy EuroQCI – budowy europejskiej infrastruktury komunikacji kwantowej</t>
  </si>
  <si>
    <t>Realizacja projektu PIONIER-Q jest kluczowym elementem dla efektywnego udziału Polski w EuroQCI. W ramach Projektu zostanie uruchomiona infrastruktura oraz usługi związane z generowaniem oraz przesyłaniem kluczy w technologii kwantowej dystrybucji kluczy (QKD – Quantum Key Distribution). Długofalowym celem Projektu jest wypracowanie rozwiązań oraz zbudowanie fundamentów pod sieci bezpiecznej komunikacji między innymi dla jednostek administracji lokalnej, centralnej oraz na poziomie transgranicznym (pomiędzy państwami członkowskimi i instytucjami UE). Projekt wprost przyczyni się do podnoszenia kwalifikacji w zakresie innowacji cyfrowych i rozwoju społeczeństwa informacyjnego poprzez wytworzenie i uruchomienie usług dla obsługi eksperymentów badawczych z wykorzystaniem infrastruktury komunikacji kwantowej.
Podstawa prawna: art. 10c ustawy o Radzie Ministrów oraz decyzja PRM z 08.12.2023 r.
Beneficjentami są:
1. Instytut Chemii Bioorganicznej PAN – koordynator,
2. Akademii Górniczo-Hutnicza im. Stanisława Staszica w Krakowie,
3. Naukowa i Akademicka Sieć Komputerowa – Państwowy Instytut Badawczy,
4. Politechnika Gdańska,
5. Politechnika Wrocławska,
6. Uniwersytet Warszawski.</t>
  </si>
  <si>
    <t>156/DC/D/2023</t>
  </si>
  <si>
    <t>Instytut Chemii Bioorganicznej PAN (koordynatorem - na podstawie porozumień pomiędzy Beneficjentami a koordynatorem)</t>
  </si>
  <si>
    <t>Obsługa Forum Ochrony Infrastruktury Krytycznej MC</t>
  </si>
  <si>
    <t>Systemowe forum Ochrony Infrastruktury krytycznej Ministra Cyfryzacji mające na celu podnoszenie świadomości oraz budowa świadomości sytuacyjnej dotyczących bieżących wyzwań i zagrożeń, a także trendów w kontekście ochrony i bezpieczeństwa IK. Zadanie realizowane na podstawie art. 12. ust. 1 ustawy z dnia 26 kwietnia 2007 r. o zarządzaniu kryzysowym (Dz. U. z 2023 r. poz. 122).</t>
  </si>
  <si>
    <t>organizacja Forum Organów Właściwych</t>
  </si>
  <si>
    <t>Wydatek przeznaczony na usługę z zakresu przygotowania i dostarczenia posiłków (cateringu) na spotkania organów właściwych krajowego systemu cyberbezpieczeństwa. Powyższa inicjatywa (organizowana cyklicznie – raz na kwartał lub w miarę potrzeby częściej) służy wymianie doświadczeń, wiedzy, opracowaniu wniosków i rekomendacji – w celu efektywniejszego i skuteczniejszego wykonywania powierzonych zadań przez organy właściwe oraz lepszemu zrozumieniu wyzwań, jakie współczesne zagrożenia stawiają przed nadzorowanymi sektorami. Jest również doskonałą okazją na stworzenie przestrzeni do wymiany doświadczeń, wiedzy, nawiązania współpracy, jak również wypracowywania wspólnych stanowisk, czy też diagnozowania aktualnych potrzeb.</t>
  </si>
  <si>
    <t>organizacja Forum Operatorów Usług Kluczowych</t>
  </si>
  <si>
    <t xml:space="preserve">Wydatek przeznaczony na usługę z zakresu przygotowania i dostarczenia posiłków (cateringu) na spotkanie organu właściwego do spraw cyberbezpieczeństwa z operatorami usług kluczowych w nadzorowanym sektorze - infrastruktura cyfrowa. Powyższa inicjatywa  ma na celu nawiązanie relacji, wymianę wiedzy, doświadczeń, diagnozowanie aktualnych potrzeb operatorów usług kluczowych w sektorze infrastruktura cyfrowa aby mogli oni jeszcze bardziej efektywnie realizować swoje ustawowe obowiązki. Ponadto Forum przyczyni się do poznania wyzwań, trudności z jakimi mierzą się operatorzy usług kluczowych co pozwoli organowi właściwemu na pomoc, wypracowanie środków zaradczych, a tym samym zwiększenie bezpieczeństwa świadczonych usług kluczowych. </t>
  </si>
  <si>
    <t>Zakup zewnętrznej kamery podłączanej do komputera przez USB na potrzeby prowadzenia szkoleń online dla podmiotów ksc</t>
  </si>
  <si>
    <t>Zakup profesjonalnej zewnętrznej kamery jest niezbędny do podniesienia jakości szkoleń online, które są realizowane przez Departament Cyberbezpieczeństwa od 2020 roku oraz webinariów realizowanych zasobami własnymi. 
Podstawa prawna: Działania podnoszące świadomość - art.45 ust 1 pkt 4 ustawy o krajowym systemie cyberbezpieczeństwa oraz realizacja celu szczegółowego nr 4 Strategii Cyberbezpieczeństwa RP na lata 2019-2024, a także §14 pkt 2 reg. org. MC.</t>
  </si>
  <si>
    <t>materiały</t>
  </si>
  <si>
    <t>Ćwiczenia cyberbezpieczeństwa dla podmiotów krajowego systemu cyberbezpieczeństwa</t>
  </si>
  <si>
    <t xml:space="preserve">Podstawa prawna: Inicjowanie krajowych ćwiczeń - art.62 ust 1 pkt 5 ustawy o krajowym systemie cyberbezpieczeństwa </t>
  </si>
  <si>
    <t>nowa umowa</t>
  </si>
  <si>
    <t>Zakup rocznego dostępu do oprogramowania do mailingu</t>
  </si>
  <si>
    <t>Prowadzenie szkoleń online dla dużej liczby uczestników oraz utrzymywanie własnej bazy subskrybentów bazy wiedzy cyberbezpieczeństwa, wiąże się z częstą wysyłką maili do dużej liczby odbiorców (powyżej 2000 i ciągle rośnie). Oprogramowanie to zapewni prawidłowe dostarczenie maili, bez obawy o zakwalifikowanie ich jako spam z jednoczesnym spadkiem wiarygodności naszej domeny pocztowej.
Kwota została uśredniona z uwagi na różnicę w cenach producentów oprogramowania do mailingu w złotówkach i w walutach obcych. 
Podstawa prawna: Działania podnoszące świadomość - art.45 ust 1 pkt 4 ustawy o krajowym systemie cyberbezpieczeństwa oraz realizacja celu szczegółowego nr 4 Strategii Cyberbezpieczeństwa RP na lata 2019-2024, a także §14 pkt 2 reg. org. MC.</t>
  </si>
  <si>
    <t>przedłużenie licencji</t>
  </si>
  <si>
    <t>Zakup profesjonalnego mikrofonu do realizacji szkoleń online dla podmiotów ksc</t>
  </si>
  <si>
    <t>Zakup profesjonalnego mikrofonu jest niezbędny do podniesienia jakości szkoleń online, które są realizowane przez Departament Cyberbezpieczeństwa od 2020 roku oraz webinariów realizowanych zasobami własnymi. 
Podstawa prawna: Działania podnoszące świadomość - art.45 ust 1 pkt 4 ustawy o krajowym systemie cyberbezpieczeństwa oraz realizacja celu szczegółowego nr 4 Strategii Cyberbezpieczeństwa RP na lata 2019-2024, a także §14 pkt 2 reg. org. MC.</t>
  </si>
  <si>
    <t>Zakup profesjonalnych słuchawek do realizacji szkoleń online dla podmiotów ksc</t>
  </si>
  <si>
    <t>Zakup profesjonalnych słuchawek jest niezbędny do podniesienia jakości szkoleń online, które są realizowane przez Departament Cyberbezpieczeństwa od 2020 roku oraz webinariów realizowanych zasobami własnymi. 
Podstawa prawna: Działania podnoszące świadomość - art.45 ust 1 pkt 4 ustawy o krajowym systemie cyberbezpieczeństwa oraz realizacja celu szczegółowego nr 4 Strategii Cyberbezpieczeństwa RP na lata 2019-2024, a także §14 pkt 2 reg. org. MC.</t>
  </si>
  <si>
    <t>16.5.3.3.</t>
  </si>
  <si>
    <t xml:space="preserve">Usługa tłumaczeń pisemnych wraz z weryfikacją merytoryczną, redakcyjną i językową oraz usługa korekty redakcyjnej i językowej przetłumaczonych na język polski dokumentów
</t>
  </si>
  <si>
    <t>Kontynuacja realizacji umowy zawartej w 2022 r.
Podstawa prawna: Realizacja celu szczegółowego nr 2 Strategii Cyberbezpieczeństwa RP na lata 2019-2024, a także §14 pkt 2 reg. org. MC.</t>
  </si>
  <si>
    <t>1112/DSZ/22 dla części III zamówienia</t>
  </si>
  <si>
    <t>Lingua Lab s.c. Weronika Szyszkiewicz, Małgorzata Dembińska</t>
  </si>
  <si>
    <t>tłumaczenia - par. 438</t>
  </si>
  <si>
    <t>Zakup subskrypcji translatora maszynowego</t>
  </si>
  <si>
    <t>Subskrypcja dostępu do translatora maszynowego jest niezbędna do realizacji bieżących zadań Wydziału Szkoleń i Standaryzacji Cyberbezpieczeństwa (oraz w razie potrzeby pozostałych wydziałów DC), w szczególności w zakresie opracowywania i aktualizacji rekomendacji i dobrych praktyk z obszaru cyberbezpieczeństwa oraz przygotowywania i prowadzenia działań na rzecz poszerzania wiedzy i budowania świadomości z zakresu cyberbezpieczeństwa, a także opiniowania norm, standardów, rekomendacji, wytycznych oraz zaleceń wydawanych przez ISO/IEC, ENISA, PKN i inne organizacje normalizacyjne.
Podstawa prawna: Realizacja celu szczegółowego nr 2 Strategii Cyberbezpieczeństwa RP na lata 2019-2024, a także §14 pkt 2 reg. org. MC.</t>
  </si>
  <si>
    <t xml:space="preserve">Usługa organizacji konferencji  z okazji 5-lecia Programu PWCyber </t>
  </si>
  <si>
    <t>Program PWCyber stanowi realizacje zadań Ministra Cyfryzacji w zakresie ustawy o krajowym systemie cyberbezpieczeństwa, tj. rekomendowania obszarów współpracy z sektorem prywatnym w celu zwiększenia cyberbezpieczeństwa Rzeczypospolitej Polskiej. Z okazji 5-lecia istnienia programu zaplanowano konferencję merytoryczną z zakresu cyberbezpieczeństwa i współpracy w tym obszarze pomiędzy sektorem prywatnym i publicznym. Spotkanie ma służyć zacieśnianiu współpracy oraz rozwijania wspólnych działań podnoszących poziom cyberbezpieczeństwa RP (mi. szkoleń, certyfikacji, legislacji, czy nowych technologii).
Kwota obejmuje usługę kompleksowej organizacji w tym m.in. wynajem sali konferencyjnej, wyposażenia technicznego, cateringu, prowadzenia zapisów). 
Podstawa prawna: Rekomendowanie obszarów współpracy - art.45 ust 1 pkt 2 ustawy o krajowym systemie cyberbezpieczeństwa oraz realizacja celu szczegółowego nr 3 Strategii Cyberbezpieczeństwa RP na lata 2019-2024, a także §14 pkt 1 reg. org. MC.</t>
  </si>
  <si>
    <t>usługi/dostawy - par. 431</t>
  </si>
  <si>
    <t xml:space="preserve">
Usługa wydruku materiałów informacyjnych i publikacji związanych z Programem PWCyber</t>
  </si>
  <si>
    <t>Program PWCyber stanowi realizacje zadań Ministra Cyfryzacji w zakresie ustawy o krajowym systemie cyberbezpieczeństwa, tj. rekomendowania obszarów współpracy z sektorem prywatnym w celu zwiększenia cyberbezpieczeństwa Rzeczypospolitej Polskiej. W celu zapewnienia skuteczności działań Programu oraz informowania o realizowanych działaniach w 2024 r. zaplanowano opracowanie, korektę, skład, wydruk i rozpowszechnienie materiałów informacyjnych dotyczących programu. Z uwagi na różny charakter zadań na poszczególnym etapie "produkcji" materiałów rozdzielono działania na odrębne zadania, uwzględnione w niniejszej tabeli.
Podstawa prawna: Rekomendowanie obszarów współpracy - art.45 ust 1 pkt 2 ustawy o krajowym systemie cyberbezpieczeństwa oraz realizacja celu szczegółowego nr 3 Strategii Cyberbezpieczeństwa RP na lata 2019-2024, a także §14 pkt 1 reg. org. MC.</t>
  </si>
  <si>
    <t>usługi/dostawy - par. 432</t>
  </si>
  <si>
    <t xml:space="preserve">Usługa składu, łamania oraz korekty publikacji o cyberbezpieczeństwie    </t>
  </si>
  <si>
    <t>usługi/dostawy - par. 433</t>
  </si>
  <si>
    <t>Opracowanie Księgi Identyfikacji Wizualnej Programu PWCyber</t>
  </si>
  <si>
    <t>Program PWCyber stanowi realizacje zadań Ministra Cyfryzacji w zakresie ustawy o krajowym systemie cyberbezpieczeństwa, tj. rekomendowania obszarów współpracy z sektorem prywatnym w celu zwiększenia cyberbezpieczeństwa Rzeczypospolitej Polskiej. W celu zapewnienia odpowiedniej identyfikacji i rozpoznawalności Programu, która wpłynie na jego zasięg oddziaływania, zaplanowano opracowanie Księgi Identyfikacji Wizualnej.
Podstawa prawna: Rekomendowanie obszarów współpracy - art.45 ust 1 pkt 2 ustawy o krajowym systemie cyberbezpieczeństwa oraz realizacja celu szczegółowego nr 3 Strategii Cyberbezpieczeństwa RP na lata 2019-2024, a także §14 pkt 1 reg. org. MC.</t>
  </si>
  <si>
    <t>usługi/dostawy - par. 434</t>
  </si>
  <si>
    <t xml:space="preserve">Opracowanie materiałów informacyjnych PWCyber
</t>
  </si>
  <si>
    <t>usługi/dostawy - par. 435</t>
  </si>
  <si>
    <t>współfinansowanie wydatków bieżących w zakresie podatku VAT dla wydatków z KPO</t>
  </si>
  <si>
    <t>VAT niezbędny do realizacji projektu KPO nr C3.1.1, gdyż VAT jest niekwalifikowalny w KPO - dla jednostek sektora fin. Publ.</t>
  </si>
  <si>
    <t>wystąpienie MF</t>
  </si>
  <si>
    <t>inne</t>
  </si>
  <si>
    <t>Zespół Ochrony Informacji Niejawnych - zakup sprzętu</t>
  </si>
  <si>
    <t>W 2024 r. zostało zaplanowane uruchomienie nowego (dodatkowego) stanowiska służacego do przetwarzania informacji niejawnych, które będzie wyposażone w urządzenie wielofunkcyjne.</t>
  </si>
  <si>
    <t>ZOiN</t>
  </si>
  <si>
    <t>Działania DC związane z Prezydencją - obsługa spotkań z udziałem delegacji państw członków UE</t>
  </si>
  <si>
    <t>Konferencje, koszty przyjęcia delegacji zagranicznych w celu omówienia działań i proprytetów podejmowanych przez PL Prezydencję. Gadżety. Organizacja spotkań koordynujących</t>
  </si>
  <si>
    <t>WWMOC</t>
  </si>
  <si>
    <t>Umowy cywilno-prawne dla stażystów w ramach programu stażowego w MC w 2024 roku</t>
  </si>
  <si>
    <t>Podnoszenie wiedzy i popularyzacja działań z obszaru cyberbez[ieczeństwa, współpracy międzynarodowej, administracji.</t>
  </si>
  <si>
    <t>Umowa body leasingu</t>
  </si>
  <si>
    <t>Zatrudnienie w bodyleasingu</t>
  </si>
  <si>
    <t>Koszty organizacji stanowiska pracy dla pracowników wydziału krajowego systemu certyfikacji cyberbezpieczeństwa</t>
  </si>
  <si>
    <t>Należy podkreślić, że wydatki związane z utworzeniem krajowego systemu certyfikacji cyberbezpieczeństwa są niezbędne do wykonania Rozporządzenia Parlamentu Europejskiego i Rady (UE) 2019/881 z dnia 17 kwietnia 2019 r. w sprawie ENISA (Agencji Unii Europejskiej ds. Cyberbezpieczeństwa) oraz certyfikacji cyberbezpieczeństwa w zakresie technologii informacyjno-komunikacyjnych oraz uchylenia rozporządzenia (UE) nr 526/2013. Aby zapewnić zgodność z tym aktem prawnym niezbędne jest utworzenie krajowego organu ds. certyfikacji cyberbezpieczeństwa co oznacza również konieczność zapewnienia środków na jego działalność. Z tego względu wskazane wydatki pozostają aktualne. </t>
  </si>
  <si>
    <t>OSR U.o Kraj.Syst.Cert.</t>
  </si>
  <si>
    <t>WRiN</t>
  </si>
  <si>
    <t>Koszty umów zlecenia bądź umów o dzieło z ekspertami dotyczących przygotowania projektów, dokumentacji, ekspertyz i analiz krajowych programów certyfikacji cyberbezpieczeństwa</t>
  </si>
  <si>
    <t>Przygotowanie opinii na potrzeby realizacji zadań krajowego organu ds. certyfikacji cyberbezpieczeństwa</t>
  </si>
  <si>
    <r>
      <t xml:space="preserve">Dotacje celowe dla jednostek certyfikacyjnych i laboratoriów działających w ramach krajowego systemu certyfikacji  cyberbezpieczeństwa. </t>
    </r>
    <r>
      <rPr>
        <b/>
        <sz val="11"/>
        <color rgb="FFFF0000"/>
        <rFont val="Aptos Narrow"/>
        <family val="2"/>
        <scheme val="minor"/>
      </rPr>
      <t xml:space="preserve">Druk RCL nr UC42 - Projekt ustawy o krajowym systemie certyfikacji cyberbezpieczeństwa
</t>
    </r>
  </si>
  <si>
    <t>Należy podkreślić, że wydatki związane z utworzeniem krajowego systemu certyfikacji cyberbezpieczeństwa są niezbędne do wykonania Rozporządzenia Parlamentu Europejskiego i Rady (UE) 2019/881 z dnia 17 kwietnia 2019 r. w sprawie ENISA (Agencji Unii Europejskiej ds. Cyberbezpieczeństwa) oraz certyfikacji cyberbezpieczeństwa w zakresie technologii informacyjno-komunikacyjnych oraz uchylenia rozporządzenia (UE) nr 526/2013. Aby zapewnić realną możliwość przeprowadzania certyfikacji w Polsce oraz rozwijać rynek certyfikacji w Polsce, konieczny jest rozwój jednostek certyfikacyjnych oraz laboratoriów. Ustawa przewiduje przyznanie uprawnień ministrowi udzielania w tym zakresie dotacji państwowym instytutom badawczym na wykonywanie szeregu działań związanych ze wsparciem krajowego systemu certyfikacji, w szczególności na wsparcie realizacji zadań krajowego organu ds. certyfikacji cyberbezpieczeństwa, którym będzie minister właściwy do spraw informatyzacji. Do tych zadań należą m.in. przygotowanie opinii, ekspertyz i analiz; weryfikacja dokumentów związanych z procesami certyfikacji, a także przeprowadzania badań produktów ICT, usług ICT i procesów ICT</t>
  </si>
  <si>
    <t>Druk RCL nr UC42</t>
  </si>
  <si>
    <t>Dotacja celowa dla NASK-PIB na funkcjonowanie CSIRT sektorowego dla sektora infrastruktury cyfrowej - wynagrodzenia</t>
  </si>
  <si>
    <t>Planowane wydatki dotyczyły zadań zawartych w nowelizacji ustawy o krajowym systemie cyberbezpieczeństwa. Nowelizacja ta wdrażała część przepisów unijnych. Przewidywała także procedurę identyfikacji dostawców wysokiego ryzyka, co wprost wynika z dokumentów unijnych. W 2024 r. Polska jest zobligowana do wdrożenia dyrektywy NIS2. W związku z tym konieczne będzie poniesienie nowych wydatków na nowe zadania, które w pokrywały się z tymi, które przewidywała nowelizacja ustawy o krajowym systemie cyberbezpieczeństwa. Nowelizacja przewidywała także środki na utworzenie CSIRT sektorowych - utworzenie tych zespołów jest kamieniem milowym KPO, dlatego zasadne jest także utrzymanie tych wydatków.</t>
  </si>
  <si>
    <t>Dotacja celowa dla NASK-PIB na funkcjonowanie CSIRT sektorowego dla sektora infrastruktury cyfrowej - sprzęt i oprogramowanie</t>
  </si>
  <si>
    <t>Tłumaczenia - pisemne i ustne dla cyberbezpieczeństwa</t>
  </si>
  <si>
    <t>Pozycja wspólna dla całego DC. Zgodnie z informacjami z końca 2023 r. BA ma w planach postępowanie na tłumaczenia dla całego MC - pozycję uwzględniono w zestawieniu w celu uwzględnienia w zamówieniu zbiorczym.
WAC: 10 tys. zł
WSiSC: Tłumaczenia niezbędne do realizacji zadań wydziału. Szacowana kwota określona na podstawie szacowania zapotrzebowania wydziału wynosi: 20 tys. zł (ok. 500 str.)</t>
  </si>
  <si>
    <t>Nie będzie realizowane</t>
  </si>
  <si>
    <t>Zakup i odnowienie licencji i wsparcia technicznego - MC</t>
  </si>
  <si>
    <t>Zakup licencji systemu do zarządzania incydentami, ochrony urządzeń mobilnych, systemu ochrony stacji roboczych</t>
  </si>
  <si>
    <t>Zakup platformy do zarządzania podatnościami w systemach MC</t>
  </si>
  <si>
    <t>Zapewnienie bezpieczeństwa teleinformatycznego MC.</t>
  </si>
  <si>
    <t>Zakup systemu cyber threat intelligence poziomu strategicznego dla podmiotów krajowego systemu cyberbezpieczeństwa</t>
  </si>
  <si>
    <t>Celem zadania jest zakup rocznego dostępu do systemu rozpoznawania zagrożeń w cyberprzestrzeni (CTI) poziomu strategicznego,  wspomagającego pracę zespołów cyberbezpieczeństwa , w tym zespów reagowania na incydenty komputerowe wchodzące w skład krajowego systemu cyberbezpieczeństwa. Dostęp do systemu CTI poziomu strategicznego pozwoli na gromadzenie, analizowanie i wykorzystywania informacji o cyberzagrożeniach w celu podejmowania decyzji dotyczących cyberbezpieczeństwa państwa oraz w ramach danej organizacji. System będzie pozyskany na potrzeby Ministerstwa Cyfryzacji i innych podmiotów zapewniających cyberbezpieczeństwo na poziomie krajowym.
Podstawa prawna: art. 62 ustawy z dnia 5 lipca 2018 r. o krajowym systemie cyberbezpieczeństwa (Dz.U. z 2023 r. poz. 913 z późn. zm.)</t>
  </si>
  <si>
    <t>Oprogramowanie wspierające analizy cyberbezpieczeństwa</t>
  </si>
  <si>
    <t>Zakup orogramowania wspierającego analizy cyberbezpieczeństwa, m.in. w zakresie gromadzenia i analizowania informacji w mediach; skanerów i wyszukiwarek podatności, portów, adresów URL; zarządzania hasłami; obróbką graficzną. Podstawa prawna: Regulamin MC, ustawa o KSC (art. 45 i 63).</t>
  </si>
  <si>
    <t xml:space="preserve">Zakup rozwiązań chmurowych </t>
  </si>
  <si>
    <t>Zakup rozwiązań chmurowych wspierających analizy cyberbezpieczeństwa w oparciu o model subskrypcyjny. Rozwiązanie to będzie także wykorzystywało sztuczną inteligencję (AI) umożliwiającą jej zastosowanie do zasobów umieszczonych w chmurze obliczeniowej. Zastosowanie rozwiązań chmurowych podniesienie poziom bezpieczeństwa danych, a wykorzystanie AI znacząco przyczyni się do zwiększenia efektywności, szybkości i jakości pracy. Podstawa prawna: 
Art. 62. ust. 1. pkt 4) ustawy o KSC
Uchwała nr 125 Rady Ministrów z dnia 22 października 2019 r. w sprawie Strategii Cyberbezpieczeństwa Rzeczypospolitej Polskiej na lata 2019–2024
Uchwała nr 196 Rady Ministrów z dnia 28 grudnia 2020 r. w sprawie ustanowienia "Polityki dla rozwoju sztucznej inteligencji w Polsce od roku 2020"</t>
  </si>
  <si>
    <t>Delegacje zagraniczne WAC</t>
  </si>
  <si>
    <t>Podróże służbowe zagraniczne w obszarze bezpieczeństwa cyberprzestrzeni, w tym związane ze współpracą międzynarodową w zakresie rozpoznawania i zwalczania zagrożeń w cyberprzestrzeni, współpracy CSIRT i innych podmiotów systemów cyberbezpieczeństwa. 
Podstawa prawna: Regulamin MC, ustawa o KSC  (art. 45 i 63).</t>
  </si>
  <si>
    <t>delegacje zagraniczne</t>
  </si>
  <si>
    <t>Delegacje krajowe WAC</t>
  </si>
  <si>
    <t>Podróże służbowe krajowe w obszarze bezpieczeństwa cyberprzestrzeni, w tym związane ze współpracą z podmiotami Krajowego Systemu Cyberbezpieczeństwa (KSC), dostawcami usług i produktów, udział w konferencjach. 
Podstawa prawna: Regulamin MC, ustawa o KSC (art. 45 i 63).</t>
  </si>
  <si>
    <t>delegacje krajowe</t>
  </si>
  <si>
    <t>Środki na ewentualne roszczenia i koszty sądowe (decyzje administracyjne, postępowania)</t>
  </si>
  <si>
    <t>Współfinansowanie wydatków w zakresie podatku VAT dla przedsięwzięcia z KPO pn. "podłączenie 385 nowych podmiotów krajowego systemu cyberbezpieczeństwa do zintegrowanego systemu zarządzania cyberbezpieczeństwem (system S46) oraz dalszy rozwój tego systemu"</t>
  </si>
  <si>
    <t>VAT jest niezbędny do realizacji przez NASK-PIB przedsięwzięcia w ramach inwestycji C3.1.1. KPO. W KPO VAT jest wydatkiem niekwalifikowanym. Utrzymanie i rozwój systemu S46 jest zadaniem realizowanym na podstawie art. 46 uksc.</t>
  </si>
  <si>
    <t>VAT</t>
  </si>
  <si>
    <t>Współfinansowanie wydatków w zakresie podatku VAT dla przedsięwzięcia z KPO pn. "utworzenie lub rozwój przynajmniej 5 sektorowych Zespołów Reagowania na Incydenty Bezpieczeństwa Komputerowego (CSIRT) w sektorach kluczowych w rozumieniu ustawy o krajowym systemie cyberbezpieczeństwa, tj. sektorach: energii, transportu, ochrony zdrowia, bankowości i infrastruktury rynków finansowych, infrastruktury cyfrowej, zaopatrzenia w wodę oraz dla przedsiębiorców komunikacji elektronicznej"</t>
  </si>
  <si>
    <t>VAT jest niezbędny do realizacji przez NASK-PIB przedsięwzięcia w ramach inwestycji C3.1.1. KPO. W KPO VAT jest wydatkiem niekwalifikowanym. Zgodnie z art.. 44a ust. 1 oraz art.. 44d ust. 2 projektu ustawy o zmianie ustawy o krajowym systemie cyberbezpieczeństwa Minister Cyfryzacji powierzy zadanie funkcjonowania zespołu CSIRT sektorowego dla sektorów infrastruktury cyfrowej, usług cyfrowych i zarządzania ICT NASK - PIB.</t>
  </si>
  <si>
    <t>Budżet państwa</t>
  </si>
  <si>
    <t>Kampania informacyjna nt. systemu samorejestracji podmiotów KSC</t>
  </si>
  <si>
    <t>Przygotowanie strategii, koncepcji kreatywnej oraz realizacja kampanii informacyjnej dot. wdrożenia NIS 2 w Polsce, w tym objęcia nowych kategorii podmiotów obowiązkami w zakresie cyberbezpieczeństwa oraz systemu samorejestracji podmiotów w celu opracowania i uzyskania możliwie pełnego wykazu podmiotów kluczowych i ważnych. Zgodnie z art. 3 ust. 3 Dyrektywy NIS 2: Do dnia 17 kwietnia 2025 r. państwa członkowskie ustanawiają wykaz podmiotów kluczowych i ważnych, a także podmiotów świadczących usługi rejestracji nazw domen. Państwa członkowskie regularnie, i nie rzadziej niż co dwa lata po wyżej wymienionej dacie, dokonują przeglądu i – w stosownych przypadkach – aktualizacji tego wykazu.</t>
  </si>
  <si>
    <t xml:space="preserve">Nagroda Ministra Cyfryzacji - konkurs na najlepszą pracę licencjacką, magisterską i inżynierską w tematyce cyberbezpieczeńśtwa </t>
  </si>
  <si>
    <t>Nagroda w formie kursów z obszaru cyberbezpieczeńtwa zakończonych certyfikatem</t>
  </si>
  <si>
    <t>konkurs</t>
  </si>
  <si>
    <t>Catering podczas warsztatów, szkoleń oragnizowanych w ramach Programu PWCyber</t>
  </si>
  <si>
    <t xml:space="preserve">Usługa dostarczenia cateringu na spotkania w ramach współpracy z Partnerami Programu PWCyber </t>
  </si>
  <si>
    <t xml:space="preserve">Spotkanie z partnerami Programu PWCyber </t>
  </si>
  <si>
    <t>Delegacje krajowe WSiPP</t>
  </si>
  <si>
    <t>Podróże służbowe krajowe  związane ze współpracą z partnerami Programu PWCyber, udział w konferencjach. 
Podstawa prawna: Regulamin MC, ustawa o KSC (art. 45 i 63).</t>
  </si>
  <si>
    <t>tłumaczenia podczas szkoleń na język migowy</t>
  </si>
  <si>
    <t>tłumaczenia na polski język migowy szkolen z zakresu cyberbezpieczeńtwa prowadzonych przez DC online</t>
  </si>
  <si>
    <t xml:space="preserve"> Współtworzenie Europejskiego Kongresu Gospodarczego w Katowicach w obszarze ścieżkimerytorycznej w obszarze cyberbezpieczeństwa</t>
  </si>
  <si>
    <t xml:space="preserve">Europejski Kongres Gospodarczy jest jedynym z największych kongresów ekonomiczno-gospodarczych w Polsce, stanowiących szerokie, różnorodne i otwarte forum debaty o przyszłości polskiej i europejskiej gospodarki. Wspołtworzenie ścieżki merytorycznej w obszarze cyberbezpieczeństwa w tym prestiżowym wydarzeniu jest podstawą dialogu z  top menedżerami największych globalnych firm, politykow, oraz najwyższej klasy ekspertów, którzy dyskutują o najważniejszych wyzwaniach w perspektywie długofalowej, jakie stoją przed krajem.  Wydarzenie stanowi unikatową platformę spotkań, na której dyskutuje się o najważniejszych wyzwaniach i kierunkach rozwoju państwa na styku działań administracji publicznej i biznesu.  </t>
  </si>
  <si>
    <t>Forum cyberbezpieczeństwa - w ramach Forum Ekonomicznego w Krapaczu</t>
  </si>
  <si>
    <t>Od 6 lat organizacja cyklicznego Forum Cyberbezpieczeństwa mającego na celu promocję projektów cyfrowych z obszaru cyberbezpieczeństwa realizowanych przez Ministerstwo Cyfryzacji oraz podmioty mu podległe. Tematyka poruszana podczas Forum Cyberbezpieczeństwa służy podniesieniu efektywności działania administracji publicznej i samorządów oraz  prowadzeniu działań informacyjno-promocyjnych polityki cyfrowej z obszaru cyberbezpieczeństwa prowadzonej przez Ministerstwo Cyfryzacji wraz z propagowaniem projektów cyfrowych z tego obszaru wśród samorządów i społeczeństwa. Organizacja forum cyberbezpieczeństwa - w ramach Formu Ekonomicznego w Krapaczu (opłaceniestrefy konferencyjnej,  udział w forum, delegacje, przejazdy zorganizowane, obsługa logistyczna)</t>
  </si>
  <si>
    <t>III edycja międzynarodowego szkolenia z cyberbezpieczeństwa dla sektora energetycznego</t>
  </si>
  <si>
    <t>Organizacja III edycji międzynarodowego szkolenia z cyberbezpieczeństwa dla sektora energetycznego planowana w formule Train the trainers, dla reprezentantów karjów UE a także Ukrainy mające na celu budowę wspólnego bezpieczeństwa energetycznego.</t>
  </si>
  <si>
    <t xml:space="preserve">1. Podróże słuzbowe krajowe w obszarze bezpieczeństwa cyberprzestrzeni, Regulamin MC, regulamin DC, ustawa o ksc
2. Podróże krajowe zwiazane z pełnieniem roli organu właściwego dla dostawców usług cyfrowych (art. 41 pkt. 10 ustawy o krajowym systemie cyberbezpieczeństwa)
3. Podróżekrajowe zwiazane z pełnieniem roli organu właściwego dla sektora  infrastruktura cyfrowa w tym udział w szkoleniach, konferencjach międzynarodowych, współpraca z Komisją Europejską (art. 41 pkt. 8 ustawy o krajowym systemie cyberbezpieczeństwa)
4. Podróżekrajowe zwiazane z pełnieniem roli Pojedynczego Punktu Kontaktowego, w tym m.in.. Reprezentowanie Polski w Grupie Współpracy, CyCLONe, w Komisji Europejskiej, w grupach roboczych Rady UE (art. 48-50 ustawy o krajowym systemie cyberbezpieczeństwa)
5. Udział w spotkaniach grup roboczych i eksperckich Komisji Europejskiej (European Cybersecurity Certification Group, ECCG sub group on scheme governance and maintenance, Expert Group for Safer Internet for Children) 
</t>
  </si>
  <si>
    <t>Delegacje zagraniczne</t>
  </si>
  <si>
    <t xml:space="preserve">1. Podróże słuzbowe zagraniczne obszarze bezpieczeństwa cyberprzestrzeni, Regulamin MC, regulamin DC, ustawa o ksc
2. Podróże  zwiazane z pełnieniem roli organu właściwego dla dostawców usług cyfrowych (art. 41 pkt. 10 ustawy o krajowym systemie cyberbezpieczeństwa)
3. Podróże zagraniczne zwiazane z pełnieniem roli organu właściwego dla sektora  infrastruktura cyfrowa w tym udział w szkoleniach, konferencjach międzynarodowych, współpraca z Komisją Europejską (art. 41 pkt. 8 ustawy o krajowym systemie cyberbezpieczeństwa)
4. Podróże zagraniczne zwiazane z pełnieniem roli Pojedynczego Punktu Kontaktowego, w tym m.in.. Reprezentowanie Polski w Grupie Współpracy, CyCLONe, w Komisji Europejskiej, w grupach roboczych Rady UE (art. 48-50 ustawy o krajowym systemie cyberbezpieczeństwa)
5. Udział w spotkaniach grup roboczych i eksperckich Komisji Europejskiej (European Cybersecurity Certification Group, ECCG sub group on scheme governance and maintenance, Expert Group for Safer Internet for Children) 
</t>
  </si>
  <si>
    <t>Tłumaczenia pisemne i ustne</t>
  </si>
  <si>
    <t>Realizacja działań międzynarodowych zgodnie ze Regulaminem DC.</t>
  </si>
  <si>
    <t>Działania DC związane z Prezydencją niekwalifikowane do budżetu Prezydencji (z KPRM)- obsługa spotkań z udziałem delegacji państw członków UE</t>
  </si>
  <si>
    <t>Konferencje, koszty przyjęcia delegacji zagranicznych w celu omówienia działań i proprytetów podejmowanych przez PL Prezydencję.  Organizacja spotkań koordynujących</t>
  </si>
  <si>
    <t>Organizacja spotkania członkow Tallin Mechanism</t>
  </si>
  <si>
    <t>Minister Cyfryzacji zarządzeniem NR Z-1/2023 powołał do funkcjonowania Zespół do spraw wsparcia merytoryczno-organizacyjnego dla grupy państw sojuszniczych w ramach NATO wspierających Ukrainę w obszarze cyberbezpieczeństwa w związku ze zbrojną napaścią Federacji Rosyjskiej
Na podstawie ww. zarządzenia oraz MISSION STATEMENT wszystkich Państw Mechanizmu, Polska pełni rolę Back Office, realizując komunikację dotyczącą zapotrzebowania strony Ukraińskiej i przekazywanie tych informacji do pozostałych członków inicjatywy.</t>
  </si>
  <si>
    <t>Body leasing osoby, która będzie odpowiadac i ordynowac współpracę pomiędzy członkami Tallin Mechanism-Ukrainą-back office w kwestii koordynacji zapotrzebowań strony Ukraińskiej w zakresie odbudowy i utrzymania wzajemnego cyberbezpieczeńśtwa.</t>
  </si>
  <si>
    <t>ZOIN- delegacje krajowe</t>
  </si>
  <si>
    <t>ZOIN cykliczne, zgodnie z dokumentacjami bezpieczeństwa, audyty kontrolne i audyty bezpieczeństwa</t>
  </si>
  <si>
    <t>ZOIN - zakup sprzętu i materiałów eksploaracyjnych</t>
  </si>
  <si>
    <t>Wydatki na sprzęt, w tym: Zakup biurowego sprzętu informatycznego (przykładowo: laptopy, monitory, telefony VoIP, smartfony, tablety i akcesoria i materiały eksploatacyjne do nich, drukarki)</t>
  </si>
  <si>
    <t>zakup sprzętu na potrzeby zespołu informacji niejawnych</t>
  </si>
  <si>
    <t>zakup sprzętu na potrzeby zespołu informacji niejawnych (m.in. Laptopy)</t>
  </si>
  <si>
    <t>Delegacje zagraniczne. NATO</t>
  </si>
  <si>
    <t xml:space="preserve">Podstawa prawna: art. 11 ust. 2 punkt 6 ustawy z dnia 26 kwietnia 2007 r. o zarządzaniu kryzysowym (t.j. Dz.U. z 2023 r. poz. 122). W ramach zobowiązań sojuszniczych udział przedstawiciela PL w spotkaniach Grupy Roboczej NATO ds. Łączności Cywilnej jest konieczny ze względu na potrzebę wymiany doświadczeń i udziału w procesie kształtowania odporności cywilnej NATO. </t>
  </si>
  <si>
    <t>Delegacje zagraniczne. Zarządzanie kryzysowe</t>
  </si>
  <si>
    <t xml:space="preserve">Podstawa prawna: art. 11 ust. 2 punkt 6 ustawy z dnia 26 kwietnia 2007 r. o zarządzaniu kryzysowym (t.j. Dz. U. z 2023 r. poz. 122). Udział przedstawiciela PL w spotkaniach międzynarodowych dotyczących zarządzania kryzysowego i ochrony infrastruktury krytycznej jest konieczny ze względu na potrzebę wymiany doświadczeń w zakresie ewolucji współczesnych zagrożeń, wpływu zagrożeń w cyberprzestrzeni na reagowanie kryzysowe oraz wzrastających międzynarodowych współzależności infrastruktury krytycznej.       </t>
  </si>
  <si>
    <t>Realizacja zadań nadzorczych wobec podmiotów kluczowych i ważnych, w tym przeprowadzanie kontroli.
Podstawa prawna: Regulamin MC, ustawa z dnia 5 lipca 2018 r. o krajowym systemie cyberbezpieczeństwa (t. j. Dz. U. z 2023 r. poz. 913 ze zm.)</t>
  </si>
  <si>
    <t xml:space="preserve">Zakup usługi przygotowania szkolenia e-learningowego z cyberhigieny. </t>
  </si>
  <si>
    <t>Podnoszenie świadomości pracowników MC z zakresu cyberbezpieczeństwa. 
Podstawa prawna: art. 45 ust. 1 pkt 4 ustawy o krajowym systemie cyberbezpieczeństwa</t>
  </si>
  <si>
    <t>Zakup systemu klasy XDR do wykrywania zagrożeń, analizy i reagowania na zdarzenia (sunskrypcja - koszt roczny ok. 500 zł /sztukę)</t>
  </si>
  <si>
    <t>Podnoszenie świadomości z zakresu cyberbezpieczeństwa.
Głównym celem wskaznym w "Strategii Cyberbezpieczeństwa RP na lata 2019-2024" jest podniesienie poziomu odporności na cyberzagrożenia oraz zwiększenie poziomu ochrony informacji w sektorze publicznym, (...) oraz promowanie wiedzy i dobrych praktyk umożliwiających obywatelom lepszą ochronę ich informacji. Jednym z celów szczegółowych Strategii jest budowanie świadomości i kompetencji społecznych w zakresie cyberbezpieczeństwa - zwiększanie kompetencji kadry podmiotów istotnych dla cyberbezpieczeństwa RP.
Dodatkowo, zgodnie z ustawą o krajowym systemie cyberbezpieczeństwa, podmioty realizujące zadania publiczne zobowiązane są do zapewnienia zarządzania incydentami.</t>
  </si>
  <si>
    <t>Realizowanie zadań Uczestnika oraz akredytowanej Jednostki Certyfikującej spełniającej wymagania</t>
  </si>
  <si>
    <t xml:space="preserve">Podstawą do udzielenia dotacji celowej jest art. 21 ust. 6 w zw. z art. 22 pkt 2 lit. a) ustawy z dnia 30 kwietnia 2010 r. o instytutach badawczych (Dz.U. z 2022 r. poz. 498). W związku z powierzeniem przez Ministra Cyfryzacji Naukowej i Akademickiej Sieci Komputerowej – Państwowemu Instytutowi Badawczemu pełnienia roli Jednostki Certyfikującej (pismo z 30.03.2022 r. nr DC.WRCiS.1106.7.2022) oraz pismem Ministra Cyfryzacji potwierdzającym wykonywanie przez Instytut zadań uczestnika umowy SOG-IS oraz porozumienia CCRA, NASK-PIB będzie realizował zadania na poziomie operacyjnym polegające na: a) wykonywaniu w imieniu Rządu RP zadań Uczestnika w ramach Umowy o wzajemnym uznawaniu certyfikatów oceny bezpieczeństwa teleinformatycznego oraz w ramach Porozumienia o sprawie uznawania Certyfikatów Common Criteria w dziedzinie bezpieczeństwa teleinformatycznego; b) wykonywaniu zadań Jednostki Certyfikującej spełniającej wymagania, odpowiedzialnej za zarządzanie Programem Oceny i Certyfikacji Bezpieczeństwa IT oraz za autoryzację laboratoriów badawczych w zakresie spełniania i przestrzegania przez te jednostki przyjętych kryteriów i metod oceny produktów teleinformatycznych w Programie Oceny i Certyfikacji Bezpieczeństwa IT. Planowane kategorie wydatków: 1. Wynagrodzenia osobowe; 2. Usługi obce; 3. Materiały; 4. Inne. </t>
  </si>
  <si>
    <t xml:space="preserve">dokumenty w trakcie akceptacji </t>
  </si>
  <si>
    <t>WKCKC</t>
  </si>
  <si>
    <t>Zakup biletów lotniczych, w liczbie do 7 sztuk - nagroda dla zwycięskiej drużyny dziewcząt w wieku 13-16 lat z opiekunem/nauczycielem  reprezentującej Polskę na wydarzeniu CyberWizards Summer Camp realziowany przez NCC-EE</t>
  </si>
  <si>
    <t>Promowane działania mieszczą się w zakresie działu administracji rządowej „informatyzacja” oraz obszarze działań Ministra Cyfryzacji wynikającym z ustawy o krajowym systemie cyberbezpieczeństwa. Wydatek w postaci ufundowania biletów lotniczych spełnia rygory ustanowione w art. 44 Ustawy o finansach publicznych.</t>
  </si>
  <si>
    <t>Przygotowanie Laboratorium Oceny Bezpieczeństwa Produktów Teleinformatycznych w IŁ_x0002_PIB do przejścia z powodzeniem procesu autoryzacji dla celów EUCC</t>
  </si>
  <si>
    <t>art. 22 pkt 2, art. 37 ust. 1 pkt 1 oraz art.2 ust. 2 pkt 4 z ustawy o instytutach badawczych mówiący o tym, że do instytut może prowadzić działalność normalizacyjną, certyfikacyjną i aprobacyjną</t>
  </si>
  <si>
    <t>dokumenty w trakcie przygotowania</t>
  </si>
  <si>
    <t>Ił-PIB</t>
  </si>
  <si>
    <t>Przygotowanie  Laboratorium Oceny Bezpieczeństwa Produktów Teleinformatycznych w IŁ_x0002_PIB do przejścia z powodzeniem procesu autoryzacji dla celów EUCC</t>
  </si>
  <si>
    <t xml:space="preserve">Organizacja spotkań Rady Zarządzającej ECCC, Rady Zarządzającej ENISY i sieci krajowych ośrodków koordynacji NCC's network </t>
  </si>
  <si>
    <t xml:space="preserve">EuropejskieCentrum Kompetencji Przemysłowych, Technologicznych i Badawczych w dziedzinie Cyberbezpieczeństwa (ECCC) oraz sieć krajowych ośrodków koordynacji (NCC's network) zostało ustanowione na podstawie art. 6 ust. 5 Rozporządzenia Parlamentu Europejskiego i Rady (UE) 2021/887 z dnia 20 maja 2021 r. W oparciu o te przepisy, w Departamencie Cyberbezpieczeństwa w 2022 r.utworzono Krajowe Centrum Kompetencji Cyberbezpieczeństwa, pełniące funkcję krajowego ośrodka koordynacji.  Tym samym NCC-PL jest częścią europejskiej sieci krajowych ośrodków koordynacji i współdziałających z ECCC. Mając na uwadze rangę podejmowanych działań w zakresie cyberbezpieczeństwa przez Polskę, w szczególności w trakcie polskiej Prezydencji w Radzie UE, zdecydowano o zaproszeniu Rady Zarządzajacej ECCC i  Agencji Unii Europesjkiej do spraw Cyberbezpieczeństwa (ENISA) wraz z przedstawicielami krajowych ośrodków koordynacji Państw Członkowskich UE celem wypracowania wspólnych obszarów działań i uspójnienia ich zakresu, co będzie miało pozytywne przełożenie na realizowane przez Polskę priorytety w trakcie Prezydencji. </t>
  </si>
  <si>
    <t>2022-2024</t>
  </si>
  <si>
    <t>Dotacja celowa dla NASK-PIB na zapewnienie usługi chmurowej ochrony przed atakami DDoS – Distributed Denial of
Service dla podmiotów realizujących zadania publiczne oraz podmiotów istotnych z punktu widzenia bezpieczeństwa RP</t>
  </si>
  <si>
    <r>
      <t>Podstawą do udzielenia dotacji celowej jest art. 37 ust. 1 ustawy z dnia 30 kwietnia 2010 r. o instytutach badawczych, zgodnie z którym minister nadzorujący może nałożyć na instytut obowiązek wprowadzenia do jego planu zadania lub wyznaczyć zadanie poza planem, zgodnie z zakresem działania określonym w statucie instytutu, jeżeli jest to niezbędne ze względu na potrzeby obronności i bezpieczeństwa publicznego, w przypadku stanu klęski żywiołowej lub w celu wykonania zobowiązań międzynarodowych.Jak stanowi art. 37 ust. 2 ustawy o instytutach badawczych, w przypadku nałożenia lub wyznaczenia zadania, minister nadzorujący zapewnia instytutowi środki do wykonania zadania, chyba że wykonanie zadania następuje odpłatnie na podstawie umowy ze stroną finansującą wykonanie zadania. Na podstawie § 1 ust. 3 rozporządzenia Rady Ministrów z dnia 7 czerwca 2017 r. w sprawie nadania Naukowej i Akademickiej Sieci Komputerowej statusu Państwowego Instytutu Badawczego6, nadzór nad NASK-PIB sprawuje minister właściwy do spraw informatyzacji. Celem wydatku jest zapewnienie na możliwie najwyższym poziomie ochrony przed atakami DDoS – Distributed Denial of Service dla podmiotów realizujących zadania publiczne.</t>
    </r>
    <r>
      <rPr>
        <b/>
        <sz val="11"/>
        <color theme="1"/>
        <rFont val="Aptos Narrow"/>
        <family val="2"/>
        <scheme val="minor"/>
      </rPr>
      <t>Kwota 2.581.875,00 (par. 2830) wynika z zawartej z NASK -PIB umowty na rok 2022-2024. Pozostała kwota jest planem na rok 2024 - 2025 - koniecznośc zawarcia nowej umowy dotacji w zakresie ochrony przed atakami DDoS.</t>
    </r>
  </si>
  <si>
    <t>Realizacja zawartej umowy</t>
  </si>
  <si>
    <t>70/DC/D/2022</t>
  </si>
  <si>
    <t>Wynagrodzenie dla pracowników wydziału krajowego systemu certyfikacji cyberbezpieczeństwa - członków korpusu służby cywilnej</t>
  </si>
  <si>
    <t>Składka na FS/FP dla pracownika prowadzącego postępowanie w sprawie uznania za dostawcę wysokiego ryzyka - członka korpusu służby cywilnej</t>
  </si>
  <si>
    <t>Planowane wydatki dotyczą zadań zawartych w nowelizacji ustawy o krajowym systemie cyberbezpieczeństwa. Nowelizacja ta wdrażała część przepisów unijnych. Przewidywała także procedurę identyfikacji dostawców wysokiego ryzyka, co wprost wynika z dokumentów unijnych. W 2024 r. Polska jest zobligowana do wdrożenia dyrektywy NIS2. W związku z tym konieczne będzie poniesienie nowych wydatków na nowe zadania, które w pokrywały się z tymi, które przewidywała nowelizacja ustawy o krajowym systemie cyberbezpieczeństwa. Nowelizacja przewidywała także środki na utworzenie CSIRT sektorowych - utworzenie tych zespołów jest kamieniem milowym KPO, dlatego zasadne jest także utrzymanie tych wydatków.</t>
  </si>
  <si>
    <t>Składka na FS/FP dla pracowników wydziału krajowego systemu certyfikacji cyberbezpieczeństwa - członków korpusu służby cywilnej</t>
  </si>
  <si>
    <t>Składki na ubezpieczenia emerytalne, rentowe, wypadkowe dla pracowników wydziału krajowego systemu certyfikacji cyberbezpieczeństwa - członków korpusu służby cywilnej</t>
  </si>
  <si>
    <t>Składka na PPK dla pracowników wydziału krajowego systemu certyfikacji cyberbezpieczeństwa - członków korpusu służby cywilnej</t>
  </si>
  <si>
    <t>Dotacja celowa dla NASK-PIB na zapewnienie usługi chmurowej ochrony przed atakami DDoS – Distributed Denial of Service dla podmiotów realizujących zadania publiczne oraz podmiotów istotnych z punktu widzenia bezpieczeństwa RP</t>
  </si>
  <si>
    <r>
      <t xml:space="preserve">Podstawą do udzielenia dotacji celowej jest art. 37 ust. 1 ustawy z dnia 30 kwietnia 2010 r. o instytutach badawczych, zgodnie z którym minister nadzorujący może nałożyć na instytut obowiązek wprowadzenia do jego planu zadania lub wyznaczyć zadanie poza planem, zgodnie z zakresem działania określonym w statucie instytutu, jeżeli jest to niezbędne ze względu na potrzeby obronności i bezpieczeństwa publicznego, w przypadku stanu klęski żywiołowej lub w celu wykonania zobowiązań międzynarodowych.Jak stanowi art. 37 ust. 2 ustawy o instytutach badawczych, w przypadku nałożenia lub wyznaczenia zadania, minister nadzorujący zapewnia instytutowi środki do wykonania zadania, chyba że wykonanie zadania następuje odpłatnie na podstawie umowy ze stroną finansującą wykonanie zadania. Na podstawie § 1 ust. 3 rozporządzenia Rady Ministrów z dnia 7 czerwca 2017 r. w sprawie nadania Naukowej i Akademickiej Sieci Komputerowej statusu Państwowego Instytutu Badawczego6, nadzór nad NASK-PIB sprawuje minister właściwy do spraw informatyzacji. Celem wydatku jest zapewnienie na możliwie najwyższym poziomie ochrony przed atakami DDoS – Distributed Denial of Service dla podmiotów realizujących zadania publiczne. </t>
    </r>
    <r>
      <rPr>
        <b/>
        <sz val="11"/>
        <color theme="1"/>
        <rFont val="Aptos Narrow"/>
        <family val="2"/>
        <scheme val="minor"/>
      </rPr>
      <t>Kwota 2.581.875,00 (par. 2830) wynika z zawartej z NASK -PIB umowty na rok 2022-2024. Pozostała kwota jest planem na rok 2024 - 2025 - koniecznośc zawarcia nowej umowy dotacji w zakresie ochrony przed atakami DDoS.</t>
    </r>
  </si>
  <si>
    <t>Zakup baz statystycznych - wykupienie dostępu</t>
  </si>
  <si>
    <t>Planowane wydatki dotyczą zakupu baz statystycznych potrzebnych do sporządzania OSR</t>
  </si>
  <si>
    <t>planowany</t>
  </si>
  <si>
    <t>Wynagrodzenie dla pracowników realizujących zadania ministra właściwego do spraw informatyzacji w zakresie zarządzania kryzysowego w cyberprzestrzeni</t>
  </si>
  <si>
    <t>Zgodnie z art.. 45a projektu ustawy o zmianie ustawy o krajowym systemie cyberbezpieczeństwa oraz niektórych innych ustaw (UC32) minister własciwy do spraw informatyzacji będzie pełnił funkcję organu odpowiedzialnego za zarządzanie incydentami i zarządzanie kryzysowe w cyberbezpieczeństwie na dużą skalę w wymiarze cywilnym. W celu realizacji tego zadania przewiduje zatrudnienie 4 osób, dla których należy zapewnić wynagrodzenie.</t>
  </si>
  <si>
    <t>OSR UKSC</t>
  </si>
  <si>
    <t>Dodatkowe wynagrodzenie roczne dla pracowników realizujących zadania ministra właściwego do spraw informatyzacji w zakresie zarządzania kryzysowego w cyberprzestrzeni</t>
  </si>
  <si>
    <t>Zgodnie z art.. 45a projektu ustawy o zmianie ustawy o krajowym systemie cyberbezpieczeństwa oraz niektórych innych ustaw (UC32) minister własciwy do spraw informatyzacji będzie pełnił funkcję organu odpowiedzialnego za zarządzanie incydentami i zarządzanie kryzysowe w cyberbezpieczeństwie na dużą skalę w wymiarze cywilnym. W celu realizacji tego zadania przewiduje zatrudnienie 4 osób, dla których należy zapewnić dodatkowe wynagrodzenie roczne.</t>
  </si>
  <si>
    <t>Składka na ubezpieczenia społeczne dla pracowników realizujących zadania ministra właściwego do spraw informatyzacji w zakresie zarządzania kryzysowego w cyberprzestrzeni</t>
  </si>
  <si>
    <t>Zgodnie z art.. 45a projektu ustawy o zmianie ustawy o krajowym systemie cyberbezpieczeństwa oraz niektórych innych ustaw (UC32) minister własciwy do spraw informatyzacji będzie pełnił funkcję organu odpowiedzialnego za zarządzanie incydentami i zarządzanie kryzysowe w cyberbezpieczeństwie na dużą skalę w wymiarze cywilnym. W celu realizacji tego zadania przewiduje zatrudnienie 4 osób, za które pracodawca musi opłacić składki na ubezpieczenia społeczne.</t>
  </si>
  <si>
    <t>Składka na Fundusz Pracy dla pracowników realizujących zadania ministra właściwego do spraw informatyzacji w zakresie zarządzania kryzysowego w cyberprzestrzeni</t>
  </si>
  <si>
    <t>Zgodnie z art.. 45a projektu ustawy o zmianie ustawy o krajowym systemie cyberbezpieczeństwa oraz niektórych innych ustaw (UC32) minister własciwy do spraw informatyzacji będzie pełnił funkcję organu odpowiedzialnego za zarządzanie incydentami i zarządzanie kryzysowe w cyberbezpieczeństwie na dużą skalę w wymiarze cywilnym. W celu realizacji tego zadania przewiduje zatrudnienie 4 osób,  dla których pracodawca odprowadza składki do Funduszu Pracy.</t>
  </si>
  <si>
    <t>Składka na Fundusz Solidarnościowy dla pracowników realizujących zadania ministra właściwego do spraw informatyzacji w zakresie zarządzania kryzysowego w cyberprzestrzeni</t>
  </si>
  <si>
    <t>Zgodnie z art.. 45a projektu ustawy o zmianie ustawy o krajowym systemie cyberbezpieczeństwa oraz niektórych innych ustaw (UC32) minister własciwy do spraw informatyzacji będzie pełnił funkcję organu odpowiedzialnego za zarządzanie incydentami i zarządzanie kryzysowe w cyberbezpieczeństwie na dużą skalę w wymiarze cywilnym. W celu realizacji tego zadania przewiduje zatrudnienie 4 osób,  dla których pracodawca odprowadza składki do Funduszu Solidarnościowego.</t>
  </si>
  <si>
    <t>Składka na PPK dla pracowników realizujących zadania ministra właściwego do spraw informatyzacji w zakresie zarządzania kryzysowego w cyberprzestrzeni</t>
  </si>
  <si>
    <t>Zgodnie z art.. 45a projektu ustawy o zmianie ustawy o krajowym systemie cyberbezpieczeństwa oraz niektórych innych ustaw (UC32) minister własciwy do spraw informatyzacji będzie pełnił funkcję organu odpowiedzialnego za zarządzanie incydentami i zarządzanie kryzysowe w cyberbezpieczeństwie na dużą skalę w wymiarze cywilnym. W celu realizacji tego zadania przewiduje zatrudnienie 4 osób,  dla których pracodawca odprowadza składkę na Pracownicze Plany Kapitałowe.</t>
  </si>
  <si>
    <t>Koszt stanowisk pracy dla osób realizujących zadania ministra wł. ds. informatyzacji w zakresie zarządzania kryzysowego w cyberprzestrzeni</t>
  </si>
  <si>
    <t>Zgodnie z art.. 45a projektu ustawy o zmianie ustawy o krajowym systemie cyberbezpieczeństwa oraz niektórych innych ustaw (UC32) minister własciwy do spraw informatyzacji będzie pełnił funkcję organu odpowiedzialnego za zarządzanie incydentami i zarządzanie kryzysowe w cyberbezpieczeństwie na dużą skalę w wymiarze cywilnym. W celu realizacji tego zadania przewiduje zatrudnienie 4 osób, dla których należy zapewnić stanowisko pracy.</t>
  </si>
  <si>
    <t>wzrost dotacji podmiotowej dla CSIRT NASK</t>
  </si>
  <si>
    <t>Zgodnie z art. 26 ust. 9 CSIRT NASK otrzymuje dotację podmiotową na realizację swoich zadań, które zostały znacznie zwiększone w projekcie ustawy o zmianie ustawy o krajowym systemie cyberbezpieczeństwa oraz niektórych innych ustaw.</t>
  </si>
  <si>
    <t>2580 OSR</t>
  </si>
  <si>
    <t>Wzrost dotacji celowej dla Naukowej i Akademickiej Sieci Komputerowej-Państwowego Instytutu Badawczego na utrzymanie i rozwój systemu S46</t>
  </si>
  <si>
    <t>System S46 utrzymywany i rozwijany jest przez Naukową i Akademicką Sieć Komputerową-Państwowy Instytut Badawczy będzie pełnił rolę wykazu podmiotów kluczowych i podmiotów ważnych, a także będzie podstawowym sposobem zgłaszania incydentów przez podmioty kluczowe i podmioty ważne. Stąd też konieczne jest zapewnienie odpowiedniego wzrostu dotacji celowej na rozwój tego systemu. Zadanie to realizowane będzie na podstawie art. 46 i art. 47 według projektu ustawy o zmianie ustawy o krajowym systemie cyberbezpieczeństwa (UC32).</t>
  </si>
  <si>
    <t>2830 OSR</t>
  </si>
  <si>
    <t>6230 OSR</t>
  </si>
  <si>
    <t>Badania/ekspertyzy dla Pełnomocnika Rządu do Spraw Cyberbezpieczeństwa</t>
  </si>
  <si>
    <t xml:space="preserve">Projekt ustawy  o zmianie ustawy o krajowym systemie cyberbezpieczeństwa oraz niektórych innych ustaw (UC32) (art. 61 ust. 5) przewiduje możliwość zlecenia przez Pełnomocnika Rządu do Spraw Cyberbezpieczeństwa analiz, ekspertyz lub badań, które mają na celu wsparcie realizacji jego zadań. </t>
  </si>
  <si>
    <t>Podnoszenie zdolności instytucji zapewniających cyberbezpieczeństwo</t>
  </si>
  <si>
    <t>Przewiduje się możliwość, aby Pełnomocnik Rządu do Spraw Cyberbezpieczeństwa mógł dokonywać zakupów sprzętu/oprogramowania dla podmiotów publicznych z zakresu cyberbezpieczeństwa na podstawie art.. 62a projektu ustawy o zmianie ustawy o krajowym systemie cyberbezpieczeństwa oraz niektórych innych ustaw.</t>
  </si>
  <si>
    <t>Wynagrodzenie dla pracowników prowadzących postępowania w sprawie uznania za dostawcę wysokiego ryzyka</t>
  </si>
  <si>
    <t>Zgodnie z art. 67b projektu ustawy o zmianie ustawy o krajowym systemie cyberbezpieczeństwa oraz niektórych innych ustaw (UC32) minister własciwy do spraw informatyzacji będzie mógł prowadzić postępowanie w sprawie uznania za dostawcę wysokiego ryzyka. W celu realizacji tego zadania przewiduje zatrudnienie 3 osób, dla których należy zapewnić wynagrodzenie.</t>
  </si>
  <si>
    <t>Dodatkowe wynagrodzenie roczne dla pracowników prowadzących postępowania w sprawie uznania za dostawcę wysokiego ryzyka</t>
  </si>
  <si>
    <t>Zgodnie z art. 67b projektu ustawy o zmianie ustawy o krajowym systemie cyberbezpieczeństwa oraz niektórych innych ustaw (UC32) minister własciwy do spraw informatyzacji będzie mógł prowadzić postępowanie w sprawie uznania za dostawcę wysokiego ryzyka. W celu realizacji tego zadania przewiduje zatrudnienie 3 osób, osób, dla których należy zapewnić dodatkowe wynagrodzenie roczne.</t>
  </si>
  <si>
    <t>Składka na ubezpieczenia społeczne dla pracowników prowadzących postępowania w sprawie uznania za dostawcę wysokiego ryzyka</t>
  </si>
  <si>
    <t>Zgodnie z art. 67b projektu ustawy o zmianie ustawy o krajowym systemie cyberbezpieczeństwa oraz niektórych innych ustaw (UC32) minister własciwy do spraw informatyzacji będzie mógł prowadzić postępowanie w sprawie uznania za dostawcę wysokiego ryzyka. W celu realizacji tego zadania przewiduje zatrudnienie 3 osób, osób, za które pracodawca musi opłacić składki na ubezpieczenia społeczne.</t>
  </si>
  <si>
    <t>Składka na Fundusz Pracy dla pracowników prowadzących postępowania w sprawie uznania za dostawcę wysokiego ryzyka</t>
  </si>
  <si>
    <t>Zgodnie z art. 67b projektu ustawy o zmianie ustawy o krajowym systemie cyberbezpieczeństwa oraz niektórych innych ustaw (UC32) minister własciwy do spraw informatyzacji będzie mógł prowadzić postępowanie w sprawie uznania za dostawcę wysokiego ryzyka. W celu realizacji tego zadania przewiduje zatrudnienie 3 osób,  dla których pracodawca odprowadza składki do Funduszu Pracy.</t>
  </si>
  <si>
    <t>Składka na Fundusz Solidarnościowy dla pracowników prowadzących postępowania w sprawie uznania za dostawcę wysokiego ryzyka</t>
  </si>
  <si>
    <t>Zgodnie z art. 67b projektu ustawy o zmianie ustawy o krajowym systemie cyberbezpieczeństwa oraz niektórych innych ustaw (UC32) minister własciwy do spraw informatyzacji będzie mógł prowadzić postępowanie w sprawie uznania za dostawcę wysokiego ryzyka. W celu realizacji tego zadania przewiduje zatrudnienie 3 osób, dla których pracodawca odprowadza składki do Funduszu Solidarnościowego.</t>
  </si>
  <si>
    <t>Składka na PPK dla pracowników prowadzących postępowania w sprawie uznania za dostawcę wysokiego ryzyka</t>
  </si>
  <si>
    <t>Zgodnie zart. 67b projektu ustawy o zmianie ustawy o krajowym systemie cyberbezpieczeństwa oraz niektórych innych ustaw (UC32) minister własciwy do spraw informatyzacji będzie mógł prowadzić postępowanie w sprawie uznania za dostawcę wysokiego ryzyka. W celu realizacji tego zadania przewiduje zatrudnienie 3 osób,  dla których pracodawca odprowadza składkę na Pracownicze Plany Kapitałowe.</t>
  </si>
  <si>
    <t>Koszt stanowisk pracy dla osób prowadzących postępowania w sprawie uznania za dostawcę wysokiego ryzyka</t>
  </si>
  <si>
    <t>Zgodnie z art. 67b projektu ustawy o zmianie ustawy o krajowym systemie cyberbezpieczeństwa oraz niektórych innych ustaw (UC32) minister własciwy do spraw informatyzacji będzie mógł prowadzić postępowanie w sprawie uznania za dostawcę wysokiego ryzyka. W celu realizacji tego zadania przewiduje zatrudnienie 3 osób, dla których należy zapewnić stanowisko pracy.</t>
  </si>
  <si>
    <t>Wynagrodzenie dla pracowników nadzorujących sektor infrastruktury cyfrowej</t>
  </si>
  <si>
    <t>Zgodnie z art. 53 ust. 1 w zw. z art. 41 pkt 8 projektu ustawy o zmianie ustawy o krajowym systemie cyberbezpieczeństwa oraz niektórych innych ustaw (UC32) minister własciwy do spraw informatyzacji będzie nadzorował podmioty w sektorze infrastruktury cyfrowej. W celu realizacji tego zadania przewiduje zatrudnienie 24 osób, dla których należy zapewnić wynagrodzenie.</t>
  </si>
  <si>
    <t>Dodatkowe wynagrodzenie roczne dla pracowników nadzorujących sektor infrastruktury cyfrowej</t>
  </si>
  <si>
    <t>Zgodnie z art. 53 ust. 1 w zw. z art. 41 pkt 8  projektu ustawy o zmianie ustawy o krajowym systemie cyberbezpieczeństwa oraz niektórych innych ustaw (UC32) minister własciwy do spraw informatyzacji będzie nadzorował podmioty w sektorze infrastruktury cyfrowej. W celu realizacji tego zadania przewiduje zatrudnienie 24 osób, dla których należy zapewnić dodatkowe wynagrodzenie roczne.</t>
  </si>
  <si>
    <t>Składka na ubezpieczenia społeczne dla pracowników nadzorujących sektor infrastruktury cyfrowej</t>
  </si>
  <si>
    <t>Zgodnie z art. 53 ust. 1 w zw. z art. 41 pkt 8  projektu ustawy o zmianie ustawy o krajowym systemie cyberbezpieczeństwa oraz niektórych innych ustaw (UC32) minister własciwy do spraw informatyzacji będzie nadzorował podmioty w sektorze infrastruktury cyfrowej. W celu realizacji tego zadania przewiduje zatrudnienie 24 osób, za które pracodawca musi opłacić składki na ubezpieczenia społeczne.</t>
  </si>
  <si>
    <t>Składka na Fundusz Pracy dla pracowników nadzorujących sektor infrastruktury cyfrowej</t>
  </si>
  <si>
    <t>Zgodnie z art. 53 ust. 1 w zw. z art. 41 pkt 8  projektu ustawy o zmianie ustawy o krajowym systemie cyberbezpieczeństwa oraz niektórych innych ustaw (UC32) minister własciwy do spraw informatyzacji będzie nadzorował podmioty w sektorze infrastruktury cyfrowej. W celu realizacji tego zadania przewiduje zatrudnienie 24 osób,  dla których pracodawca odprowadza składki do Funduszu Pracy.</t>
  </si>
  <si>
    <t>Składka na Fundusz Solidarnościowy dla pracowników nadzorujących sektor infrastruktury cyfrowej</t>
  </si>
  <si>
    <t>Zgodnie z art. 53 ust. 1 w zw. z art. 41 pkt 8  projektu ustawy o zmianie ustawy o krajowym systemie cyberbezpieczeństwa oraz niektórych innych ustaw (UC32) minister własciwy do spraw informatyzacji będzie nadzorował podmioty w sektorze infrastruktury cyfrowej. W celu realizacji tego zadania przewiduje zatrudnienie 24 osób,  dla których pracodawca odprowadza składki do Funduszu Solidarnościowego.</t>
  </si>
  <si>
    <t>Składka na PPK dla pracowników nadzorujących sektor infrastruktury cyfrowej</t>
  </si>
  <si>
    <t>Zgodnie z art. 53 ust. 1 w zw. z art. 41 pkt 8  projektu ustawy o zmianie ustawy o krajowym systemie cyberbezpieczeństwa oraz niektórych innych ustaw (UC32) minister własciwy do spraw informatyzacji będzie nadzorował podmioty w sektorze infrastruktury cyfrowej. W celu realizacji tego zadania przewiduje zatrudnienie 24 osób,  dla których pracodawca odprowadza składkę na Pracownicze Plany Kapitałowe.</t>
  </si>
  <si>
    <t>Koszt stanowisk pracy dla osób nadzorujacych sektory infrastruktury cyfrowej</t>
  </si>
  <si>
    <t>Zgodnie z art. 53 ust. 1 w zw. z art. 41 pkt 8  projektu ustawy o zmianie ustawy o krajowym systemie cyberbezpieczeństwa oraz niektórych innych ustaw (UC32) minister własciwy do spraw informatyzacji będzie nadzorował podmioty w sektorze infrastruktury cyfrowej. W celu realizacji tego zadania przewiduje zatrudnienie 24 osób,  dla których musi utworzyć stanowisko pracy.</t>
  </si>
  <si>
    <t>Wynagrodzenie dla pracowników nadzorujących sektor zarządzania ICT</t>
  </si>
  <si>
    <t>Zgodnie z art. 53 ust. 1 w zw. z art. 41 pkt 9b projektu ustawy o zmianie ustawy o krajowym systemie cyberbezpieczeństwa oraz niektórych innych ustaw (UC32) minister własciwy do spraw informatyzacji będzie nadzorował podmioty w sektorze zarządzania usługami ICT. W celu realizacji tego zadania przewiduje zatrudnienie 3 osób, dla których należy zapewnić wynagrodzenie.</t>
  </si>
  <si>
    <t>Dodatkowe wynagrodzenie roczne dla pracowników nadzorujących sektor zarządzania ICT</t>
  </si>
  <si>
    <t>Zgodnie z art. 53 ust. 1 w zw. z art. 41 pkt 9b  projektu ustawy o zmianie ustawy o krajowym systemie cyberbezpieczeństwa oraz niektórych innych ustaw (UC32) minister własciwy do spraw informatyzacji będzie nadzorował podmioty w sektorze zarządzania usługami ICT. W celu realizacji tego zadania przewiduje zatrudnienie 3 osób, dla których należy zapewnić dodatkowe wynagrodzenie roczne.</t>
  </si>
  <si>
    <t>Składka na ubezpieczenia społeczne dla pracowników nadzorujących sektor zarządzania ICT</t>
  </si>
  <si>
    <t>Zgodnie z art. 53 ust. 1 w zw. z art. 41 pkt 9b  projektu ustawy o zmianie ustawy o krajowym systemie cyberbezpieczeństwa oraz niektórych innych ustaw (UC32) minister własciwy do spraw informatyzacji będzie nadzorował podmioty w sektorze zarządzania usługami ICT. W celu realizacji tego zadania przewiduje zatrudnienie 3 osób, za które pracodawca musi opłacić składki na ubezpieczenia społeczne.</t>
  </si>
  <si>
    <t>Składka na Fundusz Pracy dla pracowników nadzorujących sektor zarządzania ICT</t>
  </si>
  <si>
    <t>Zgodnie z art. 53 ust. 1 w zw. z art. 41 pkt 9b  projektu ustawy o zmianie ustawy o krajowym systemie cyberbezpieczeństwa oraz niektórych innych ustaw (UC32) minister własciwy do spraw informatyzacji będzie nadzorował podmioty w sektorze zarządzania usługami ICT. W celu realizacji tego zadania przewiduje zatrudnienie 3 osób,  dla których pracodawca odprowadza składki do Funduszu Pracy.</t>
  </si>
  <si>
    <t>Składka na Fundusz Solidarnościowy dla pracowników nadzorujących sektor zarządzania ICT</t>
  </si>
  <si>
    <t>Zgodnie z art. 53 ust. 1 w zw. z art. 41 pkt 9b  projektu ustawy o zmianie ustawy o krajowym systemie cyberbezpieczeństwa oraz niektórych innych ustaw (UC32) minister własciwy do spraw informatyzacji będzie nadzorował podmioty w sektorze zarządzania usługami ICT. W celu realizacji tego zadania przewiduje zatrudnienie 3 osób,  dla których pracodawca odprowadza składki do Funduszu Solidarnościowego.</t>
  </si>
  <si>
    <t>Składka na PPK dla pracowników nadzorujących sektor zarządzania ICT</t>
  </si>
  <si>
    <t>Zgodnie z art. 53 ust. 1 w zw. z art. 41 pkt 9b  projektu ustawy o zmianie ustawy o krajowym systemie cyberbezpieczeństwa oraz niektórych innych ustaw (UC32) minister własciwy do spraw informatyzacji będzie nadzorował podmioty w sektorze zarządzania usługami ICT. W celu realizacji tego zadania przewiduje zatrudnienie 3 osób,  dla których pracodawca odprowadza składkę na Pracownicze Plany Kapitałowe.</t>
  </si>
  <si>
    <t>Koszt stanowisk pracy dla osób nadzorujących sektor zarządzania ICT</t>
  </si>
  <si>
    <t>Zgodnie z art. 53 ust. 1 w zw. z art. 41 pkt 9b  projektu ustawy o zmianie ustawy o krajowym systemie cyberbezpieczeństwa oraz niektórych innych ustaw (UC32) minister własciwy do spraw informatyzacji będzie nadzorował podmioty w sektorze zarządzania usługami ICT. W celu realizacji tego zadania przewiduje zatrudnienie 3 osób,  dla których musi utworzyć stanowisko pracy.</t>
  </si>
  <si>
    <t>Wynagrodzenie dla pracowników nadzorujących sektor dostawców usług cyfrowych</t>
  </si>
  <si>
    <t>Zgodnie z art. 53 ust. 1 w zw. z art. 41a pkt 3 projektu ustawy o zmianie ustawy o krajowym systemie cyberbezpieczeństwa oraz niektórych innych ustaw (UC32) minister własciwy do spraw informatyzacji będzie nadzorował podmioty w sektorze dostawców usług cyfrowych. W celu realizacji tego zadania przewiduje zatrudnienie 2 osób, dla których należy zapewnić wynagrodzenie.</t>
  </si>
  <si>
    <t>Dodatkowe wynagrodzenie roczne dla pracowników nadzorujących sektor dostawców usług cyfrowych</t>
  </si>
  <si>
    <t>Zgodnie z art. 53 ust. 1 w zw. z art. 41a pkt 3 projektu ustawy o zmianie ustawy o krajowym systemie cyberbezpieczeństwa oraz niektórych innych ustaw (UC32) minister własciwy do spraw informatyzacji będzie nadzorował podmioty w sektorze dostawców usług cyfrowych. W celu realizacji tego zadania przewiduje zatrudnienie 2 osób, dla których należy zapewnić dodatkowe wynagrodzenie roczne.</t>
  </si>
  <si>
    <t>Składka na ubezpieczenia społeczne dla pracowników nadzorujących sektor dostawców usług cyfrowych</t>
  </si>
  <si>
    <t>Zgodnie z art. 53 ust. 1 w zw. z art. 41a pkt 3  projektu ustawy o zmianie ustawy o krajowym systemie cyberbezpieczeństwa oraz niektórych innych ustaw (UC32) minister własciwy do spraw informatyzacji będzie nadzorował podmioty w sektorze dostawców usług cyfrowych. W celu realizacji tego zadania przewiduje zatrudnienie 2 osób, za które pracodawca musi opłacić składki na ubezpieczenia społeczne.</t>
  </si>
  <si>
    <t>Składka na Fundusz Pracy dla pracowników nadzorujących sektor dostawców usług cyfrowych</t>
  </si>
  <si>
    <t>Zgodnie z art. 53 ust. 1 w zw. z art. 41a pkt 3  projektu ustawy o zmianie ustawy o krajowym systemie cyberbezpieczeństwa oraz niektórych innych ustaw (UC32) minister własciwy do spraw informatyzacji będzie nadzorował podmioty w sektorze dostawców usług cyfrowych. W celu realizacji tego zadania przewiduje zatrudnienie 2 osób,  dla których pracodawca odprowadza składki do Funduszu Pracy.</t>
  </si>
  <si>
    <t>Składka na Fundusz Solidarnościowy dla pracowników nadzorujących sektor dostawców usług cyfrowych</t>
  </si>
  <si>
    <t>Zgodnie z art. 53 ust. 1 w zw. z art. 41a pkt 3 projektu ustawy o zmianie ustawy o krajowym systemie cyberbezpieczeństwa oraz niektórych innych ustaw (UC32) minister własciwy do spraw informatyzacji będzie nadzorował podmioty w sektorze dostawców usług cyfrowych. W celu realizacji tego zadania przewiduje zatrudnienie 2 osób,  dla których pracodawca odprowadza składki do Funduszu Solidarnościowego.</t>
  </si>
  <si>
    <t>Składka na PPK dla pracowników nadzorujących sektor dostawców usług cyfrowych</t>
  </si>
  <si>
    <t>Zgodnie z art. 53 ust. 1 w zw. z art. 41a pkt 3  projektu ustawy o zmianie ustawy o krajowym systemie cyberbezpieczeństwa oraz niektórych innych ustaw (UC32) minister własciwy do spraw informatyzacji będzie nadzorował podmioty w sektorze dostawców usług cyfrowych. W celu realizacji tego zadania przewiduje zatrudnienie 2 osób,  dla których pracodawca odprowadza składkę na Pracownicze Plany Kapitałowe.</t>
  </si>
  <si>
    <t>Koszt stanowisk pracy dla osób nadzorujących sektor dostawców usług cyfrowych</t>
  </si>
  <si>
    <t>Zgodnie z art. 53 ust. 1 w zw. z art. 41a pkt 3  projektu ustawy o zmianie ustawy o krajowym systemie cyberbezpieczeństwa oraz niektórych innych ustaw (UC32) minister własciwy do spraw informatyzacji będzie nadzorował podmioty w sektorze dostawców usług cyfrowych. W celu realizacji tego zadania przewiduje zatrudnienie 2 osób,  dla których musi utworzyć stanowisko pracy.</t>
  </si>
  <si>
    <t>Wynagrodzenie dla pracowników nadzorujących sektor administracji publicznej</t>
  </si>
  <si>
    <t>Zgodnie z art. 53 ust. 1 w zw. z art. 41b ust. 2 projektu ustawy o zmianie ustawy o krajowym systemie cyberbezpieczeństwa oraz niektórych innych ustaw (UC32) minister własciwy do spraw informatyzacji będzie nadzorował podmioty w sektorzeadministracji publicznej. W celu realizacji tego zadania przewiduje zatrudnienie 40 osób, dla których należy zapewnić wynagrodzenie.</t>
  </si>
  <si>
    <t>Dodatkowe wynagrodzenie roczne dla pracowników nadzorujących sektor administracji publicznej</t>
  </si>
  <si>
    <t>Zgodnie z art. 53 ust. 1 w zw. z art. 41b ust. 2 projektu ustawy o zmianie ustawy o krajowym systemie cyberbezpieczeństwa oraz niektórych innych ustaw (UC32) minister własciwy do spraw informatyzacji będzie nadzorował podmioty w sektorze administracji publicznej. W celu realizacji tego zadania przewiduje zatrudnienie 40 osób, dla których należy zapewnić dodatkowe wynagrodzenie roczne.</t>
  </si>
  <si>
    <t>Składka na ubezpieczenia społeczne dla pracowników nadzorujących sektor administracji publicznej</t>
  </si>
  <si>
    <t>Zgodnie art. 53 ust. 1 w zw. z art. 41b ust. 2  projektu ustawy o zmianie ustawy o krajowym systemie cyberbezpieczeństwa oraz niektórych innych ustaw (UC32) minister własciwy do spraw informatyzacji będzie nadzorował podmioty w sektorze administracji publicznje. W celu realizacji tego zadania przewiduje zatrudnienie 40 osób, za które pracodawca musi opłacić składki na ubezpieczenia społeczne.</t>
  </si>
  <si>
    <t>Składka na Fundusz Pracy dla pracowników nadzorujących sektor administracji publicznej</t>
  </si>
  <si>
    <t>Zgodnie z art. 53 ust. 1 w zw. z art. 41b ust. 2  projektu ustawy o zmianie ustawy o krajowym systemie cyberbezpieczeństwa oraz niektórych innych ustaw (UC32) minister własciwy do spraw informatyzacji będzie nadzorował podmioty w sektorze administracji publicznej. W celu realizacji tego zadania przewiduje zatrudnienie 40 osób,  dla których pracodawca odprowadza składki do Funduszu Pracy.</t>
  </si>
  <si>
    <t>Składka na Fundusz Solidarnościowy dla pracowników nadzorujących sektor administracji publicznej</t>
  </si>
  <si>
    <t>Zgodnie z art. 53 ust. 1 w zw. z art. 41b ust. 2 projektu ustawy o zmianie ustawy o krajowym systemie cyberbezpieczeństwa oraz niektórych innych ustaw (UC32) minister własciwy do spraw informatyzacji będzie nadzorował podmioty w sektorze administracji publicznej. W celu realizacji tego zadania przewiduje zatrudnienie 40 osób,  dla których pracodawca odprowadza składki do Funduszu Solidarnościowego.</t>
  </si>
  <si>
    <t>Składka na PPK dla pracowników nadzorujących sektor administracji publicznej</t>
  </si>
  <si>
    <t>Zgodnie z art. 53 ust. 1 w zw. z art. 41b ust. 2  projektu ustawy o zmianie ustawy o krajowym systemie cyberbezpieczeństwa oraz niektórych innych ustaw (UC32) minister własciwy do spraw informatyzacji będzie nadzorował podmioty w sektorze administracji publicznej. W celu realizacji tego zadania przewiduje zatrudnienie 40 osób,  dla których pracodawca odprowadza składkę na Pracownicze Plany Kapitałowe.</t>
  </si>
  <si>
    <t>Koszt stanowisk pracy dla osób nadzorujących podmioty publiczne</t>
  </si>
  <si>
    <t>Zgodnie z art. 53 ust. 1 w zw. z art. 41a pkt 3  projektu ustawy o zmianie ustawy o krajowym systemie cyberbezpieczeństwa oraz niektórych innych ustaw (UC32) minister własciwy do spraw informatyzacji będzie nadzorował podmioty w sektorze administracji publicznej. W celu realizacji tego zadania przewiduje zatrudnienie 40 osób,  dla których musi utworzyć stanowisko pracy.</t>
  </si>
  <si>
    <t>Koszt zakupu komputerów, drukarek i słuchawek TEMPEST klasy SDIP-27 Level A na potrzeby przetwarzania informacji niejawnych w związku z realizacją zadań Ministra Cyfryzacji w obszarze zarządzania kryzysowego w cyberprzestrzeni</t>
  </si>
  <si>
    <t>Zgodnie z art.. 45a projektu ustawy o zmianie ustawy o krajowym systemie cyberbezpieczeństwa oraz niektórych innych ustaw (UC32) minister własciwy do spraw informatyzacji będzie pełnił funkcję organu odpowiedzialnego za zarządzanie incydentami i zarządzanie kryzysowe w cyberbezpieczeństwie na dużą skalę w wymiarze cywilnym. W celu realizacji tego zadania przewiduje zakup 4 zestawów komputerów, drukarek i słuchawek TEMPEST klasy SDIP-27 level A umożliwiające pracę nad informacjami niejawnymi.</t>
  </si>
  <si>
    <t>Koszt zakupu licencji do norm technicznych i innych dokumentów standaryzacyjnych z zakresu cyberbezpieczeństwa</t>
  </si>
  <si>
    <t>Zgodnie z art. 53 ust. 1 w zw. z art. 40 -41b projektu ustawy o zmianie ustawy o krajowym systemie cyberbezpieczeństwa oraz niektórych innych ustaw (UC32) minister własciwy do spraw informatyzacji będzie jednym z organów właściwych do spraw cyberbezpieczeństwa nadzorującym podmioty kluczowe i podmioty ważen. W celu realizacji tego zadania przewiduje norm technicznych i dokumentów standaryzacyjnyc z zakresu cyberbezpieczeństwa, które umożliwią efektywne wykonywanie nadzoru.</t>
  </si>
  <si>
    <t>Dotacja celowa na zakup infrastruktury dla CSIRT NASK</t>
  </si>
  <si>
    <t>Zgodnie z art. 53 ust. 1 w zw. z art. 40 -41b projektu ustawy o zmianie ustawy o krajowym systemie cyberbezpieczeństwa oraz niektórych innych ustaw (UC32) minister własciwy do spraw informatyzacji będzie mógł udzielić zespołowi CSIRT NASK dotacji celowej na infrastrukturę niezbędną do wykonywania zadań.</t>
  </si>
  <si>
    <t>Dotacja celowa dla NASK PIB na utworzenie CSIRT sektorowego dla sektorów infrastruktura cyfrowa/usługi cyfrowe/zarządzanie ICT</t>
  </si>
  <si>
    <t>Zgodnie z art.. 44a ust. 1 oraz art.. 44d ust. 2 projektu ustawy o zmianie ustawy o krajowym systemie cyberbezpieczeństwa Minister Cyfryzacji powierzy zadanie funkcjonowania zespołu CSIRT sektorowego dla sektorów infrastruktury cyfrowej, usług cyfrowych i zarządzania ICT NASK - PIB</t>
  </si>
  <si>
    <t>Bezpieczne dane</t>
  </si>
  <si>
    <t>Art. 39a projektu ustawy o zmianie ustawy o krajowym systemie cyberbezpieczeństwa</t>
  </si>
  <si>
    <t>DGT</t>
  </si>
  <si>
    <t>Wspomaganie wdrażania nowych technologii w administracji publicznej</t>
  </si>
  <si>
    <t xml:space="preserve">Organizacja kompleksowej obsługi spotkań, szkoleń i wydarzeń, w tym Hackatonu </t>
  </si>
  <si>
    <t>Część 27</t>
  </si>
  <si>
    <t>16.5.2.2.</t>
  </si>
  <si>
    <t xml:space="preserve">Organizacja wydarzeń wspierających proces wdrażania nowych technologii w administracji publicznej </t>
  </si>
  <si>
    <t xml:space="preserve">Zorganizowanie konferencji, cyklu warsztatów oraz Hackatonu mającego na celu popularyzację i pozyskanie rozwiązań technicznych i organizacyjnych wdrażających nowoczesne, innowacyjne technologie do podmiotów sektora publicznego </t>
  </si>
  <si>
    <t xml:space="preserve">Hackathon -  wdrożenie wybranego rozwiązania </t>
  </si>
  <si>
    <t xml:space="preserve">Pokrycie kosztów wdrożenia rozwiązania/rozwiązań najwyżej ocenionych podczas Hackatonu </t>
  </si>
  <si>
    <t xml:space="preserve">Hackathon -  nagrody pieniężne dla zwycięskich 3 zespołów biorących udział w wydarzeniu </t>
  </si>
  <si>
    <t xml:space="preserve">Nagrody pieniężne dla lauratów konkursów programistycznych dot. nowych technologii w administracji publicznej </t>
  </si>
  <si>
    <t xml:space="preserve">Wyłonione w ramach konkurencji zwycięskie zespoły otrzymają nagrody pieniężne </t>
  </si>
  <si>
    <t>udział w spotkaniach, konferencjach i seminariach krajowych</t>
  </si>
  <si>
    <t xml:space="preserve">Udział w konferencjach tematycznych, wspracie instytucji publicznych na terenie kraju </t>
  </si>
  <si>
    <t>Delegacja zagraniczne</t>
  </si>
  <si>
    <t>Udział w grupach roboczych, obsługa spotkań międzynarodowych, zwłaszcza gremiów europejskich</t>
  </si>
  <si>
    <t xml:space="preserve">Usługa tłumaczeń </t>
  </si>
  <si>
    <t xml:space="preserve">Zapewnienie usługi tłumaczenia materiałów niezbędnych do pracy k.o. </t>
  </si>
  <si>
    <t xml:space="preserve">Zamawianie badań, analiz i ekspertyz oraz prowadzenia ewaluacji polityk publicznych </t>
  </si>
  <si>
    <t>Identyfikacja obszaru e-sportu w celu opracowania wstępnych założeń legislacyjnych oraz identyfikacja obszaru Interentu Rzeczy, w szczególności w energetyce, transporcie, rolnictwie i przemyśle;</t>
  </si>
  <si>
    <t>Opracowanie materiałów pozwalajacych na efektywne prowadzenie działań zmierzających do popularyzacji i wdrażania innowacyjnych technologii w sektorze publicznym oraz analiz zwiazanych ze zmianami legislacyjnymi</t>
  </si>
  <si>
    <t xml:space="preserve">Doradztwo instytucjom publicznym </t>
  </si>
  <si>
    <t>Opiniowanie i doradzanie instytucjom publicznym w zakresie rozpoznania potrzeb technologicznych</t>
  </si>
  <si>
    <t xml:space="preserve">Doradztwo innstytucjom publicznym </t>
  </si>
  <si>
    <t xml:space="preserve">Zatrudnienie ekspertów w ramach zapewnienia wspracia dla Ministerstwa Cyfryzacji i współpracujących instytucji publicznych </t>
  </si>
  <si>
    <t xml:space="preserve">Zakup narzędzi informatycznych i licencji niezbędnych do prowadzenia warsztatów </t>
  </si>
  <si>
    <t xml:space="preserve">Zakup specjalistycznych narzędzi informatycznych i licencji wspomagajacych zespół w prowadzeniu warsztatów wewnętrznych i międzyinstytucjonalnych, prowadzących do wypracowania modelu pozyskiwania i wdrażania innowacji w sektorze publicznym  </t>
  </si>
  <si>
    <t>Dotacja</t>
  </si>
  <si>
    <t>Zaprojektowanie i wdrożenie oraz utrzymanie i rozwój systemu służącego stworzeniu odpowiedniego zaplecza technicznego (platformy) w celu kompleksowej obsługi konkursów czy dialogów technicznych.</t>
  </si>
  <si>
    <t>16.5.1.2.</t>
  </si>
  <si>
    <t xml:space="preserve">Dotacja na wdrożenie i utrzymanie rozwiązania informatyczego </t>
  </si>
  <si>
    <t>DP</t>
  </si>
  <si>
    <t>Koszty umowy związane z zastępstwem procesowym w postępowaniu przed cypryjskim sądem</t>
  </si>
  <si>
    <t>zastępstwo procesowe</t>
  </si>
  <si>
    <t>zabezpieczone koszty z tytułu zastępstwa procesowago w postępowaniu przed cypryjskim sądem na podstawie podpisanych umów.</t>
  </si>
  <si>
    <t>835/DP/21 z dnia 22.06.2021r.</t>
  </si>
  <si>
    <t>DR.K.CHRYSOSTOMIDES &amp; CO. LLC, a Lawyers' Limited Company incorporated uder the laws of the Rrepublic of Cyprus</t>
  </si>
  <si>
    <t>Przewidywanie kosztów na następne lata uzależnione są od dalszego postępowania</t>
  </si>
  <si>
    <t xml:space="preserve">Zakup usług obejmujący tłumaczenia </t>
  </si>
  <si>
    <t>zaplanowanie wydatków w ramach zakupu usług obejmujących tłumaczenia wynikają z zadań prawno-legislacyjnych realizowane w DP.</t>
  </si>
  <si>
    <t>Przewidywanie kosztów na tłumaczenia uzależnione są od dalszego postępowania w cypryjskim sądzie.</t>
  </si>
  <si>
    <t>Dieta dla rzecznika dyscyplinarnego</t>
  </si>
  <si>
    <t>dieta</t>
  </si>
  <si>
    <t>zaplanowanie wydatków związanych z pracą Rzecznika Dyscyplinarnego.</t>
  </si>
  <si>
    <t>Zakup książek dotyczących pomocy prawnej i legislacji w DP</t>
  </si>
  <si>
    <t>zakup książek</t>
  </si>
  <si>
    <t>zaplanowanie wydatków na zakup ksiązek dla Departamentu Prawnego, w celu realizacji powierzanych zadań.</t>
  </si>
  <si>
    <t>Zakup usługi obejmuje dostęp do informacji prawnej dla MC</t>
  </si>
  <si>
    <t>zakup usług</t>
  </si>
  <si>
    <t>[LEX]zaplanowanie wydatków w ramach zakupu licencji na LEX wynika z potrzeby zapewnienia dodatkowego systemu informacji prawnej, oprócz SIP Legalis; zakup licencji do LEZ jest uzasadniony tym, że ten system posiada inną baże publikacji z obszaru prawa, niż wybrany przez COAR SIP Legalis</t>
  </si>
  <si>
    <t>zaplanowanie wydatków w ramach zakupu licencji SIP (w wyniku udzielenia centralnego zamówienia przez COAR) wynika z potrzeby zapewnienia Systemu Informacji Prawnej dla MC</t>
  </si>
  <si>
    <t>DPiS</t>
  </si>
  <si>
    <t>16.5.1.2</t>
  </si>
  <si>
    <t>Utrzymanie Systemu Inwentaryzacji Systemów Teleinformatycznych (SIST) i przeprowadzenie dwóch inwentaryzacji</t>
  </si>
  <si>
    <t>Utrzymanie Systemu Inwentaryzacji Systemów Teleinformatycznych (SIST) i przeprowadzenie do dwóch inwentaryzacji (dalej zwane także: Zadaniem) Dane zbierane dzięki formularzom ankietowym zamieszczonym w SIST służą bezpośrednio Ministrowi Cyfryzacji do wsparcia procesów planistycznych oraz założeń programowych Wspólnej Infrastruktury Informatycznej Państwa i Architektury Informacyjnej Państwa. Wyniki Inwentaryzacji SIST są źródłem aktualnej informacji o systemach, rejestrach, które prowadzone są przez administrację publiczną.</t>
  </si>
  <si>
    <t>podpisana umowa</t>
  </si>
  <si>
    <t>Umowa dotacji nr 169/DPiS/24</t>
  </si>
  <si>
    <t>Instytut Łączności - Państwowy Instytut Badawczy</t>
  </si>
  <si>
    <t>Aktualnie obowiązująca umowa. Planowane jest zawarcie umów na kolejne lata.</t>
  </si>
  <si>
    <t xml:space="preserve">Aris - odnowienie wsparcia technicznego dla systemu modelowania architektury ARIS, usługi utrzymania, zapewnienie wsparcia ekspertów do konsultracji w zakresie funkcjonalności </t>
  </si>
  <si>
    <t>Oprogramowanie wspierajace zbieranie informacji o infrastrukturze informatycznej kraju, umożliwiające przygotowanie planów optymalizacyjnych. Ponadto dostarcza dane do analiz w zakresie infrastruktury informatycznej. Długofalowym efektem będzie rozwój Architektury Informacyjnej Państwa adaptującej się do zmieniających ról poszczególnych organów państwowych.</t>
  </si>
  <si>
    <t>Umowa nr 82/DPiS/24</t>
  </si>
  <si>
    <t>Ateris Spółka Akcyjna, z siedzibą w Poznaniu, adres: 60-622 Poznań, ul. Warmińska 1</t>
  </si>
  <si>
    <t xml:space="preserve">Świadczenie specjalistycznych usług z zakresu IT </t>
  </si>
  <si>
    <t xml:space="preserve">BL AIP - opracowanie koncepcji rozwiązań architektonicznych, współpracą z jednostkami administracji publicznej w zakresie opracowania architektury informacyjnej danej jednostki, prowadzeniem spraw związanych z zapewnieniem interoperacyjności systemów teleinformatycznych podmiotów publicznych oraz trzymaniem repozytorium AIP niezbędne jest wsparcie eksperckie architektów oraz analityków systemowych.  
Zgodnie z nowym zarządzeniem dot. KRMC wszystkie projekty informatyczne będą miały obowiązek konsultacji z AIP. </t>
  </si>
  <si>
    <t>Umowa nr 94/DPiS/24</t>
  </si>
  <si>
    <t>Transition Technologies-Software sp. z o.o. z siedzibą w Warszawie</t>
  </si>
  <si>
    <t>Utrzymanie i rozwój Architektury Informacyjnej Państwa</t>
  </si>
  <si>
    <t>Celem realizacji zadania jest kontynuacja działań związanych z poprawą bezpieczeństwa państwa oraz wsparcie zadań zintegrowanej informatyzacji poprzez uzyskanie ładu architektonicznego w administracji państwowej w obrębie rozwiązań teleinformatycznych zorientowanych na świadczenie usług na rzecz społeczeństwa oraz zapewniających funkcjonowanie administracji. Zadania te nie zostały powierzone i nie są realizowane przez żaden inny organ państwa ani jednostkę organizacyjną Ministerstwa. Prace nad AIP wpisują się w strategiczną inicjatywę Unii Europejskiej dot. zapewnienia interoperacyjności publicznych usług elektronicznych na obszarze UE, której wdrożenie w Polsce wspiera Minister Cyfryzacji. Przy realizacji zadania uwzględnione zostaną wytyczne w tym zakresie wypracowane w ramach programu ISA (Interoperability Solutions for Administration), w tym przede wszystkim architektura referencyjna EIRA (European Interoperability Reference Architecture).</t>
  </si>
  <si>
    <t xml:space="preserve">Umowa dotacji nr 114/DPiS/24
 </t>
  </si>
  <si>
    <t>Naukowa i Akademicka Sieci Komputerowa – Państwowy Instytut Badawczy</t>
  </si>
  <si>
    <t xml:space="preserve">EDIC </t>
  </si>
  <si>
    <t xml:space="preserve">Dotacja na zadania związane z realizacją EDIC. EDIC jest instrumentem dla państw członkowskich umożliwiającym osiągnięcie ogólnych celów w ramach program „Droga ku cyfrowej dekadzie” do 2030 r. w celu przyspieszenia i uproszczenia tworzenia i realizacji projektów wielokrajowych. EDIC realizuje projekt wielokrajowy, wdrażając wspólną infrastrukturę, świadcząc usługi i łącząc podmioty publiczne, podmioty prywatne, użytkowników końcowych i przemysł, zgodnie z wolą państw. </t>
  </si>
  <si>
    <t>BBF - EDIC jest też w DBI</t>
  </si>
  <si>
    <t>Składka członkowska w organizacji. EDIC jest instrumentem dla państw członkowskich umożliwiającym osiągnięcie ogólnych celów w ramach program „Droga ku cyfrowej dekadzie” do 2030 r. w celu przyspieszenia i uproszczenia tworzenia i realizacji projektów wielokrajowych. EDIC realizuje projekt wielokrajowy, wdrażając wspólną infrastrukturę, świadcząc usługi i łącząc podmioty publiczne, podmioty prywatne, użytkowników końcowych i przemysł, zgodnie z wolą państw.</t>
  </si>
  <si>
    <t>del krajowe planowane przez BDG</t>
  </si>
  <si>
    <t xml:space="preserve">delegacje zagraniczne </t>
  </si>
  <si>
    <t>del. Zagraniczne planowane są przez DWM</t>
  </si>
  <si>
    <t>Rozwój systemu MonAliZa 2.0</t>
  </si>
  <si>
    <t>Prace rozwojowe systemu MonAliZa 2.0 w zakresie wsparcia monitorowania i zarządzania projektami, programami i portfelami zgodnie z oczekiwaniami interesariuszy oraz jego stabilizacja.
W ramach prac zostaną wykonane: 
- modyfikacje istniejących i tworzenie nowych funkcjonalności zapewniających kompleksowość monitorowania i zarządzania projektami, programami i portfelami,
- stabilizacja systemu.</t>
  </si>
  <si>
    <t>procedowana umowa na 2024 / planowane na lata następne</t>
  </si>
  <si>
    <t>BBF 4 100 Rozwój systemu MonAliZa 2.0 jest też w DBI</t>
  </si>
  <si>
    <t xml:space="preserve">Utrzymanie systemu Monaliza 2.0 </t>
  </si>
  <si>
    <t>Techniczne utrzymanie, w tym tzw "mały" rozwój (nieobejmujący zmiany lub rozbudowy funckjonalności) modułów systemu Monaliza po ich wdrożeniu</t>
  </si>
  <si>
    <t>podpisana</t>
  </si>
  <si>
    <t>1630/DAIP/2022</t>
  </si>
  <si>
    <t xml:space="preserve">Rozwój systemu MonAliZa 2.0 </t>
  </si>
  <si>
    <t>Prace rozwojowe systemu MonAliZa 2.0 w zakresie wsparcia monitorowania i zarządzania projektami, programami i portfelami zgodnie z oczekiwaniami interesariuszy oraz jego stabilizacja.
W ramach prac zostaną wykonane: 
- opracowanie koncepcji, założen oraz dokumentacji dla modyfikacji istniejących i tworzenia nowych funkcjonalności zapewniających kompleksowość monitorowania i zarządzania projektami, programami i portfelami.</t>
  </si>
  <si>
    <t>112/DPIS/24</t>
  </si>
  <si>
    <t>Britenet</t>
  </si>
  <si>
    <t>BBF 600 Rozwój systemu MonAliZa 2.0 jest też w DBI</t>
  </si>
  <si>
    <t>bl</t>
  </si>
  <si>
    <t xml:space="preserve">Obsługa KRMC </t>
  </si>
  <si>
    <t>Zatrudnienie ekspretów w ramach działań związanych z obsługą KRMC - opiniowanie projektów KRMC</t>
  </si>
  <si>
    <t>BBF 600 Obsługa KRMC jest też w DBI</t>
  </si>
  <si>
    <t>Współpraca z samorządami - budowa jednego punktu kontaktu PKJST</t>
  </si>
  <si>
    <t>Modyfikacja, uzupełnienie portalu samorzad.gov.pl, pod kątem utworzenia jednego punktu kontaktu z JST w celu wsparcia koordynacji współpracy administracji rządowej z samorządową oraz wdrażania AIP w JST i jego utrzymanie</t>
  </si>
  <si>
    <t>BBF 2 000 Współpraca z samorządami - budowa jednego punktu kontaktu PKJST jest też w DBI</t>
  </si>
  <si>
    <t>coi</t>
  </si>
  <si>
    <t>Testy (audyty) bezpieczeństwa systemu MonAliZa 2.0</t>
  </si>
  <si>
    <t>BBF - Rozwój systemu MonAliZa 2.0 jest też w DBI</t>
  </si>
  <si>
    <t>Opracowanie wymagań oraz wsparcie analityczne modyfikacji, uzupełnienia  portalu samorzad.gov.pl, pod kątem utworzenia jednego punktu kontaktu z JST w celu wsparcia koordynacji współpracy administracji rządowej z samorządową oraz wdrażania AIP w JST i jego utrzymanie</t>
  </si>
  <si>
    <t>BBF 700 Współpraca z samorządami - budowa jednego punktu kontaktu PKJST jest też w DBI</t>
  </si>
  <si>
    <t>Obsluga posiedzeń Komitetu Rady Ministrów do spraw Cyfryzacji</t>
  </si>
  <si>
    <t>BBF 3 Obsługa KRMC jest też w DBI</t>
  </si>
  <si>
    <t>Zakup certyfikatów do podłączenia się do Węzła Krajowego (3 lata) systemu MonALiZa 2.0</t>
  </si>
  <si>
    <t>BBF 2 Utrzymanie systemu Monaliza 2.0 jest też w DBI</t>
  </si>
  <si>
    <t>BBF - Utrzymanie systemu Monaliza 2.0 jest też w DBI</t>
  </si>
  <si>
    <t>Współpraca z samorządami</t>
  </si>
  <si>
    <t>Opracowanie i realizacja badań oraz doradztwo eksperckie dotyczącee zakresu i jakości procesów cyfryzacją administracji samorządowej</t>
  </si>
  <si>
    <t>BBF 200 Współpraca z samorządami jest też w DBI</t>
  </si>
  <si>
    <t>Organizacja konferencji, seminariów oraz spotkań w zakrsie koordynacji działań administracji rządowej z samrządową</t>
  </si>
  <si>
    <t>BBF 300 Współpraca z samorządami jest też w DBI</t>
  </si>
  <si>
    <t>Utrzymanie AIS</t>
  </si>
  <si>
    <t>Utrzymanie AIS, w tym modeli AIS oraz wsparcie budowy modeli AIST i wdrożeniu AIS w JST</t>
  </si>
  <si>
    <t>BBF - Utrzymanie AIS jest też w DBI</t>
  </si>
  <si>
    <t>Usługa tłumacza</t>
  </si>
  <si>
    <t>Usług zapewnienia tłumacza w ramach realizowanych spotkań z Komisją Europejską, w zakresie realizacji funkcji koordynacji działań mająch na celu realizację wytycznych Krajowego Planu Odbudowy - KPO.</t>
  </si>
  <si>
    <t>Umowa MC na tłumaczenia</t>
  </si>
  <si>
    <t>Tworzenie materiałów i sprawozdań dotyczących dialogu społecznego i społeczeństwa obywatelskiego</t>
  </si>
  <si>
    <t>ekspertyzy, badania i analizy oczekiwań społeczeństwa obywatelskiego powiązane z działaniami w obszarze partycypacji społecznej w obrębie prac nad dokumentami legislacyjnymi i pozalegislacyjnymi</t>
  </si>
  <si>
    <t>BBF - Tworzenie materiałów i sprawozdań dotyczących dialogu społecznego i społeczeństwa obywatelskiego jest też w DBI</t>
  </si>
  <si>
    <t>Działania informacyjno-promocyjne w obszarze dialogu społecznego</t>
  </si>
  <si>
    <t>zakup materiałów informacyjnych, gadżetów związanych z promocją dialogu społecznego i konsultacji publicznych</t>
  </si>
  <si>
    <t>BBF - Działania informacyjno-promocyjne w obszarze dialogu społecznego jest też w DBI</t>
  </si>
  <si>
    <t>Prowadzenie konsultacji społecznych w procesie stanowienia prawa oraz projektów działań pozalegislacyjnych zgodnie z zasadami partycypacji społecznej</t>
  </si>
  <si>
    <t>Organizacja konferencji, seminariów oraz spotkań konsultacyjnych, w tym spotkań branżowych, tworzenie dobrych praktyk w obszarze dialogu społecznego i konsultacji publicznych</t>
  </si>
  <si>
    <t>BBF - Prowadzenie konsultacji społecznych w procesie stanowienia prawa oraz projektów działań pozalegislacyjnych zgodnie z zasadami partycypacji społecznej jest też w DBI</t>
  </si>
  <si>
    <t>Zaprojektowanie i wdrożenie oraz utrzymanie i rozwój systemu służącego ułatwieniu komunikacji w obszarze dialogu społecznego i konsultacji publicznych</t>
  </si>
  <si>
    <t>Realizacja zadania wspiera tworzenie dobrych praktyk i umacnianie roli konsultacji społecznych w życiu publicznym. Ponadto dostarczy dane do analiz w zakresie dialogu społecznego, oczekiwań społeczeństwa informacyjnego oraz rekomendacji do prac nad dokumentami legislacyjnymi i pozalegislacyjnymi.</t>
  </si>
  <si>
    <t>BBF - Zaprojektowanie i wdrożenie oraz utrzymanie i rozwój systemu służącego ułatwieniu komunikacji w obszarze dialogu społecznego i konsultacji publicznych jest też w DBI</t>
  </si>
  <si>
    <t>Monitorowanie realizacji celów strategii cyfryzacji</t>
  </si>
  <si>
    <t>W MC trwają prace nad nowym dokumentem starategicznym w obszarze cyfryzacji, po przyjęciu którego konieczne będzie monitorowanie stopnia realizacji założonych celów oraz efektywności wprowadzanych zmian. Istniejące obecnie źródła danych nie są wystarczająco dostosowane do potrzeb</t>
  </si>
  <si>
    <t>Polski Instytut Ekonomiczny</t>
  </si>
  <si>
    <t>BBF - Monitorowanie realizacji celów strategii cyfryzacji jest też w DBI</t>
  </si>
  <si>
    <t>Obsługa prawna</t>
  </si>
  <si>
    <t>W związku z prowadzonymi postępowaniami administracyjnymi niezbędne jest zapewnienie obsługi prawnej oraz zastępstwa procesowego.</t>
  </si>
  <si>
    <t>BBF - Obsługa prawna jest też w DBI</t>
  </si>
  <si>
    <t>Opracowanie graficzne, tłumaczenie i wydruk Strategii cyfryzacji</t>
  </si>
  <si>
    <t xml:space="preserve">Nowy dokument strategiczny zostanie przyjęty na przełomie 2024/2025. Po akceptacji treści przez RM, konieczne będzie dostosowanie jego formy graficznej oraz tłumaczenie na potrzeby odbiorców zagranicznych </t>
  </si>
  <si>
    <t>BBF - Opracowanie graficzne, tłumaczenie i wydruk Strategii cyfryzacji jest też w DBI</t>
  </si>
  <si>
    <t>CIO meeting w ramach prezydencji PL w radzie UE</t>
  </si>
  <si>
    <t>Koszty organizacji spotkania w Gdańsku - dodatkowe koszty eventowe</t>
  </si>
  <si>
    <t>BBF - CIO meeting w ramach prezydencji PL w radzie UE jest też w DBI</t>
  </si>
  <si>
    <t>DT</t>
  </si>
  <si>
    <t>6.3.1.4</t>
  </si>
  <si>
    <t>finansowanie realizacji zadań ustawowych operatora OSE w związku z wdrażaniem Ogólnopolskiej Sieci Edukacyjnej - dotacja dla NASK -PIB, wydatki bieżące.</t>
  </si>
  <si>
    <t xml:space="preserve">Na podstawie art. 10 ust. 1 i art. 15 ust. 1 ustawy z dnia 27 października 2017 r. o Ogólnopolskiej Sieci Edukacyjnej (t.j. Dz. U. z 2022 r. poz. 2454), w związku z art. 150 ustawy z dnia 27 sierpnia 2009 r. o finansach publicznych (Dz. U. z 2023 r. poz. 1270, z późn. zm.), Minister Cyfryzacji planuje udzielić Naukowej i Akademickiej Sieci Komputerowej – Państwowemu Instytutowi Badawczemu dotacji celowej na finansowanie wykonywania przez NASK-PIB zadań operatora OSE. W 2025 r. przewiduje się m.in.:
1) wydatki na utrzymanie łączy telekomunikacyjnych, wykorzystywanych przez operatora OSE do świadczenia bezpłatnych usług szkołom ;
2) wydatki na utrzymanie i rozwój usług bezpieczeństwa sieciowego i teleinformatycznego świadczonych szkołom;
3) wydatki na działalność edukacyjną prowadzoną w ramach OSE;
4) wydatki własne operatora OSE, m.in.na utrzymanie personelu operatora OSE.
</t>
  </si>
  <si>
    <t>finansowanie realizacji zadań ustawowych operatora OSE w związku z wdrażaniem Ogólnopolskiej Sieci Edukacyjnej - dotacja dla NASK -PIB, wydatki inwestycyjne</t>
  </si>
  <si>
    <t>Wydatki inwestycyjne w ramach dotacji celowej, o której mowa w 2 wierszu. W 2025 r. przewiduje się m.in.: wydatki inwestycyjne przeznaczone m.in. na odtworzenie elementów infrastruktury sieci szkieletowej OSE, zakup systemu SWG zapewniającego kontrolę treści w dostępie do Internetu dla szkół, zakup systemu Cyber Assessment, wymianę urządzeń abonenckich w szkołach.</t>
  </si>
  <si>
    <t>dotacja celowa dla IŁ-PIB - wydatki bieżące</t>
  </si>
  <si>
    <t xml:space="preserve">Na podstawie art. 150 w zw. z art. 127 ust. 1 pkt 1 ustawy z dnia 27 sierpnia 2009 r. o  finansach publicznych (Dz. U. z 2023 r. poz. 1270, z późn. zm.) oraz art. 37 ust. 1 ustawy z dnia 30 kwietnia 2010 r. o instytutach badawczych (Dz. U. z 2024 r. poz. 534, z późn. zm.), Minister Cyfryzacji planuje udzielić dotacji celowej dla Instytutu Łączności – Państwowego Instytutu Badawczego na finansowanie realizacji zadania pn. „Zapewnienie łączności satelitarnej na potrzeby wsparcia jednostek sektora finansów publicznych i innych podmiotów w wykonywaniu ich zadań publicznych”. </t>
  </si>
  <si>
    <t>IŁ-PIB</t>
  </si>
  <si>
    <t>Dotacja celowa  dla Instytutu Łączności - Państwowego Instytutu Badawczego - wydatki bieżące</t>
  </si>
  <si>
    <t>Na podstawie art. 150 w zw. z art. 127 ust. 1 pkt 1 ustawy z dnia 27 sierpnia 2009 r. o finansach publicznych (Dz. U. z 2023 r. poz. 1270, z późn. zm.) oraz art. 21 ust. 6 ustawy z dnia 30 kwietnia 2010 r. o instytutach badawczych (Dz. U. z 2024 r. poz. 534, z późn. zm.), Minister Cyfryzacji planuje udzielić dotacji celowej dla Instytutu Łączności – Państwowego Instytutu Badawczego na finansowanie realizacji w sposób ciągły prac badawczych i rozwojowych w obszarze dotyczącym rozwoju telekomunikacji, zgodnie z zakresem merytorycznym zadań określonych w art. 22 ww. ustawy instytutach badawczych, planowany wstępny zakres pracy:
a)	pomiary poziomów pól elektromagnetycznych (PEM) wytwarzanych przez stacje bazowe telefonii komórkowej,
b)	organizacja międzynarodowej Konferencji naukowej na temat telekomunikacji,
c)	  wsparcie w zakresie utrzymania systemu SI2PEM,
d)	wsparcie w zakresie współpracy krajowej i międzynarodowej dotyczącej gospodarki i  inżynierii widma radiowego w ramach CEPT, ITU i Administracji Polski,
e)	wsparcie merytoryczne, naukowe, badawcze i techniczne w zakresie satelitarnych systemów radionawigacyjnych i radiokomunikacyjnych, w tym przy analizie dokumentów technicznych będących przedmiotem prac grup/rad funkcjonujących w ramach ESA, EUSPA, UE zajmujących się ww. tematyką,
f)	prace badawczo-rozwojowe nad technologią szóstej generacji (6G) ─ analiza możliwości wykorzystania w Polsce\wsparcie merytoryczne, naukowe i badawcze dla administracji,
g)	wsparcie merytoryczne w zakresie nowelizacji aktów prawnych (rozporządzeń technicznych) z obszaru telekomunikacji,
h)	utrzymanie Systemu Informatycznego do spraw Monitorowania, Badania i Analiz (SIMBA).</t>
  </si>
  <si>
    <t>Dotacja celowa  dla Instytutu Łączności - Państwowego Instytutu Badawczego - wydatki inwestycyjne</t>
  </si>
  <si>
    <t xml:space="preserve">Wydatki inwestycyjne w ramach dotacji celowej, o której mowa w 5 wierszu. W 2025 r. wydatki będą przeznaczone na rozbudowę stacjonarnego monitoringu w ramach kampanii pomiarowej poziomów pól elektromagnetycznych (PEM) poprzez zakup stacji do stacjonarnego monitoringu PEM, rozwój komponentów Polskiego Systemu Monitorowania Galileo - w szczególności systemu Mobilny System Pomiarowy GNSS Galileo (MSP2G) poprzez doposażenie samochodu pomiarowego oraz wyposażenie serwerowni zapasowej niezbędnej do utrzymania systemów w razie awarii serwerowni głównej, w tym zakup serwerów, macierzy, szaf serwerowych, przewodów sieciowych, oprogramowania zabezpieczającego. </t>
  </si>
  <si>
    <t>6.3.1.1</t>
  </si>
  <si>
    <t>Działania edukacyjne i informacyjne</t>
  </si>
  <si>
    <t>Mając na uwadze zadania DT oraz prace nad nowymi unijnymi regulacjami dotyczącymi ochrony prywatności i danych w komunikacji elektronicznej oraz stale rozwijające się usługi komunikacji elektronicznej, a co za tym idzie wzrost zagrożeń prywatności i danych podczas korzystania z tych usług, konieczne jest prowadzenie akcji edukacyjnych i informacyjnych dla użytkowników końcowych na temat takich zagrożeń oraz podejmowanie działań mających na celu ochronę ich interesów. Akcje takie mogą obejmować m.in. wydawanie ulotek, poradników, spotów, organizowanie warsztatów.
Ponadto, w związku z planowanymi pracami nad projektem ustawy o ochronie małoletnich przed dostępem do treści szkodliwych w internecie, konieczne mogą być przewidziane ustawą działania edukacyjno-informacyjne ministra informatyzacji w zakresie zwiększania świadomości na temat szkodliwych skutków dostępu małoletnich do treści dla nich szkoldiwych w internecie.</t>
  </si>
  <si>
    <t>organizacja wydarzenia COM-ITU</t>
  </si>
  <si>
    <t xml:space="preserve">Polska recepcja w trakcie WSIS Forum. Ministerstwo Cyfryzacji wraz z Urzędem Komunikacji Elektronicznej, we współpracy ze Stałym Przedstawicielstwem RP przy Biurze Narodów Zjednoczonych w Genewie, corocznie współorganizuje Wydarzenie towarzyszące Forum Światowego Szczytu Społeczeństwa Informacyjnego (WSIS). </t>
  </si>
  <si>
    <t>składki do organizacji międzynarodowych</t>
  </si>
  <si>
    <t>Obowiązek uiszczania składek do organizacji międzynarodowych wynikający z członkostwa RP w tych organizacjach.</t>
  </si>
  <si>
    <t>6.3.1.4.</t>
  </si>
  <si>
    <t xml:space="preserve"> podatek VAT w wydatkach z KPO</t>
  </si>
  <si>
    <t>W ramach wydatków budżetowych związanych z wdrażaniem inwestycji Krajowego Planu Odbudowy i Zwiększania Odporności przewiduje się wydatki na pokrycie udziału podatku VAT  w ramach realizacji Wniosku o udzielenie zamówienia publicznego numer 85/DT/24 na usługę przeprowadzenia analizy efektów interwencji w ramach inwestycji C.1.1.1 Krajowego Planu Odbudowy i Zwiększenia Odporności oraz I Priorytetu Funduszy Europejskich na  Rozwój Cyfrowy 2021–2027.</t>
  </si>
  <si>
    <t>zakup usług pozostałych - prace przygotowawcze dot. systemu teleinformatycznego</t>
  </si>
  <si>
    <t xml:space="preserve">Wydatki planowane do przekazania dla  Centralnego Ośrodka Informatyki z przeznaczeniem na wydatki związane z opracowaniem koncepcji lub rozpoczęciem prac wdrożeniowych dotyczących systemu teleinformatycznego do  obsługi spraw związanych z przeciwdziałaniem przemocy domowej.
</t>
  </si>
  <si>
    <t>6.3.1.1.</t>
  </si>
  <si>
    <t>kara za niewdrożenie Dyrektywy Parlamentu Europejskiego i Rady (UE) 2018/1972 (EKŁE)</t>
  </si>
  <si>
    <t xml:space="preserve">Trybunał Sprawiedliwości Unii Europejskiej 14 marca 2024 r. wydał wyrok w sprawie C-452/22 Komisja/Polska –brak wdrożenia przepisów unijnej dyrektywy Parlamentu Europejskiego i Rady (UE) 2018/1972 z dnia 11 grudnia 2018 r. ustanawiającej Europejski kodeks łączności elektronicznej (dalej: „Dyrektywa EKŁE”) do prawa krajowego w wymaganym terminie. Zgodnie z wyrokiem orzeczono obowiązek zapłaty na rzecz Komisji Europejskiej okresowej kary pieniężnej w wysokości 50 000 EUR dziennie (do momentu implementacji Dyrektywy EKŁE). </t>
  </si>
  <si>
    <t>do decyzji Kierownictwa MC</t>
  </si>
  <si>
    <t>Broadband Competence Offices (BCO) - organizacja spotkań informacyjnych, przygotowanie materiałów informacyjnych, usługi doradcze</t>
  </si>
  <si>
    <t>W ramach wydatków związanych z pełnieniem funkcji Broadband Competence Office przewiduje się finansowanie działalności informacyjno-promocyjnej w zakresie informowania obywateli, przedsiębiorców i jednostek samorządu terytorialnego o inwestycjach szerokopasmowych realizowanych na terenie Polski i finansowanych ze źródeł publicznych i prywatnych (np. w postaci informatorów, poradników itp.), jak również finansowanie ewentualnych konferencji itp. poświęconych inwestycjom w sieci szerokopasmowe.</t>
  </si>
  <si>
    <t>wykonanie ekspertyz i analiz</t>
  </si>
  <si>
    <t>W związku z planowanym wejściem w życiem pod koniec 2024 r. Ustawy - Prawo komunikacji elektronicznej oraz realizacją innych bieżących zadań istnieje konieczność zlecania wykonania ekspertyz (analiz).</t>
  </si>
  <si>
    <t>działania mające na celu zwiększania świadomości społecznej i wiedzy na temat numerów 116111 i 116123</t>
  </si>
  <si>
    <t xml:space="preserve">Mając na uwadze procedowaną ustawę Prawo komunikacji elektronicznej (druk sejmowy nr 423) i przyjętą przez posłów poprawkę podczas 2-giego czytania projektu w Sejmie obejmującą modyfikację art. 165 polegającą na wskazaniu, że minister właściwy ds.  informatyzacji prowadzi działania mające na celu na celu zwiększania świadomości społecznej i wiedzy na temat numerów 116111 i 116123, konieczne jest zabezpieczenie na ten cel koniecznych środków. </t>
  </si>
  <si>
    <t xml:space="preserve">organizacja wydarzenia Cyber Week: cyber&amp;telco attache trip </t>
  </si>
  <si>
    <t>Cyber Week stanowi powiązanie ze sobą 4 wydarzeń organizowanych przez Departament Cyberbezpieczeństwa oraz Departament Telekomunikacji. Całość odbędzie się w dniach 12-16 maja 2025 r. w Krakowie jako wydarzenia organizowane w ramach Polskiej Prezydencji w UE. DT będzie odpowiedzialne za  zamówienie na wybór operatora logistycznej obsługi całego wydarzenia. DC  za  pozostałe kwestie. Niektóre wydatki w ramach organizacji tego wydarzenia moga być uznane za niekwalifikowalne w ramach środków na Prezydencję przyznawanych przez KPRM, w związku z tym istnieje konieczność zabezpieczenia dodatkowych środków w budżecie DT.</t>
  </si>
  <si>
    <t>BBF - związane z Prezydencją</t>
  </si>
  <si>
    <t>I -II kwartał 2025 r.</t>
  </si>
  <si>
    <t xml:space="preserve">organizacja 2 warsztatów dotyczących plików cookies i technik śledzących </t>
  </si>
  <si>
    <t>W ramach wydarzeń dotyczących Prezydencji Polskiej w UE DT planuje zorganizować dwa warsztaty w Stałym Przedstawicielstwie RP w Brukseli dotyczących plików cookies i technik śledzących (tematyka dotycząca ochrony prywatności). Zakłada się udział ok. 30 osób w każdym warsztacie. DT nie otrzyma na to wydarzenie środków na Prezydencję przyznawanych przez KPRM.</t>
  </si>
  <si>
    <t>DTC</t>
  </si>
  <si>
    <t>Wsparcie dla powszechnego stosowania elektronicznego zarządzania dokumentacją poprzez rozwój i udostępnienie nieodpłatnego systemu klasy EZD</t>
  </si>
  <si>
    <t>KPO</t>
  </si>
  <si>
    <t>16.1.2.1</t>
  </si>
  <si>
    <t xml:space="preserve"> Subinwestycja C2.1a.1: Wsparcie dla powszechnego stosowania elektronicznego zarządzania
dokumentacją poprzez rozwój i udostępnienie nieodpłatnego systemu klasy EZD, udostępnienie chmury SaaS2 EZD RP oraz wdrożenia systemu EZD w administracji publicznej RP</t>
  </si>
  <si>
    <t>usunięte zgodnie z mailem z 25.07.2025</t>
  </si>
  <si>
    <t>POZA FUZJĄ</t>
  </si>
  <si>
    <t>Poza umową na relizację przez COI niektórych zadań Ministra Cyfrzacji - FERC</t>
  </si>
  <si>
    <t>zadania biznesowe dotyczące nowego projektu Multiportal RP - FERC</t>
  </si>
  <si>
    <t>Poza umową na relizację przez COI niektórych zadań Ministra Cyfrzacji</t>
  </si>
  <si>
    <t>Zapewnienie specjalistycznych usług z zakresu IT</t>
  </si>
  <si>
    <t>Poza umową na relizację przez COI niektórych zadań Ministra Cyfrzacji - odsprzedaż</t>
  </si>
  <si>
    <t>na świadczenie usługi dostępu do Internetu i usługi antyDDoS 
w Lokalizacji I (Warszawa, ul. Barcicka 52/56) przez okres 36 miesięcy.</t>
  </si>
  <si>
    <t>Świadczenie usługi dostępu do Internetu oraz usługi antyDDoS w Lokalizacji I</t>
  </si>
  <si>
    <t>Świadczenie usługi do Internetu oraz usługi antyDDoS wraz
 z gwarancją w Lokalizacji II (11 Listopada 23)</t>
  </si>
  <si>
    <t>Aneks nr 9 - Powierzchnia - Kiosk "Dystrybucyjny" NASK</t>
  </si>
  <si>
    <t>Aneks nr 9 - Powierzchnia - Kiosk "Rejestry państwowe"NASK</t>
  </si>
  <si>
    <t>Aneks nr 9 - Powierzchnia - Kiosk "RChO" NASK</t>
  </si>
  <si>
    <t>Aneks nr 9 - Powierzchnia - Kiosk "Niejawny"NASK</t>
  </si>
  <si>
    <t>Aneks nr 9 - Powierzchnia - utrzymanie powierzchni niezajętej NASK</t>
  </si>
  <si>
    <t>Aneks nr 9 - Utrzymanie powierzchni biurowej NASK</t>
  </si>
  <si>
    <t>Aneks nr 9 - Usługi dodatkowe</t>
  </si>
  <si>
    <t>Aneks nr 9 - Energia elektryczna</t>
  </si>
  <si>
    <t>Aneks nr 9 - Ochrona kwalfikowana</t>
  </si>
  <si>
    <t>Zakupy pod Otwarte Dane 3.0</t>
  </si>
  <si>
    <t>inny - środki krajowe</t>
  </si>
  <si>
    <t>Umowa na realizację przez COI niektórych zadań Ministra Cyfryzacji</t>
  </si>
  <si>
    <t>Zadania biznesowe dotyczące Ambasady Danych</t>
  </si>
  <si>
    <t>FUZJA</t>
  </si>
  <si>
    <t>Wsparcie w przygotowaniu dokumentacji projektowej do FERC – Ambasada Danych</t>
  </si>
  <si>
    <t>Utrzymanie Ambasady Danych</t>
  </si>
  <si>
    <t>Utrzymanie Bazy Mężów Zaufania</t>
  </si>
  <si>
    <t>Utrzymanie CC SPOC</t>
  </si>
  <si>
    <t>Utrzymanie CRW</t>
  </si>
  <si>
    <t>Zadania biznesowe dotyczące CRW</t>
  </si>
  <si>
    <t>Prace utrzymaniowe dla dane.gov.pl</t>
  </si>
  <si>
    <t>eDoręczenia udostępnianie/operacje</t>
  </si>
  <si>
    <t>Utrzymanie eDoręczenia</t>
  </si>
  <si>
    <t>Zadania biznesowe dotyczące eDoręczenia</t>
  </si>
  <si>
    <t>Działania informacyjno-wdrożeniowe w ramach projektu eDoręczenia</t>
  </si>
  <si>
    <t>Utrzymanie eDziennik</t>
  </si>
  <si>
    <t>Zadania biznesowe dotyczące mObywatel.gov.pl</t>
  </si>
  <si>
    <t>Zadania biznesowe dotyczące ekosystem  2.0 - w tym Generator Formularzy</t>
  </si>
  <si>
    <t>Zadania biznesowe dotyczące usług  wyborczych mężów zaufania - Baza MZ oraz aplikacja MZ</t>
  </si>
  <si>
    <t>Zadania biznesowe dotyczące Capchta COI/MC</t>
  </si>
  <si>
    <t>Zadania biznesowe dotyczące nForms</t>
  </si>
  <si>
    <t>Zadania biznesowe dotyczące CRWD</t>
  </si>
  <si>
    <t>Zadania biznesowe dotyczące ePłatności w zakresie dotacji i porozumień</t>
  </si>
  <si>
    <t>Ciepło - utrzymanie</t>
  </si>
  <si>
    <t>Generator formularze - utrzymanie</t>
  </si>
  <si>
    <t>ePUAP udostępnianie/operacje</t>
  </si>
  <si>
    <t>Utrzymanie ePUAP</t>
  </si>
  <si>
    <t>Utrzymanie Laptop dla Nauczyciela</t>
  </si>
  <si>
    <t>Utrzymanie KAP</t>
  </si>
  <si>
    <t>Zadania biznesowe dla KPP</t>
  </si>
  <si>
    <t>Analiza modyfikacji struktury podmiotów w KPP</t>
  </si>
  <si>
    <t>Zadania biznesowe dotyczące Krajowego Centrum Przetwarzania Danych</t>
  </si>
  <si>
    <t>Wsparcie w przygotowaniu dokumentacji projektowej do KPO – KCPD</t>
  </si>
  <si>
    <t>Utrzymanie Kronik@</t>
  </si>
  <si>
    <t>Przeniesienie systemu Kronik@ na infrastrukturę COI</t>
  </si>
  <si>
    <t>LSI utrzymanie</t>
  </si>
  <si>
    <t>Prace biznesowe w ramach tzw. „małego rozwoju”</t>
  </si>
  <si>
    <t>Mapa inwestycji – prace utrzymaniowe</t>
  </si>
  <si>
    <t xml:space="preserve">Działania biznesowe dotyczące Ekosystemu mObywatel App </t>
  </si>
  <si>
    <t xml:space="preserve">Działania promocyjne dotyczące Ekosystemu mObywatel App </t>
  </si>
  <si>
    <t>Standaryzacja mObywatel app</t>
  </si>
  <si>
    <t>Utrzymanie mObywatel</t>
  </si>
  <si>
    <t>Nowe koncepcje mObywatel webowy</t>
  </si>
  <si>
    <t>Zadania promocyjne mObywatel webowy</t>
  </si>
  <si>
    <t>Zadania biznesowe dotyczące Platformy Systemu Zdalnej Pracy oraz Nauki</t>
  </si>
  <si>
    <t>Przeprowadzenie badań użyteczności rozwijającej się platformy</t>
  </si>
  <si>
    <t>Standaryzacja Portal RP</t>
  </si>
  <si>
    <t>Utrzymanie Portal RP</t>
  </si>
  <si>
    <t>Zadania biznesowe dotyczace Portalu RP w tym m.in.:
- Pressroom, Mediaroom, Senderservice, WIWAR
- Susza
- Rejestr urbanistyczny (tym Walidator)
- widget cookies
- RDP
- KPK OZE
- Dzienniki urzędowe
- wykaz prac RM i PRM
- Baza Ministrów
- chatbot
- rekomendacje DESI
- migracje podmiotów na gov.pl i samorzad.gov.pl
- szkolenia z prostego języka, dostępności i GovPress</t>
  </si>
  <si>
    <t>Media Room - utrzymanie (czerwiec)</t>
  </si>
  <si>
    <t>Walidator plików GML - utrzymanie (lipiec)</t>
  </si>
  <si>
    <t>Press Room - utrzymanie (sierpień)</t>
  </si>
  <si>
    <t>Wsparcie w przygotowaniu dokumentacji projektowej do FERC – Portal RP</t>
  </si>
  <si>
    <t>Zadania biznesowe dotyczące Pracy w Polsce</t>
  </si>
  <si>
    <t>Prace związane z realizacją przez COI zadań MC</t>
  </si>
  <si>
    <t>Opracowywanie propozycji wsparcia MC w konsultacjach społecznych</t>
  </si>
  <si>
    <t>Opracowywanie propozycji zmiany strony MC</t>
  </si>
  <si>
    <t>Opracowywanie innych propozycji dla MC związanych z promocją MC lub jego identyfikacją w tym tworzenie grafik</t>
  </si>
  <si>
    <t>Promocje</t>
  </si>
  <si>
    <t>eIDAS 2.0 – Uzgodnienia przedprojektowe</t>
  </si>
  <si>
    <t>Zadania biznesowe dotyczące Prokuratorii</t>
  </si>
  <si>
    <t xml:space="preserve">Innowacje technologiczne dotyczące PUE ZUS </t>
  </si>
  <si>
    <t>SRP udostępnianie/operacje</t>
  </si>
  <si>
    <t xml:space="preserve">Utrzymanie SRP - usługi własne </t>
  </si>
  <si>
    <t>Zadania biznesowe dotyczące SRP</t>
  </si>
  <si>
    <t>Zadania promocyjne SRP</t>
  </si>
  <si>
    <t>Nowelizacja ustawy o pomocy obywatelom Ukrainy - działania biznesowe</t>
  </si>
  <si>
    <t>Rozwój BUSC (SRP) - działania biznesowe</t>
  </si>
  <si>
    <t>Utrzymanie aplikacji Susza</t>
  </si>
  <si>
    <t>Prace utrzymaniowe dotyczące WIIP</t>
  </si>
  <si>
    <t>Zadania biznesowe dotyczące WIIP</t>
  </si>
  <si>
    <t>Projekt rozwoju oprogramowania systemu ZUCH - działania biznesowe</t>
  </si>
  <si>
    <t>Utrzymanie ZUCH</t>
  </si>
  <si>
    <t>RCT udostępnianie/operacje</t>
  </si>
  <si>
    <t>Utrzymanie WK, PZ, SIE (RCT)</t>
  </si>
  <si>
    <t>Zadania biznesowe dotyczące RCT</t>
  </si>
  <si>
    <t>Wsparcie w przygotowaniu dokumentacji projektowej do FERC – RCT</t>
  </si>
  <si>
    <t>Węzeł podpisu - utrzymanie (kwiecień)</t>
  </si>
  <si>
    <t>RCT – Węzeł Transgraniczny - Zadania biznesowe</t>
  </si>
  <si>
    <t>Zadania biznesowe dotyczące ZIR i RID</t>
  </si>
  <si>
    <t>ZIR administrowanie</t>
  </si>
  <si>
    <t>E-Płatności utrzymanie (lipiec)</t>
  </si>
  <si>
    <t>Środek identyfikacji dla osoby prawnej - uzgodnienia przedprojektowe</t>
  </si>
  <si>
    <t>Zadania biznesowe dotyczące Portalu AI</t>
  </si>
  <si>
    <t>Utrzymanie Portalu AI</t>
  </si>
  <si>
    <t>Umowa na realizację przez COI niektórych zadań Ministra Cyfryzacji - odsprzedaż</t>
  </si>
  <si>
    <t>Świadczenie usług wysyłania krótkich wiadomości tekstowych (SMS) przez 24 miesiące (2 części).</t>
  </si>
  <si>
    <t>Wsparcie i rozbudowa oprogramowania narzędziowego dla
środowiska KN w celu zapewnienia pomocy technicznej, dostępu do poprawek oraz praw do
nowych wersji oprogramowania na okres 12 miesięcy</t>
  </si>
  <si>
    <t>Testy bezpieczeństwa 18 mcy</t>
  </si>
  <si>
    <t>Świadczenie serwisu pogwarancyjnego i usług wsparcia technicznego
 dla urządzeń i oprogramowania na potrzeby KN (bezpieczna łączność) - serwis pogwarancyjny systemu ochrony informacji niejawnych z wykorzystaniem szyfratorów IP KRYPTON K2 na 12 m-cy</t>
  </si>
  <si>
    <t>Przedłużenie wsparcia technicznego oprogramowania Red Hat Jboss wraz z dostawą subskrypcji/
zakup usługi wsparcia technicznego oprogramowania Euro Application Platform na 12 miesięcy</t>
  </si>
  <si>
    <t>Proxy do ZIR (działania administracyjne)</t>
  </si>
  <si>
    <t>Certyfikaty i Pieczęcie elektroniczne zbiorczo ( zapadające 2025, 2026, 2027)</t>
  </si>
  <si>
    <t>Wsparcie i rozbudowa oprogramowania narzędziowego (5 części)</t>
  </si>
  <si>
    <t xml:space="preserve">Rozbudowa Skanera Tenable o moduł WAS 5FQDN (rok) i odnowienie wsparcia </t>
  </si>
  <si>
    <t>Zakup wsparcia technicznego (godzin eksperckich) na potrzeby
 systemów Rządowej Chmury Obliczeniowej.</t>
  </si>
  <si>
    <t>odnowienia certyfikatów Asecco ( zbiorczo) 2025</t>
  </si>
  <si>
    <t>Świadczenie usług serwisu i wsparcia technicznego deduplikatorów EMC w okresie 24 m-cy ( ODNOWIENIE )</t>
  </si>
  <si>
    <t>zapewnienie 24 miesiecznego wsparcia technicznego dla licencji na oprogramowanie ( 2 części)-
 część II</t>
  </si>
  <si>
    <t>zapewnienie wsparcia technicznego dla środowiska do zarządzania kodem źródłowym dla 1000
 użytkowników na okres 12 miesięcy- ZMIANA NA KOSZTY WŁASNE</t>
  </si>
  <si>
    <t>Zapewnienie usługi wsparcia technicznego
 dla posiadanego przez Zamawiającego oprogramowania Redhat Enterprise Linux for Virtual Datacenters Standard na 12 miesięcy</t>
  </si>
  <si>
    <t>Zapewnienie świadczenia usługi wsparcia technicznego na oprogramowanie i sprzęt IBM
 ( połączono z postepowaniem szyna danych )
Wymiana_zakup sprzętu, konwersja licencji oraz  zapewnienie świadczenia
 usługi wsparcia technicznego na oprogramowanie i sprzętu IBM</t>
  </si>
  <si>
    <t>Opłata za utrzymanie adresacji IP zgodnie z umową nr COI/U/3202/36/2013 - 
zarządzanie adresacją udostępnioną przez KPRM i COI - Opłata roczna- odnowienie</t>
  </si>
  <si>
    <t xml:space="preserve">zapewnienie usługi wsparcia technicznego dla czterech ruterów wraz z wyposażeniem  na okres 36 miesięcy </t>
  </si>
  <si>
    <t>Dzierżawy włókien światłowodowych na okres 36 miesięcy- Część I</t>
  </si>
  <si>
    <t>świadczenie usług telekomunikacyjnych transmisji danych w sieci MPLS VPN</t>
  </si>
  <si>
    <t xml:space="preserve">zapewnienie usługi wsparcia technicznego dla systemu DNS na okres 36 miesięcy </t>
  </si>
  <si>
    <t>dla części I : Świadczenie usługi dostępu do Internetu w Lokalizacji I (ul. Pawińskiego 17/21,Warszawa)</t>
  </si>
  <si>
    <t>dla część II : Świadczenie usługi dostępu do Internetu w Lokalizacji II (ul. 11 Listopada 23)Warszawa)</t>
  </si>
  <si>
    <t>odnowienie usług wsparcia technicznego dla  2 urządzeń FortiGate 800D na okres 24 miesięcy</t>
  </si>
  <si>
    <t>zapewnienie wsparcia technicznego dla oprogramowania (3 części) -   część nr 1 zamówienia "Dostawa serwerów wraz z oprogramowaniem, napędów taśmowych i taśm magnetycznych</t>
  </si>
  <si>
    <t>zapewnienie usługi wsparcia technicznego dla szafy rack i przełączników sieciowych</t>
  </si>
  <si>
    <t>zapewnienie wsparcia technicznego dla  platformy sprzętowej i Oprogramowania do monitorowania</t>
  </si>
  <si>
    <t xml:space="preserve">zapewnienie usługi wsparcia technicznego dla systemu IBM Qradar </t>
  </si>
  <si>
    <t>zapewnienie usługi wsparcia technicznego dla Platformy w zakresie systemów klasy ITSM i SAM</t>
  </si>
  <si>
    <t>zapewnienie wsparcia technicznego dla urządzeń wraz z oprogramowaniem ( 4 części)
część IV – Dostawa oprogramowania Oracle lub równoważnego 
wraz ze wsparciem technicznym</t>
  </si>
  <si>
    <t>zapewnienie wsparcia technicznego dla trzech modułów kryptograficznych HSM
 (Hardware Security Module) na okres 24 miesięcy</t>
  </si>
  <si>
    <t>odnowienie świadczenie usługi APN  na 12 m-cy</t>
  </si>
  <si>
    <t>zapewnienie wsparcia technicznego dla oprogramowania DynaTrace i licencji DynaTrace lub równoważnych</t>
  </si>
  <si>
    <t>zapewnienie usług wsparcia technicznego dla urządzeń
sieciowych Load Balancer F5 Networks BIG-IP 7250 wraz z oprogramowaniem</t>
  </si>
  <si>
    <t>zapewnienie wsparcia technicznego na  oprogramowanie wraz z licencjami dla Wirtualizatora A na okres 36 m-cy</t>
  </si>
  <si>
    <t>zapewnienie wsparcia eksperckiego dla oprogramowania  DynaTrace</t>
  </si>
  <si>
    <t xml:space="preserve">zapewnienie wsparcia technicznego dla systemu o monitorowania i analizowania przepływów
 sieciowych na okres 36 miesięcy </t>
  </si>
  <si>
    <t>zapewnienie wsparcia technicznego dla czterech routerów wraz z wyposażeniem na okres 36 miesięcy</t>
  </si>
  <si>
    <t>zapewnienie wsparcia technicznego na  8 wirtualnych appliance (klasy NGFW), 2 konsoli 
zarządzających na okres 36 miesięcy</t>
  </si>
  <si>
    <t>zapewnienie wsparcia technicznego dla subskrypcji Oprogramowania Xray (Data Center)</t>
  </si>
  <si>
    <t>Świadczenie usługi dostępu do Internetu i usługi antyDDoS dla
 jednej lokalizacji przez okres 36 miesięcy.</t>
  </si>
  <si>
    <t>zapewnienie wsparcia technicznego na oprogramowanie i licencje dla Wirtualizatora C- część III</t>
  </si>
  <si>
    <t xml:space="preserve">zapewnienie 
36-miesięcznego wsparcia technicznego świadczonego przez producenta 
Oprogramowania wraz z licencjami dla Wirtualizatora </t>
  </si>
  <si>
    <t xml:space="preserve">zapewnienie usługi wsparcia technicznego dla urządzeń  firewall (ang. Next Generation Firewall) oraz 
 licencji </t>
  </si>
  <si>
    <t>odnowienie usługi wsparcia technicznego dla dziesięciu sprzętowych modułów
 kryptograficznych HSM na okres 36 miesięcy</t>
  </si>
  <si>
    <t xml:space="preserve">zapewnienie wsparcia technicznego dla platformy konteneryzacyjnej </t>
  </si>
  <si>
    <t>zapewnienie usługi wsparcia dla  8 wirtualnych appliance (klasy Load Balancer z funkcjonalnością
 terminacji SSL/TLS i WAF) na okres 36 m-cy</t>
  </si>
  <si>
    <t xml:space="preserve">Świadczenie usług wsparcia w ramach systemów
 Security Resilient oraz QRadar SIEM firmy IBM (2 części) - cześć I: 
'zapewnienie profesjonalnych usług wsparcia technicznego w ramach systemu Qradar SIEM
</t>
  </si>
  <si>
    <t>zapewnienie usługi wsparcia technicznego dla systemu do monitorowania i analizowania przepływów
 sieciowych na okres 36 m-cy</t>
  </si>
  <si>
    <t>Dostawa sprzętu serwerowego i oprogramowania IBM lub równoważnego</t>
  </si>
  <si>
    <t>zapewnienie usługi wsparcia technicznego dla urządzeń infrastruktury węzłów telekomunikacyjnych wraz z Oprogramowaniem - cz. I Usługi serwisu i wsparcia technicznego dla urządzeń infrastruktury węzłów telekomunikacyjnych marki CISCO wraz z Oprogramowaniem</t>
  </si>
  <si>
    <t>zapewnienie wsparcia technicznego dla oprogramowania wraz z licencjami na rozbudowę 
funkcjonalności serwerów IBM POWER</t>
  </si>
  <si>
    <t>zapewnienie usług wsparcia technicznego dla  oprogramowania
 Oracle w okresie: marzec 2023 - październik 2025</t>
  </si>
  <si>
    <t>zapewnienie usług wsparcia technicznego dla oprogramowania wraz z licencjami na rozbudowę
 funkcjonalności serwerów IBM POWER</t>
  </si>
  <si>
    <t>zapewnienie wsparcia technicznego dla oprogramowania- część nr 2</t>
  </si>
  <si>
    <t>zapewnienie wsparcia technicznego dla serwerów- część 1</t>
  </si>
  <si>
    <t>zapewnienie wsparcia technicznego dla oprogramowania do zdalnego wsparcia użytkowników</t>
  </si>
  <si>
    <t>przedłużenie  wsparcia technincznego dla sprzętu serwerowego</t>
  </si>
  <si>
    <t>Przedłużenie wsparcia technicznego dla urządzeń sieciowych</t>
  </si>
  <si>
    <t xml:space="preserve">Przedłużenie wsparcia technicznego i gwarancję dla  serwerów </t>
  </si>
  <si>
    <t>Wymiana sprzętu i wsparcie  na potrzeby realizacji Umowy</t>
  </si>
  <si>
    <t xml:space="preserve">Zakupy sprzetu i usług </t>
  </si>
  <si>
    <t>Analizator złośliwych plików typu
 Sandbox dla ekosystemu pocztowego</t>
  </si>
  <si>
    <t>Zapewnienie świadczenia usług wsparcia technicznego
 na posiadane przez Zamawiającego oprogramowanie Oracle</t>
  </si>
  <si>
    <t>zapewnienie wsparcia technicznego dla urządzeń sieciowych IPS na okres 36 miesięcy</t>
  </si>
  <si>
    <t>zapewnienie wsparcia technicznego dla  systemu IBM Qradar</t>
  </si>
  <si>
    <t>na dostawę pakietów subskrypcyjnych w zakresie usługi publicznej
 chmury obliczeniowej na okres 36 miesięcy</t>
  </si>
  <si>
    <t>odnowienie  profesjonalnych usług wsparcia technicznego
 w ramach systemu IBM  Qradar SOAR  firmy IBM (dawniej IBM SOAR Resilient)</t>
  </si>
  <si>
    <t>zapewnienie wsparcia technicznego dla  systemu IBM Security QRadar SOAR</t>
  </si>
  <si>
    <t>zapewnienie wsparcia technicznego na serwery i oprogramowanie na okres 36 miesięcy</t>
  </si>
  <si>
    <t>odnowienie 'świadczenia usług wsparcia technicznego macierzy dyskowych Fujitsu Eternus DX500 S4 
na okres 24 miesięcy</t>
  </si>
  <si>
    <t>zapewnienie wsparcia technicznego dla oprogramowania do statycznej analizy kodu źródłowego (ang. SAST) na okres 36 miesięcy</t>
  </si>
  <si>
    <t>Przedłużenie wsparcia technicznego dla posiadanego przez Zamawiającego Oprogramowania UpTimeDC na okres 24 miesięcy</t>
  </si>
  <si>
    <t>zapewnienie wsparcia technicznego dla urządzeń oraz oprogramowania
 platformy wirtualizacyjnej SimpliVity na okres 36 miesięcy</t>
  </si>
  <si>
    <t>Dostawa oprogramowania Oracle lub równoważnego
 oraz oprogramowania IBM lub równoważnego</t>
  </si>
  <si>
    <t xml:space="preserve">zapewnienie wsparcia technicznego dla serwerów i oprogramowania na okres 36 miesięcy </t>
  </si>
  <si>
    <t>zapewnienie wsparcia technicznego dla licencji wieczystych VMware na okres 36 m-cy</t>
  </si>
  <si>
    <t>Dostawa, montaż i uruchomienie czterech modułów kryptograficznych HSM (Hardware Security Module) wraz z gwarancją i wsparciem technicznym- EKOSYSTEM</t>
  </si>
  <si>
    <t>zapewnienie wsparcia technicznego dla oprogramowania Oracle lub równoważnego- EKOSYSTEM</t>
  </si>
  <si>
    <t>zapewnienie wsparcia technicznego dla dwóch blokowych macierzy dyskowych na okres 36 m-cy-
EKOSYSTEM</t>
  </si>
  <si>
    <t>zapewnienie wsparcia technicznego dla latformy czasu na okres 36 miesięcy- EKOSYSTEM</t>
  </si>
  <si>
    <t xml:space="preserve">zapewnienie wsparcia technicznego dla 4 przełączników SAN </t>
  </si>
  <si>
    <t>zapewnienie wsparcia technicznego dla oprogramowania Microsoft przez okres 36 miesięcy</t>
  </si>
  <si>
    <t>Szafa rack 42U z wyposażeniem
  2 sztm Serwery x86 Każdy serwer posiada redundatne elementy, 4 porty 25GbE,2 socket min 24 core per socket, 1024 GB RAM ,2x480GB M.2 8 szt. VMware vSphere 7 Enterprise Plus for 1 processor for 1 year 16 szt.- EKOSYSTEM</t>
  </si>
  <si>
    <t>Dotyczy: "Dzierżawy włókien światłowodowych na okres 36 miesięcy"  - Część II</t>
  </si>
  <si>
    <t>Przedłużenie  wsparcia technicznego oraz usługa świadczenia Godzin Inżynierskich
 dla wykorzystywanego przez Zamawiającego oprogramowania Producenta Enigma Systemy Ochrony Informacji Sp. z o.o. ( Centaur)</t>
  </si>
  <si>
    <t>Przedłużenie wsparcia technicznego 
producenta do oprogramowania systemu IBM Security GUARDIUM (DAM)- w trakcie realizacji</t>
  </si>
  <si>
    <t>Dostawa oprogramowania Microsoft Windows Server i 
Microsoft Endpoint Configuration lub równoważnego</t>
  </si>
  <si>
    <t>zapewnienie wsparcia technicznego dla systemu backup i oprogramowania Commvault (2 części) -
część II: wsparcie techniczne dla dwóch serwerów oraz dwóch macierzy dyskowych</t>
  </si>
  <si>
    <t>zapewnienie wsparcia technicznego (3 Części) w zakresie  Części I sprzęt serwerowy wraz z okablowaniem</t>
  </si>
  <si>
    <t>rozbudowa platformy wirtualizacyjnej o przestrzeń dyskową</t>
  </si>
  <si>
    <t xml:space="preserve">odnowienie wsparcia technicznego na potrzeby KN dla  blokowej macierzy dyskowej, deduplikatora
 i licencji </t>
  </si>
  <si>
    <t xml:space="preserve">Zakup i dostawa 3500 komputerów typu AiO wraz z HUB USB dla urzędów gmin, w ramach realizacji 2. etapu (2025) i 3. etapu (2027) Programu wymiany sprzętu komputerowego </t>
  </si>
  <si>
    <t>BBF - interpelacja Posła Papke</t>
  </si>
  <si>
    <t>Zapewnienie dostępu do narzędzi on-line Webankieta na potrzeby PORTAL-u RP  umożliwiającego tworzenie ankiet.</t>
  </si>
  <si>
    <t>Licencja Cookiebot CMP – premium large (1 year)</t>
  </si>
  <si>
    <t>Zakup certyfikatów i domen na potrzeby Portalu RP</t>
  </si>
  <si>
    <t>Badania użyteczności (koszt rekrutacji zewnętrznych i wynagrodzenia respondentów)</t>
  </si>
  <si>
    <t>Zakup usługi tłumacza polskiego języka migowego (PJM) online na Portal RP</t>
  </si>
  <si>
    <t>Zakup usługi eksperckiej</t>
  </si>
  <si>
    <t>Rozwój serwisu mObywatel.gov.pl</t>
  </si>
  <si>
    <t>Captcha - budowa zabezpieczenia na stronach www przed niechcianym ruchem generowanym przez roboty</t>
  </si>
  <si>
    <t>Rozwój Generatora Formularzy - budowa Ekosystemu 2.0 do wytwarzania eUsług</t>
  </si>
  <si>
    <t>Rozwój e-Usług, w tym Platfroma ePłatności</t>
  </si>
  <si>
    <t>Rozwój Usługi Wyborczej Mężowie Zaufania - Baza mężów zaufania - dostosowanie na kolejne wydarzenie wyborcze - wybory prezydenckie</t>
  </si>
  <si>
    <t>Rozwój Usługi Wyborczej Mężowie Zaufania - aplikacja "Mąż Zaufania"  - dostosowanie na kolejne wydarzenie wyborcze - wybory prezydenckie</t>
  </si>
  <si>
    <t>Budowa Portalu Sztucznej Inteligencji AI Act</t>
  </si>
  <si>
    <t>Rozwój e-usług publicznych - Realizacja prac w zakresie ekosystemu e-usług obejmującego budowę nowych rozwiązań IT, w tym systemów informatycznych i aplikacji związanych z udostępnianiem e-usług</t>
  </si>
  <si>
    <t>Zakup infrastruktury - Platfroma ePłatności</t>
  </si>
  <si>
    <t>Rozwój systemu Profil Zaufany związany z budową środka identyfikacji dla osób prawnych</t>
  </si>
  <si>
    <t>Rozwój systemu e-Doręczeń</t>
  </si>
  <si>
    <t>Rozwój Katalogu Podmiotów Publicznych</t>
  </si>
  <si>
    <t>Rozwój ePUAP</t>
  </si>
  <si>
    <t>Rozwój Centralnego Rejestru Wyborców</t>
  </si>
  <si>
    <t>System Rejestrów Państwowych - rozwój i wdrażanie zmian wynikajacych ze zmian przepisów prawa, w tym realizacja Programu refaktoringu</t>
  </si>
  <si>
    <t>Zakup sprzętu komputerowego (odtworzenie) Rządowej Chmury Obliczeniowej</t>
  </si>
  <si>
    <t>Zakup oprogramowania (licencje) Rządowej Chmury Obliczeniowej</t>
  </si>
  <si>
    <t>Zakup urządzeń sieciowych (odtworzenie) Rządowego Klastra Bezpieczeństwa</t>
  </si>
  <si>
    <t>Zakup oprogramowania (licencje) Rządowego Klastra Bezpieczeństwa</t>
  </si>
  <si>
    <t>Zakup sprzętu komputerowego i oprogramowania (licencje) na potrzeby rozwoju Systemu Zapewniania Usług Chmurowych</t>
  </si>
  <si>
    <t>Zakup sprzętu komputerowego – doposażenie dwóch ośrodków obliczeniowych Rządowej Chmury Obliczeniowej</t>
  </si>
  <si>
    <t>Zakup urządzeń sieciowych trzeciego węzła Rządowego Klastra Bezpieczeństwa</t>
  </si>
  <si>
    <t>Zakup oprogramowania (licencje) trzeciego węzła Rządowego Klastra Bezpieczeństwa</t>
  </si>
  <si>
    <t>Rozwój systemu Kronik@ oraz migracja do infrastruktury utrzymywanej przez COI</t>
  </si>
  <si>
    <t>Zakup infrastruktury do migracji systemu Kronik@ oraz Zakup infrastruktury systemu Kronik@ 2.0 (nowy projekt)</t>
  </si>
  <si>
    <t>Zakup infrastruktury systemu Kronik@ 2.0 (nowy projekt)</t>
  </si>
  <si>
    <t>Rozwój systemu LSI oraz migracja do infrastruktury utrzymywanej przez COI</t>
  </si>
  <si>
    <t>Rozbudowa infrastruktury systemów nadzoru i bezpieczeństwa NGFW</t>
  </si>
  <si>
    <t>Dostawa licencji oprogramowania antywirusowego</t>
  </si>
  <si>
    <t xml:space="preserve">Dostawa serwerów wraz z gwarancją na okres 36 miesięcy 
oraz dostawa oprogramowania
RedHat CEPH lub równoważnego
 </t>
  </si>
  <si>
    <t>Dostawa sprzętu i oprogramowania do monitoringu wydajności</t>
  </si>
  <si>
    <t>Zakup sprzętu, konwersja licencji IBM</t>
  </si>
  <si>
    <t>Dostawa oraz wdrożenie Platformy Bazodanowej</t>
  </si>
  <si>
    <t>Rozbudowa istniejącej infrastruktury Fortinet poprzez zakup 
oprogramowania FortiMail lub oprogramowania równoważnego</t>
  </si>
  <si>
    <t>Dostawa i rozbudowa systemu backup wraz z montażem</t>
  </si>
  <si>
    <t>Rozbudowa platformy
 wirtualizacyjnej</t>
  </si>
  <si>
    <t>Dostawa oraz wdrożenie sprzętowej platformy wirtualizacyjnej 
Hiper Converged Infrastructure HCI</t>
  </si>
  <si>
    <t>Dostawa systemu backup</t>
  </si>
  <si>
    <t>Dostawa Sprzętu i Oprogramowania - Dostawa urządzeń sieciowych - KN</t>
  </si>
  <si>
    <t>Dostawa dwóch blokowych macierzy dyskowych</t>
  </si>
  <si>
    <t xml:space="preserve">Zakup oprogramowania dla urządzeń infrastruktury węzłów telekomunikacyjnych marki F5 
</t>
  </si>
  <si>
    <t>Rozbudowa Platformy Gigamon</t>
  </si>
  <si>
    <t xml:space="preserve">Dostawa pakietów subskrypcyjnych w zakresie usługi publicznej 
chmury obliczeniowej oraz usługi mailingowej/ zakup 294 sztuk-jednostek </t>
  </si>
  <si>
    <t>Rozbudowa, dostawa, montaż i konfiguracja 
Programowalnej Sieci Komputerowej (ang. SDN) - Ekosystem</t>
  </si>
  <si>
    <t xml:space="preserve"> Zakupu urządzeń firewall (ang. Next Generation Firewall) oraz licencji</t>
  </si>
  <si>
    <t>Rozbudowa PAM - system do nadzoru 
dostępu uprzywilejowanego</t>
  </si>
  <si>
    <t>Dostawa, montaż i konfiguracja Urządzeń przeznaczonych pod budowę Uniwersalnego Brzegu Sieci</t>
  </si>
  <si>
    <t xml:space="preserve">Rozbudowa systemu loadbancer </t>
  </si>
  <si>
    <t xml:space="preserve">Zakup jednostek Azure Prepaymant </t>
  </si>
  <si>
    <t>Rozbudowa Programowej Sieci Komputerowej (ang. SDN)</t>
  </si>
  <si>
    <t xml:space="preserve">Rozbudowa środowiska Wirtualizacyjnego </t>
  </si>
  <si>
    <t xml:space="preserve">Rozbudowa macierzy obiektowych  na potrzeby Rejstrów Państwowych </t>
  </si>
  <si>
    <t xml:space="preserve">Budowa clastra open shift na potrzeby Rejestrów Państwowych </t>
  </si>
  <si>
    <t>Zakup Network Access Control (NAC)</t>
  </si>
  <si>
    <t>Zakup Identity Management (IdM) – Zarządzanie Tożsamością</t>
  </si>
  <si>
    <t>Rozbudowa systemu SIEM o sprzęt i licencje</t>
  </si>
  <si>
    <t>Terminowanie VPN, rozbudowanie infrastruktury</t>
  </si>
  <si>
    <t>Zakup infrastruktury Centralnego Serwera Logów</t>
  </si>
  <si>
    <t>Zakup oprogramowania do ochrony warstwy aplikacyjnej</t>
  </si>
  <si>
    <t xml:space="preserve"> Rozbudowa systemu do analizy kodu (DAST, IAST) oraz platform mobilnych</t>
  </si>
  <si>
    <t>Dostawa dwóch urządzeń typu DefensePro wraz z niezbędnymi licencjami i ochroną zasobów Zamawiającego przed atakami typu DDoS, dla ataków przekraczających limity dla urządzeń DefensePro</t>
  </si>
  <si>
    <t xml:space="preserve">Wymiana sprzętu (serwery) i oprogramowania wykorzystywanego w procesie wytwórczym SRP </t>
  </si>
  <si>
    <t>Zakup niezbędnego oprogramowania wspierającego proces wytwórczy dla systemów będących we właściwości MC</t>
  </si>
  <si>
    <t>Rozbudowa systemu Dane.gov.pl</t>
  </si>
  <si>
    <t xml:space="preserve"> Budowa systemu dokumentacji prawnej</t>
  </si>
  <si>
    <t>Prace rozwojowe systemu ZUCH w zakresie obslugi klienta chmurowego</t>
  </si>
  <si>
    <t>Realizacja bieżącego rozwoju aplikacji zlecona na podstawie bieżących potrzeb Ministra Cyfryzacji</t>
  </si>
  <si>
    <t>systemowy</t>
  </si>
  <si>
    <t xml:space="preserve">Budowa i wdrożenie systemu elektronicznego zarządzania dokumentacją </t>
  </si>
  <si>
    <t>Człowiek w kryzysie – platforma wiedzy i komunikacji- kontynuacja i rozwój</t>
  </si>
  <si>
    <t>Usługi ekspercie w zakresie wsparcia wdrożenia rozporządzenia eIDAS2</t>
  </si>
  <si>
    <t>od 01-01-2025 do 31-12-2028</t>
  </si>
  <si>
    <t>budżet państwa</t>
  </si>
  <si>
    <t>Celem zadania jest znalezienie ekspertów rynku aby w jak efektywniejszy sposób dostosować systemy MC do rozporządzenia eIDAS2</t>
  </si>
  <si>
    <t>NA ETAPIE PLANOWANIA NIE MOŻNA WSKAZAĆ BZ - nowe zadanie</t>
  </si>
  <si>
    <t>Wdrożenie rozporządzenie eIDAS2</t>
  </si>
  <si>
    <t>Botsense</t>
  </si>
  <si>
    <t>IX.2025-2028 r.</t>
  </si>
  <si>
    <t xml:space="preserve">Opłata roczna za używanie licencji Systemu BotSense Mobile dla klienta GOV dla  aplikacji mObywatel (platformy Android i IOS) </t>
  </si>
  <si>
    <t>Aneksy do obecnego projektu umowy Botsense (MC)</t>
  </si>
  <si>
    <t>NASK PIB</t>
  </si>
  <si>
    <t>Konkursowy</t>
  </si>
  <si>
    <t>Ralizacja budowy  KPO - środkie niekwalifikowane VAT</t>
  </si>
  <si>
    <t>Konkurs w ramach inwestycji C2.1.1</t>
  </si>
  <si>
    <t>Q2 2026</t>
  </si>
  <si>
    <t>Rozbudowa ekosystemu aplikacji mObywatel- VAT koszty niekwalifikowane</t>
  </si>
  <si>
    <t>Szczegółowe uzasadnienie w KPO</t>
  </si>
  <si>
    <t>brak</t>
  </si>
  <si>
    <t>System ePłatności</t>
  </si>
  <si>
    <t xml:space="preserve">od 01.01.2025 r. </t>
  </si>
  <si>
    <t>Bankowi Gospodarstwa Krajowego przysługuje wynagrodzenie z tytułu obsługi przyjmowania elektronicznych transakcji płatniczych finansowane z budżetu państwa z części, której dysponentem jest minister właściwy do spraw informatyzacji, przy czym wysokość wynagrodzenia nie może przekroczyć 0,05 zł od pojedyńczej transakcji</t>
  </si>
  <si>
    <t>Umowa do podpisania po zakończeniu pilotażu czyli powinna być ważna od 1.01.2025r.</t>
  </si>
  <si>
    <t>z BGK</t>
  </si>
  <si>
    <t>Ralizacja budowy 3 DC z KPO - środkie niekwalifikowane VAT</t>
  </si>
  <si>
    <t>Konkurs na przełomie 2024/2025</t>
  </si>
  <si>
    <t>Krajowe Centrum Przetwarzania Danych Etap 2 - VAT - koszty niekwalifikowane</t>
  </si>
  <si>
    <t>BBF - VAT w KPO</t>
  </si>
  <si>
    <t>usługa chmury obliczeniowej, niezbędnych do utrzymania wybranych systemów IT administracji publicznej, w szczególności obecnych klientów Rządowej Infrastruktury Dodatkowej (RID3).</t>
  </si>
  <si>
    <t>Zestaw usług przetwarzania w chmurze PChO - Centralny Zamawiający</t>
  </si>
  <si>
    <t>Dotacja celowa dla NASK PIB dot. pełnienia roli operatora węzła eIDAS</t>
  </si>
  <si>
    <t>Zadanie dot. zapewnienia prawidłowego i niezawodnego funkcjonowania węzła eIDAS. Zadanie będzie realizowane w ramach dotacji celowych przez NASK PIB</t>
  </si>
  <si>
    <t>Dotacja celowa dla NASK PIB dot. wsparcia w funkcjonowaniu Organu ds. Cyfrowej Tożsamości</t>
  </si>
  <si>
    <t>16.5.1.3</t>
  </si>
  <si>
    <t>Zadania dot. wsparcia w działaniach Organu ds. Cyfrowej Tożsamości. Zadanie będzie realizowane w ramach dotacji celowych przez NASK PIB</t>
  </si>
  <si>
    <t>Utrzymanie DC Bielany</t>
  </si>
  <si>
    <t>każdorazowo pismo o zaangażowanie środków</t>
  </si>
  <si>
    <t>bezterminowo</t>
  </si>
  <si>
    <t>Wynajem powierzchni DC Bielany, ul. Barcicka 52/56 Warszawa</t>
  </si>
  <si>
    <t>porozumienie</t>
  </si>
  <si>
    <t>1/22 z 15.03.2022</t>
  </si>
  <si>
    <t>KGP porozumienie</t>
  </si>
  <si>
    <t xml:space="preserve">Porozumienie nr 1/22 z dnia 15 marca 2022 roku </t>
  </si>
  <si>
    <t>Utrzymanie DC Ochota</t>
  </si>
  <si>
    <t>każdoeazowo pismo o zaangażowanie środków</t>
  </si>
  <si>
    <t>Wynajem powierzchni DC Ochota, ul. Pawińskiego 17/21 Warszawa</t>
  </si>
  <si>
    <t>3/U/BDG/2018</t>
  </si>
  <si>
    <t>MSWiA umowa użyczenia</t>
  </si>
  <si>
    <t>Umowa Użyczenia Nr 3/U/BDG/2018 z dnia 22 lutego 2018 roku wraz z Aneksami.</t>
  </si>
  <si>
    <t>Odpłatne świadczenie usług udostępnienia systemu dla infolinii w celu zapewnienia funkcjonowania systemu telefonów informacyjnych „Informacja dla obywatela” uzupełniającego funkcjonalność www.gov.pl oraz narzędzi klasy CRM</t>
  </si>
  <si>
    <t>w trakcie</t>
  </si>
  <si>
    <t>2023-2025</t>
  </si>
  <si>
    <t>Zapewnienie systemu do realizacji połączeń informacyjnych we wszystkich ministerstwach, urzędach wojewódzkich, KPRM i GUNB</t>
  </si>
  <si>
    <t>1180/DZS/22</t>
  </si>
  <si>
    <t xml:space="preserve">Alfavox sp. z o.o. </t>
  </si>
  <si>
    <t>Koszty MC - koordynacja po stronie COI PUC</t>
  </si>
  <si>
    <t xml:space="preserve">postępowanie </t>
  </si>
  <si>
    <t>wszczęcie postępowania zależne od decyzji MC</t>
  </si>
  <si>
    <t>inny</t>
  </si>
  <si>
    <t>Zintegrowana Infrastruktura Rejestrów Utrzymanie</t>
  </si>
  <si>
    <t>30.03.2022 r.</t>
  </si>
  <si>
    <t>31.12.2024 r.</t>
  </si>
  <si>
    <t>Przedłużenie wsparcia technicznego dla posiadanego oprogramowania i sprzętu IBM do 31.12.2024 r.</t>
  </si>
  <si>
    <t>Konieczność zapewnienia ciągłości i prawidłowego funkcjonowania Zintegrowanej Infrastruktury Rejestrów (ZIR). Wniosek nr 281/DZS/22 do wniosku 1528/DZS/21 - Założenie, że FV za grudzień 2024 r. płatna w styczniu 2025 r.</t>
  </si>
  <si>
    <t>1/DIT/U/COI/2016</t>
  </si>
  <si>
    <t>281/DZS/22 do wniosku 1528/DZS/21. FV za grudzień 2024 r. płatna w styczniu</t>
  </si>
  <si>
    <t>06.06.2022 r.</t>
  </si>
  <si>
    <t>30.06.2026 r.</t>
  </si>
  <si>
    <t>Aneks nr 11 - ochrona kwalifikowana serwerowni od 1 kwietnia 2022 r. do listopada 2026 r.</t>
  </si>
  <si>
    <t>Konieczność zapewnienia ciągłości i prawidłowego funkcjonowania Zintegrowanej Infrastruktury Rejestrów (ZIR). Wniosek nr 962/DZS/22 - płatności miesięczne do 1 listopada 2026 r.</t>
  </si>
  <si>
    <t>962/DZS/22</t>
  </si>
  <si>
    <t>10.07.2022 r.</t>
  </si>
  <si>
    <t>Dostawa oprogramowania do statycznej analizy kodu źródłowego (ang. SAST) i aplikacji mobilnych wraz z usługami wsparcia na okres 36 miesięcy. Wniosek nr 1178/DZS/22.</t>
  </si>
  <si>
    <t>Konieczność zapewnienia oprogramowania do statycznej analizy kodu źródłowego pod kątem bezpieczeństwa dla aplikacji wytwarzanych w Centralnym Ośrodku Informatyki.</t>
  </si>
  <si>
    <t>1178/DZS/22</t>
  </si>
  <si>
    <t>15.12.2021 r.</t>
  </si>
  <si>
    <t>31.10.2026 r.</t>
  </si>
  <si>
    <t>NASK - najem powierzchni serwerowej - Aneks nr 9 do Umowy ZIR . Wniosek 1670/DZS/21; 1700/DZS/21, płatności miesięczne do dnia1 listopada 2026 r.</t>
  </si>
  <si>
    <t xml:space="preserve">Konieczność zapewnienia ciągłości i prawidłowego funkcjonowania Zintegrowanej Infrastruktury Rejestrów (ZIR) </t>
  </si>
  <si>
    <t xml:space="preserve">1670/DZS/21; 1700/DZS/21 </t>
  </si>
  <si>
    <t>21.12.2022 r.</t>
  </si>
  <si>
    <t>31.12.2025 r.</t>
  </si>
  <si>
    <t>Zakup asysty technicznej przy pracach rozwojowych (MD) dot. SOAR Resilient firmy IBM na okres 36 miesięcy. Wniosek nr 2422/DZS/22; 1272/DZS/21.</t>
  </si>
  <si>
    <t>2422/DZS/22; 1272/DZS/21</t>
  </si>
  <si>
    <t>14.07.2023 r.</t>
  </si>
  <si>
    <t>31.10.2025 r.</t>
  </si>
  <si>
    <t>Zakup usług wsparcia tech. na oprogramowanie ORACLE oraz zakup usług wsparcia tech. na opcje bazodanowe ORACLE Enterprise, wykorzystywane w SRP w okresie: 30 listopada 2023 – październik 2025 roku.Wniosek nr 17/C/DUC/2023, płatności miesięczne do października 2025 r.</t>
  </si>
  <si>
    <t>17/C/DUC/2023</t>
  </si>
  <si>
    <t>10.05.2023 r.</t>
  </si>
  <si>
    <t>28.08.2026 r.</t>
  </si>
  <si>
    <t>Świadczenie usługi dostępu do Internetu oraz usługi antyDDos w lokalizacji I (Warszawa, ul. Barcicka 52/56) oraz lokalizacji II (Warszawa, ul. Pawińskiego 17/21) od dnia 27.08.2023 do dnia 28.08.2026 r.do dnia 28.08.2026 r.Wniosek nr 477/DZS/23, płatności miesięczne do dnia 26 sierpnia 2025 r.</t>
  </si>
  <si>
    <t>477/DZS/23</t>
  </si>
  <si>
    <t>30.09.2025 r.</t>
  </si>
  <si>
    <t xml:space="preserve"> Zakup usług wsparcia technicznego Software Assurance w okresie od 1 października 2023 do 30 września 2026 roku (na 36 miesięcy) na oprogramowanie Microsoft. Wniosek nr 37/C/DUC/23, płatności co 12 miesięcy do października 2025 r. Pismem kierowanym do BBF nr DTC.MC.WNS.3111.12.2023 zwalniano środki z roku 2024 i 2025 do wysokości wskazanej w kolumnie N i O.</t>
  </si>
  <si>
    <t>37/C/DUC/23</t>
  </si>
  <si>
    <t>Opłata roczna  za utrzymanie adresacji IP (RIPE NCC).</t>
  </si>
  <si>
    <t xml:space="preserve">BBF - pozyzja dodana w oparciu o mail z dnia 17.07.2024 r. </t>
  </si>
  <si>
    <t>Podróże służbowe krajowe</t>
  </si>
  <si>
    <t>BBF - kwoty usunięte z uwagi na planowanie del. krajowych w BDG</t>
  </si>
  <si>
    <t>Podróże służbowe zagraniczne</t>
  </si>
  <si>
    <t>BBF - kwoty usunięte z uwagi na planowanie del. zagranicznych w DWM</t>
  </si>
  <si>
    <t>szacunkowe koszty w zakresie spraw sądowych administracyjnych na lata 2025-2027</t>
  </si>
  <si>
    <t>4600/4610</t>
  </si>
  <si>
    <t>Koszty w zakresie spraw sądowych.</t>
  </si>
  <si>
    <t>szacunkowe koszty w zakresie spraw sądowych administracyjnych na lata 2025-2027 (sprawy nowe - w oparciu o ilość spraw z lat ubiegłych)</t>
  </si>
  <si>
    <r>
      <t xml:space="preserve">NA ETAPIE PLANOWANIA NIE MOŻNA WSKAZAĆ BZ - zalezy od realizacji zadania w danym obszarze.
</t>
    </r>
    <r>
      <rPr>
        <sz val="12"/>
        <color rgb="FFFF0000"/>
        <rFont val="Aptos Narrow"/>
        <family val="2"/>
        <scheme val="minor"/>
      </rPr>
      <t>BBF - proponuję nie uwzględniać potrzeby z uwagi, iż k.o. planuje na sprawy nowe - w oparciu o ilość spraw z lat ubiegłych i niemożność wskazania również budżetu zadaniowego</t>
    </r>
  </si>
  <si>
    <t>DWM</t>
  </si>
  <si>
    <t>BP</t>
  </si>
  <si>
    <t>Organizacja krajowej edycji konferencji Forum Zarządzania Internetem IGF POLSKA 2025</t>
  </si>
  <si>
    <t>III kw. 2024</t>
  </si>
  <si>
    <t>n.d.</t>
  </si>
  <si>
    <t>planowanie</t>
  </si>
  <si>
    <t>b.d.</t>
  </si>
  <si>
    <t>Dodatkowe koszty związane z obsługą eventową w celu organizacji Szczytu Cyfrowego (Digital Summit) oraz innych wydażeń dot. kwestii międzynarodowych w 2025 r.</t>
  </si>
  <si>
    <t>III/IV kw. 2024</t>
  </si>
  <si>
    <t>II/III kw. 2025</t>
  </si>
  <si>
    <t>Organizacja Szczytu Cyfrowego (Digital Summit) w ramach Przewodnictwa Polski w Radzie Unii Europejskiej w I połowie 2025 r. - dodatkowe koszty eventowe</t>
  </si>
  <si>
    <t>umowa/y</t>
  </si>
  <si>
    <t>Koszt kolacji dla uczestników Szczytu Cyfrowego (Digital Summit) I oraz II dnia konferencji</t>
  </si>
  <si>
    <t>Konferencja dot. dyplomacji cyfrowa - dodatkowe koszty eventowe</t>
  </si>
  <si>
    <t>Konferencja dot. dyplomacji cyfrowa - dodatkowe koszty eventowe, w tym kolacja i hotel dla uczestników konferencji</t>
  </si>
  <si>
    <t>Kolacja dla uczestników konferencji dot. dyplomacji cyfrowej oraz zakwaterowanie dla panelistów</t>
  </si>
  <si>
    <t>IV kw. 2024</t>
  </si>
  <si>
    <t xml:space="preserve">Spotkanie ambasadorów UE ds. cyfrowych - dodatkowe koszty eventowe
 </t>
  </si>
  <si>
    <t xml:space="preserve">Spotkanie ambasadorów UE ds. cyfrowych - dodatkowe koszty eventowe, w tym kolacja dla uczestnków spotkania
 </t>
  </si>
  <si>
    <t>Kolacja dla uczestników spotkania ambasadorów UE ds. cyfrowych</t>
  </si>
  <si>
    <t>Kolacja dla uczestników spotkania ambasadorów UE ds..cyfrowych</t>
  </si>
  <si>
    <t>Organizacja śniadania DDN oraz koktajlu dla uczestników konferencji Wirtualne Światy</t>
  </si>
  <si>
    <t>Organizacja śniadania DDN oraz koktajlu dla uczestników konferencji Wirtualne Światy.</t>
  </si>
  <si>
    <t>Usługa rezerwacji i dostarczania biletów lotniczych i kolejowych na zagraniczne i krajowe przewozy pasażerskie oraz dodatkowe usługi powiązane na potrzeby całego MC.</t>
  </si>
  <si>
    <t>III kw.2024</t>
  </si>
  <si>
    <t>22.1.1.1, 16.5.2.1., 16.5.2.2., 16.5.3.2., 16.5.3.3., 16.5.2.1., 17.2.1.5., 16.1.2.1., 16.5.1.2., 6.3.1.1., 6.3.1.4</t>
  </si>
  <si>
    <t>w realizacji</t>
  </si>
  <si>
    <t>nr wniosku a	
173/DWM/24</t>
  </si>
  <si>
    <t xml:space="preserve">BBF - konieczność rozbicia kwot na poszczególne paragrafy </t>
  </si>
  <si>
    <t>II kw.2025</t>
  </si>
  <si>
    <t>2026-2027</t>
  </si>
  <si>
    <t>planowane (zamówienie centralne)</t>
  </si>
  <si>
    <t>Usługa tłumaczeń specjalistycznych pisemnych i ustnych oraz weryfikacja tłumaczeń specjalistycznych pisemnych na potrzeby MC.</t>
  </si>
  <si>
    <t>2025-2026</t>
  </si>
  <si>
    <t>Brak możliwości wskazania konkretnego działania. Rekomendowany sposób rozliczania w ramach 2024.KP. Najbardziej prawdopodobne nr działań: 16.5.2.1., 16.5.2.2., 16.5.3.3.</t>
  </si>
  <si>
    <t xml:space="preserve">Usługa korzystania z saloników VIP oraz inne dodatkowe usługi ułatwiające odprawę w portach lotniczych na terytorium RP na potrzeby MC. </t>
  </si>
  <si>
    <t>Brak możliwości wskazania konkretnego działania. Rekomendowany sposób rozliczania w ramach 2024.KP. Najbardziej prawdopodobne nr działań: 16.5.2.2.</t>
  </si>
  <si>
    <t>Koszty związane z organizacją spotkań i delegacji zagranicznych kierownictwa MC (w tym np. koszty do refundacji placówek dyplomatycznych).</t>
  </si>
  <si>
    <t>Koszty związane z ew. wykorzystaniem specjalnego transportu lotniczego</t>
  </si>
  <si>
    <t>Ekspertyzy (nie dotyczy ekspertyz na potrzeby PREZ)</t>
  </si>
  <si>
    <t>Delegacje zagraniczne MC</t>
  </si>
  <si>
    <t xml:space="preserve"> Gry symulacyjne</t>
  </si>
  <si>
    <t>Zapewnienie udziału panelistów w wydażeniach międzynarodowych  (wynagrodzenia, diety, noclegi, transport, itp.)</t>
  </si>
  <si>
    <t>Zapewnienie udziału panelistów w wydażeniach międzynarodowych wymagających zapłaty wynagrodzenia oraz innych kosztów  (diety, noclegi, transport, itp.)</t>
  </si>
  <si>
    <t>Umowy zleceń (dodatkowi pracownicy)</t>
  </si>
  <si>
    <t>Umowy zleceń (tłumacze podczas delegacji zagranicznych)</t>
  </si>
  <si>
    <t>DZD</t>
  </si>
  <si>
    <t>16.5.2.1.</t>
  </si>
  <si>
    <t>Studia Wykonalności</t>
  </si>
  <si>
    <t>Studia wykonalności dla nowych projektów FERC</t>
  </si>
  <si>
    <t xml:space="preserve">Wniosek </t>
  </si>
  <si>
    <t>158/C/DZD/23</t>
  </si>
  <si>
    <t>w toku</t>
  </si>
  <si>
    <t>część już zrealizowana dotycząca Dane 3.0, zakładamy, że SW dla Kronik@2.0 również będzie w 2024, ale zabezpieczamy kwotę do ew. zapłaty w 2025</t>
  </si>
  <si>
    <t>Dzień Ochrony Danych Osobowych SPRP</t>
  </si>
  <si>
    <t>cykliczne wydarzenie, raz w roku</t>
  </si>
  <si>
    <t>ewaluacja POD</t>
  </si>
  <si>
    <t>483/DZD/23</t>
  </si>
  <si>
    <t>z firmą  ASM RESEARCH SOLUTIONS STRATEGY Sp. z o.o.</t>
  </si>
  <si>
    <t>zrealizowane</t>
  </si>
  <si>
    <t>Kampania informacyjno-promocyjna w Internecie zachęcająca do wykorzystywania otwartych zasobów cyfrowych kultury i nauki z portalu kronika.gov.pl .</t>
  </si>
  <si>
    <t xml:space="preserve">196/DZD/2023 </t>
  </si>
  <si>
    <t>z firmą Fabryka Marketingu Sp. z o.o.</t>
  </si>
  <si>
    <t>mediacje Polcom</t>
  </si>
  <si>
    <t>wniosek pn. "Mediacje do umowy 743/DZD/20"</t>
  </si>
  <si>
    <t>Prokuratoria Generalna</t>
  </si>
  <si>
    <t>do zrealiowania w 2024</t>
  </si>
  <si>
    <t>Partnerstwo w wydarzeniach promujących lub/i wykorzystujących dane z portalu dane.gov.pl</t>
  </si>
  <si>
    <t>Materiały informacyjno-promocyjne</t>
  </si>
  <si>
    <t>Przeprowadzenie warsztatów z zakresu otwierania danych dla pracowników jst</t>
  </si>
  <si>
    <t>przetarg w trakcie</t>
  </si>
  <si>
    <t>Utrzymanie i obsługa domen internetowych niezbędnych do zapewnienia realizacji zadań Departamentu: w tym dane.gov.pl; data.gov.pl; kronika.gov.pl/certyfikaty</t>
  </si>
  <si>
    <t>przejęte przez NASK, już od 2023 nie płacimy za domeny</t>
  </si>
  <si>
    <t>Funkcjonowanie portalu danych (dane.gov.pl). Rozwój oprogramowania.</t>
  </si>
  <si>
    <t>Ewaluacja Programu otwierania danych na lata 2021-2027</t>
  </si>
  <si>
    <t>Realizacja programu otwierania danych na lata 2021-2027</t>
  </si>
  <si>
    <t>Badania rynku otwartych danych, ponownego wykorzystywania i zarządzania danymi</t>
  </si>
  <si>
    <t>Ekspertyzy na potrzeby realizacji polityki otwartości i zarządzania danymi.</t>
  </si>
  <si>
    <t>15.1.2.3.</t>
  </si>
  <si>
    <t>Koszty organizacji i obsługi  konferencji The Future is Data</t>
  </si>
  <si>
    <t>Koszty organizacji i obsługi spotkań eksperckich i innych wydarzeń związanych z Prezydencją - dodatkowe koszty eventowe</t>
  </si>
  <si>
    <t>Program staży dla młodzieży w obszarze zarządzania danymi</t>
  </si>
  <si>
    <t>Funkcjonowanie Krajowego Repozytorium Obiektów Nauki i Kultury(kronika.gov.pl). Utrzymanie (rozwój) oprogramowania.</t>
  </si>
  <si>
    <t xml:space="preserve"> umowa </t>
  </si>
  <si>
    <t>743/DZD/20</t>
  </si>
  <si>
    <t>z POLCOM ITS SPÓŁKA Z OGRANICZONĄ ODPOWIEDZIALNOŚCIĄ I WSPÓLNICY - SPÓŁKA KOMANDYTOWA</t>
  </si>
  <si>
    <t>umowa trwa do września 2024</t>
  </si>
  <si>
    <t xml:space="preserve">Oprogramowanie </t>
  </si>
  <si>
    <t>Oprogramowanie graficzne typu Adobe do opracowań info-promo dotyczących portali dane.gov.pl i kronika.gov.pl</t>
  </si>
  <si>
    <t>tłumaczenia materiałów</t>
  </si>
  <si>
    <t>tłumaczenia materiałówm m.in. na portalu dane.gov.pl</t>
  </si>
  <si>
    <t>Prezydencja- organizacja wydarzeń</t>
  </si>
  <si>
    <t xml:space="preserve">Koszty organizacji i obsługi spotkań eksperckich (nieformalne posiedzenia grup i komitetów roboczych) </t>
  </si>
  <si>
    <t>Prezydencja- organizacja wydarzeń wg wyliczeń KPRM</t>
  </si>
  <si>
    <t>Koszty organizacji i obsługi innych wydarzeń związanych z prezydencją</t>
  </si>
  <si>
    <t>Prezydencja- oddelegowanie na wsparcie SP RP</t>
  </si>
  <si>
    <t>pochodne wynagrodzenie</t>
  </si>
  <si>
    <t>Prezydencja- wynagrodzenie</t>
  </si>
  <si>
    <t>BBF - usunięto kwoty z uwagi na ujęcie w limitach wynagrodzeń i związanych z nimi pochodnych</t>
  </si>
  <si>
    <t>dodatkowy etat dla prezydencji - wynagrodzenie</t>
  </si>
  <si>
    <t>dodatkowy etat dla prezydencji-trzynastka</t>
  </si>
  <si>
    <t>Pozew o zapłatę kar umownych nałożonych w związku z nieprawidłowościami w realizacji umowy z dnia 6 maja 2019 r. nr 10/DODiRK/KRONIK@/2019</t>
  </si>
  <si>
    <t>powodem w sprawie jest MC przeciwko Softblue S.A. wartość przedmiotu sporu wraz z odetkami: 363.665,58 złotych. Radca prowadząccy : Dorota Paliga. Kwota minimalna wskazana przez Depart. Prawny to kwota nie mniejsza niż 25 tyś, która może ulec zmianie, koszty mogą okazać się wyższe.</t>
  </si>
  <si>
    <t>Pozew o zapłatę w związku ze świadczonymi usługami ponad umowę z dnia 6 maja 2019 r. nr 10/DODiRK/KRONIK@/2019</t>
  </si>
  <si>
    <t>powodem w sprawie jest Softblue przeciwko MC S.A. wartość przedmiotu sporu wraz z odetkami: 1 889 706 złotych.  Radca prowadząccy : Dorota Paliga. Kwota minimalna wskazana przez Depart. Prawny to kwota nie mniejsza niż 25 tyś, która może ulec zmianie, koszty mogą okazać się wyższe.</t>
  </si>
  <si>
    <t xml:space="preserve">Prezydencja - delegacje związane </t>
  </si>
  <si>
    <t>spotkania grupy DAPIX w 2025 w Brukseli</t>
  </si>
  <si>
    <t>BBF - ujęte przez DWM</t>
  </si>
  <si>
    <t xml:space="preserve">  trilogi w Brukseli dla projektu rozporządzenia wykonawczego do RODO</t>
  </si>
  <si>
    <t xml:space="preserve">Postępowania admistracyjnosądowe przed WSA i NSA </t>
  </si>
  <si>
    <t>Koszty postępowań administracyjnosądowych MC jako organu odwoławczego w sprawach ponownego wykorzystywania informacji sektora publicznego jak np. opłaty sądowe, zwrot zasądzonych stronie przeciwnej kosztów sądowych</t>
  </si>
  <si>
    <t>Koszty organizacji i obsługi spotkań eksperckich i innych wydarzeń związanych z Prezydencją</t>
  </si>
  <si>
    <t>delegacje krajowe nie związane z Prezydencją</t>
  </si>
  <si>
    <t>delegacje zagraniczne nie związane z Prezydencją</t>
  </si>
  <si>
    <t>Usługa chmury obliczeniowej, niezbędnych do utrzymania wybranych systemów IT administracji publicznej, w szczególności obecnych klientów Rządowej Chmury Obliczeniowej (RChO).</t>
  </si>
  <si>
    <t>do 2024</t>
  </si>
  <si>
    <t>usługa chmury obliczeniowej, niezbędnych do utrzymania wybranych systemów IT administracji publicznej, w szczególności obecnych klientów Rządowej Chmury Obliczeniowej (RChO).</t>
  </si>
  <si>
    <t>środki będą uruchomione w RC poz. 43 (dot.Rządowa Chmura Obliczeniowa) przeksięgowanie z BP na RC po otrzymaniu RC</t>
  </si>
  <si>
    <t>REZERWA CELOWA</t>
  </si>
  <si>
    <t>11.4.2.2.</t>
  </si>
  <si>
    <t>zadania obronne (Zaspokojenie potrzeb Sił Zbrojnych RP i wojsk sojuszniczych przez sektor pozamilitarny) Działanie 11.4.2.2</t>
  </si>
  <si>
    <t>Podstawa prawna: art. 7 ustawy z dnia 11 marca 2022 r. o Obronie Ojczyzny (Dz.U. z 2022 r. poz. 2305 z późn. zm.). Realizacja zadań w zakresie m.in. przygotowania systemu kierowania bezpieczeństwem narodowym, warunków funkcjonowania organów władzy publicznej na stanowiskach kierowania oraz organizacji szkoleń obronnych. Zadania realizowane w oparciu o Program Pozamilitarnych Przygotowań Obronnych Działu Administracji Rządowej Informatyzacja w latach 2021-2035.</t>
  </si>
  <si>
    <t>obronność</t>
  </si>
  <si>
    <t>11.4.2.4.</t>
  </si>
  <si>
    <t>zadania obronne (szkolenia/ćwiczenia obronne) Działanie 11.4.2.4</t>
  </si>
  <si>
    <t>01.04.2019 do 31.12.2024</t>
  </si>
  <si>
    <t>11.4.2.1.</t>
  </si>
  <si>
    <t>zadania obronne (Przygotowanie systemu kierowania bezpieczeństwem narodowym, działanie 11.4.2.1,</t>
  </si>
  <si>
    <t>11.4.2.5.</t>
  </si>
  <si>
    <t>27/KPRM</t>
  </si>
  <si>
    <t>Koszty organizacji spotkania w Gdańsku</t>
  </si>
  <si>
    <t>BP (rezerwa PREZ)</t>
  </si>
  <si>
    <t>Organizacja Szczytu Cyfrowego (Digital Summit) w ramach Przewodnictwa Polski w Radzie Unii Europejskiej w I połowie 2025 r.</t>
  </si>
  <si>
    <t>0 (rezerwa PREZ)</t>
  </si>
  <si>
    <t>15.1.2.3</t>
  </si>
  <si>
    <t>Konferencja dot. dyplomacji cyfrowej</t>
  </si>
  <si>
    <t xml:space="preserve">Spotkanie ambasadorów UE ds. cyfrowych
 </t>
  </si>
  <si>
    <t>0 (rezerwa nr 62)</t>
  </si>
  <si>
    <t>Ekspertyzy na potrzeby PREZ</t>
  </si>
  <si>
    <t>Delegacje zagraniczne finansowane ze środków PREZ</t>
  </si>
  <si>
    <t>Delegacje krajowe finansowane ze środków PREZ</t>
  </si>
  <si>
    <t xml:space="preserve"> PREZ PL- organizacja wydarzeń wg wyliczeń KPRM,  koszty organizacji i obsługi  konferencji The Future is Data</t>
  </si>
  <si>
    <t>FC</t>
  </si>
  <si>
    <t>dotacja z budżetu państwa</t>
  </si>
  <si>
    <t>Dotacja z budżetu państwa do Funduszu Cyberbezpieczeństwa</t>
  </si>
  <si>
    <t>Fundusz Cyberbezpieczeństwa</t>
  </si>
  <si>
    <t>FPU</t>
  </si>
  <si>
    <t>Fundusz Pomocy</t>
  </si>
  <si>
    <t>Wsparcie finansowe dla IŁ-PIB pn. „Mobilne centrum przetwarzania danych na potrzeby zapewnienia bezpieczeństwa kluczowych rejestrów państwowych Ukrainy - kontynuacja utrzymania i udostępnienia na terytorium Rzeczypospolitej Polskiej kontenerowego centrum przetwarzania danych na potrzeby państwowych zasobów informatycznych i publicznych rejestrów elektronicznych Państwowej Służby Podatkowej Ukrainy”(Data Center I).</t>
  </si>
  <si>
    <t/>
  </si>
  <si>
    <t>Instytut Łączności -PIB</t>
  </si>
  <si>
    <t>Wsparcie finansowe dla IŁ-PIB pn. „Mobilne centrum przetwarzania danych na potrzeby zapewnienia bezpieczeństwa kluczowych rejestrów państwowych Ukrainy - kontynuacja utrzymania i udostępnienia na terytorium Rzeczypospolitej Polskiej kontenerowego centrum"</t>
  </si>
  <si>
    <r>
      <t xml:space="preserve">Zadanie jest realizaowane na podstawie art. 14 ust. 13 ustawy z dnia 12 marca 2022 r. o pomocy obywatelom Ukrainy
w związku z konfliktem zbrojnym na terytorium tego państwa (kolejne etapy realizacji będą uwzględniały  dodatkową podstawę prawną art. 14 ust. 11e) Zgodnie z Decyzją nr 219/R/23 z dnia 25 września 2023 r. w sprawie udostępnienia rezerw strategicznych, na podstawie art. 19 ust. 1 i 2 w związku z art. 3 oraz art. 19 ust. 5, 6 i 7 ustawy z dnia 17 grudnia 2020 r. o rezerwach strategicznych (Dz. U. z 2023 r. poz. 294), Prezes Rady Ministrów ustalił szczególne warunki udostępnienia Instytutowi Łączności rezerw strategicznych w postaci Mobilnego Centrum Przetwarzania Danych </t>
    </r>
    <r>
      <rPr>
        <b/>
        <sz val="11"/>
        <rFont val="Aptos Narrow"/>
        <family val="2"/>
        <scheme val="minor"/>
      </rPr>
      <t>(Data Center I)</t>
    </r>
    <r>
      <rPr>
        <sz val="11"/>
        <rFont val="Aptos Narrow"/>
        <family val="2"/>
        <scheme val="minor"/>
      </rPr>
      <t xml:space="preserve">, wskazując że:
a) udostępniany asortyment rezerw strategicznych podlega eksploatacji do 6 miesięcy po zakończeniu lub odwołaniu stanu wojennego na terytorium Ukrainy, nie później jednak niż do 20 maja 2025 r.,
b) udostępniany asortyment rezerw strategicznych podlega zwrotowi w terminie 30 dni od dnia upływu okresu eksploatacji, nie dłużej jednak niż do 20 czerwca 2025r.
W związku z brakiem odwołania ww. decyzji oraz kontynuacją udostępnienia </t>
    </r>
    <r>
      <rPr>
        <b/>
        <sz val="11"/>
        <rFont val="Aptos Narrow"/>
        <family val="2"/>
        <scheme val="minor"/>
      </rPr>
      <t xml:space="preserve">Data Center I </t>
    </r>
    <r>
      <rPr>
        <sz val="11"/>
        <rFont val="Aptos Narrow"/>
        <family val="2"/>
        <scheme val="minor"/>
      </rPr>
      <t xml:space="preserve">konieczne jest dalsze wsparcie finansowe z Funduszu Pomocy.
</t>
    </r>
    <r>
      <rPr>
        <sz val="11"/>
        <color theme="1" tint="4.9989318521683403E-2"/>
        <rFont val="Aptos Narrow"/>
        <family val="2"/>
        <scheme val="minor"/>
      </rPr>
      <t>Zadanie zgłoszone dnia 22.12.2023 r. (e mail do BBF) jest zadaniem wskazanym w przedmiotowej tabeli. W styczniu br. zmieniła się nazwa zadania poprzez dodanie słowa "kontynuacja". Natomiast należy zaznaczyć, że planowane wsparcie finansowe dotyczy tego samego Mobilnego Centrum (Data Center I). Ponadto pismo nr. WRiN.DC.WRIN.731.2.2023, skierowane do BBF odnosi się również do przedmiotowego zadania.</t>
    </r>
  </si>
  <si>
    <t>1/DC/2024</t>
  </si>
  <si>
    <t>Instytut Łączności - PIB</t>
  </si>
  <si>
    <t>bd</t>
  </si>
  <si>
    <t>umowa o zapewnieniu wsparcia ze środków Funduszu Pomocy</t>
  </si>
  <si>
    <t>Planowana do zawarcia umowa o zapewnieniu wsparcia ze środków Funduszu Pomocy, planowana do zawarcia z Instytutem Łączności – Państwowym Instytutem Badawczym, na podstawie art. 14 ust. 11 e i 13 ustawy z dnia 12 marca 2022 r. o pomocy obywatelom Ukrainy w związku z konfliktem zbrojnym na terytorium tego państwa (Dz.U. 2024 r. poz. 167, z późn. zm.) na realizację zadania "Zapewnienie łączności na terytorium Ukrainy dla obywateli tego państwa".</t>
  </si>
  <si>
    <t>VAT na realizację zadania C16 z  inwestycji C2.1.3 KPO</t>
  </si>
  <si>
    <t>Zabezpieczenie VAT jest niezbędne do dalszej realizacji inwestycji C2.1.3 E komptencje. Bez środków na VAT nie będzie możliwe wykorzystanie kwoty około 35 mln zł na realizację zadania C16 (funkcjonowanie działalności CRKC).</t>
  </si>
  <si>
    <t>KPOD.05.08-IZ.00-0001/23</t>
  </si>
  <si>
    <t>Niekwalifikowalny VAT na inwestycję C2.1.3 zadanie C16. Jest n niezbędny do uruchomienia działań w ramach tego zadania.</t>
  </si>
  <si>
    <t>BBF - do ustalenia z CRKC źródła finansowania</t>
  </si>
  <si>
    <t>Vat na badanie czynników motywujących do podnoszenia kompetencji cyfrowych(KPO)</t>
  </si>
  <si>
    <t>Badanie będzie realizowane w  ramach zadania C16 z inwestycji C2.1.3. Przeprowadzono już szacowanie wartości zamówienia. Trwają przygotowania wniosku o udzielenie zamówienia publicznego</t>
  </si>
  <si>
    <t>Trwa ustalanie jak określić we wniosku o udzielenie zamówienia publicznego kwestie związane z finansowaniem zamówienia.</t>
  </si>
  <si>
    <t>VAT na realizację zadania C19 i C20 z  inwestycji C2.1.3 KPO</t>
  </si>
  <si>
    <t>Zabezpieczenie VAT jest niezbędne do dalszej realizacji zadań C19 i C20 w inwestycji C2.1.3 E komptencje. VAT jest niezbędny do zakupu pomocy dydaktycznych dla placówek przedszkolnych, które wydelegują co najmniej dwóch swoich pracowników na szkolenia.</t>
  </si>
  <si>
    <t>Brak możliwości zapewnienia tak wysokiej kwoty z budżetu na pokrycie VAT. Pierwszy konkurs w ramach inwestycji został już ogłoszony.</t>
  </si>
  <si>
    <t>Rozbudowa i utrzymanie, stworzonego przez COI,  systemu teleinformatycznego do obsługi dystrybucji bonów dla nauczycieli oraz koszty związane z działaniem infolinii.</t>
  </si>
  <si>
    <t xml:space="preserve"> Realizacja zadania wynika z ustawy o o wsparciu rozwoju kompetencji cyfrowych uczniów i nauczycieli. </t>
  </si>
  <si>
    <t>Kwota całkowita zakup komputerów dla uczniów</t>
  </si>
  <si>
    <t xml:space="preserve">Realizacja zadania wynika z ustawy o o wsparciu rozwoju kompetencji cyfrowych uczniów i nauczycieli. Zakładana szacowana kwota za laptopa to 3300 brutto x (391906 szt.)392000= </t>
  </si>
  <si>
    <t>Działanie nie będzie realizowane - ustawa będzie nowelizowana w tym zakresie.</t>
  </si>
  <si>
    <t>Wynagrodzenie COAR za realizację umów ramowych i innych zadań związanych z zakupem komputerów dla uczniów.</t>
  </si>
  <si>
    <t>Realizacja zadania wynika z ustawy o o wsparciu rozwoju kompetencji cyfrowych uczniów i nauczycieli oraz nowelizowanego Zarządzenia PRM z dnia 22 grudnia 2022 r. zmieniające zarządzenie w sprawie wskazania centralnego zamawiającego dla jednostek administracji rządowej oraz wskazania jednostek administracji rządowej zobowiązanych do nabywania zamówień od centralnego zamawiającego</t>
  </si>
  <si>
    <t>zrealizowano</t>
  </si>
  <si>
    <t>W 2024 działanie zrealizowano. Nie będzie kontynuowane.</t>
  </si>
  <si>
    <t>Zapewnienie z BP środków na podtek VAT w ramach inwestycji C2.2.1 KPO</t>
  </si>
  <si>
    <t xml:space="preserve">VAT niekwalifikowany z KPO - Wydatek niezbędny do realizacji inwestycji w zakresie pracowni STEM, AI i doposażenia sal lekcyjnych w sprzęt do nauku zdalnej. </t>
  </si>
  <si>
    <t>KPO niekwalifikowany</t>
  </si>
  <si>
    <t>Zapewnienie z BP środków na podatek VAT w ramach inwestycji C2.1.2 KPO wskaźnik C14G</t>
  </si>
  <si>
    <t>VAT niekwalifikowany z KPO - Wydatek niezbędny do dalszej realizacji inwestycji w zakresie wskaźnika C14G Nowe kumputery przenośne do dyspozycji nauczycieli - bonów dla nauczycieli</t>
  </si>
  <si>
    <t>Zapewnienie z BP środków na podatek VAT w ramach inwestycji C2.1.2 KPO wskaźnik C15G</t>
  </si>
  <si>
    <t>VAT niekwalifikowany z KPO - Wydatek niezbędny do realizacji inwestycji w zakresie wskaźnika C15G Nowe komputery przenośne do dyspozycji uczniów - program Cyfrowy uczeń</t>
  </si>
  <si>
    <t>Koszty organizacji stanowiska pracy dla pracownika prowadzącego postępowania w sprawie uznania za dostawcę wysokiego ryzyka</t>
  </si>
  <si>
    <t>razem</t>
  </si>
  <si>
    <t>w tym cz. 27</t>
  </si>
  <si>
    <t>limity MC</t>
  </si>
  <si>
    <t>różnica</t>
  </si>
  <si>
    <t>w tys. zł</t>
  </si>
  <si>
    <t>Etykiety wierszy</t>
  </si>
  <si>
    <t>Suma z 2025</t>
  </si>
  <si>
    <t>Suma z 2026</t>
  </si>
  <si>
    <t>Suma z 2027</t>
  </si>
  <si>
    <t>Suma z 2028</t>
  </si>
  <si>
    <t>Suma końcowa</t>
  </si>
  <si>
    <t>limity z F.Cyber bez rezerw</t>
  </si>
  <si>
    <t>limit z 715,5 mln uwzględnionym w cz. 27</t>
  </si>
  <si>
    <t>cz. 27 limit</t>
  </si>
  <si>
    <t>różnica pomiędzy limitem a potrzebami</t>
  </si>
  <si>
    <t>(puste)</t>
  </si>
  <si>
    <t>Suma z 2029</t>
  </si>
  <si>
    <t>różnice</t>
  </si>
  <si>
    <t>zadanie inwestycyjne</t>
  </si>
  <si>
    <t>Zakup sprzętu komputerowego i oprogramowania</t>
  </si>
  <si>
    <t>zakup licencji</t>
  </si>
  <si>
    <t>zakup urządzeń sieciowych</t>
  </si>
  <si>
    <t>brak wskazania zadania inwestycyjnego</t>
  </si>
  <si>
    <t>Podstawą do udzielenia dotacji celowej jest art. 37 ust. 1 ustawy z dnia 30 kwietnia 2010 r. o instytutach badawczych, zgodnie z którym minister nadzorujący może nałożyć na instytut obowiązek wprowadzenia do jego planu zadania lub wyznaczyć zadanie poza planem, zgodnie z zakresem działania określonym w statucie instytutu, jeżeli jest to niezbędne ze względu na potrzeby obronności i bezpieczeństwa publicznego, w przypadku stanu klęski żywiołowej lub w celu wykonania zobowiązań międzynarodowych.Jak stanowi art. 37 ust. 2 ustawy o instytutach badawczych, w przypadku nałożenia lub wyznaczenia zadania, minister nadzorujący zapewnia instytutowi środki do wykonania zadania, chyba że wykonanie zadania następuje odpłatnie na podstawie umowy ze stroną finansującą wykonanie zadania. Na podstawie § 1 ust. 3 rozporządzenia Rady Ministrów z dnia 7 czerwca 2017 r. w sprawie nadania Naukowej i Akademickiej Sieci Komputerowej statusu Państwowego Instytutu Badawczego6, nadzór nad NASK-PIB sprawuje minister właściwy do spraw informatyzacji. Celem wydatku jest zapewnienie na możliwie najwyższym poziomie ochrony przed atakami DDoS – Distributed Denial of Service dla podmiotów realizujących zadania publiczne. Kwota 2.581.875,00 (par. 2830) wynika z zawartej z NASK -PIB umowty na rok 2022-2024. Pozostała kwota jest planem na rok 2024 - 2025 - koniecznośc zawarcia nowej umowy dotacji w zakresie ochrony przed atakami DDoS.</t>
  </si>
  <si>
    <t>CPPC</t>
  </si>
  <si>
    <t>MC do BW-I</t>
  </si>
  <si>
    <t>razem BW-I</t>
  </si>
  <si>
    <t>nie wprowadzone do TREZORa</t>
  </si>
  <si>
    <t>nie mogłam wprowadzić z "2"</t>
  </si>
  <si>
    <t>wprowadzono do Trezora</t>
  </si>
  <si>
    <t>D3</t>
  </si>
  <si>
    <t>4</t>
  </si>
  <si>
    <t>MC</t>
  </si>
  <si>
    <t>0</t>
  </si>
  <si>
    <t>Etykiety kolumn</t>
  </si>
  <si>
    <t>1</t>
  </si>
  <si>
    <t>2</t>
  </si>
  <si>
    <t>3</t>
  </si>
  <si>
    <t>6</t>
  </si>
  <si>
    <t>MC_BM MC</t>
  </si>
  <si>
    <t>(Wszystko)</t>
  </si>
  <si>
    <t>D1/D3</t>
  </si>
  <si>
    <t>Budżet</t>
  </si>
  <si>
    <t>WB27.BP.PF</t>
  </si>
  <si>
    <t>Projekt</t>
  </si>
  <si>
    <t>Plan_WI</t>
  </si>
  <si>
    <t>2026 rok</t>
  </si>
  <si>
    <t>2027 rok</t>
  </si>
  <si>
    <t>2028 rok</t>
  </si>
  <si>
    <t>2029 rok</t>
  </si>
  <si>
    <t xml:space="preserve">Nazwa zadania
</t>
  </si>
  <si>
    <t>Rozdział</t>
  </si>
  <si>
    <t>Komórka organizacyjna</t>
  </si>
  <si>
    <t>Paragraf</t>
  </si>
  <si>
    <t>Grupa wydatków</t>
  </si>
  <si>
    <t>Źródło fin.</t>
  </si>
  <si>
    <t>Nr umowy/nr wniosku o udzielenie zamówienia publicznego</t>
  </si>
  <si>
    <t xml:space="preserve">Uwagi
</t>
  </si>
  <si>
    <t>2025.16.05.03.01.</t>
  </si>
  <si>
    <t>2025.16.05.03.04.</t>
  </si>
  <si>
    <t xml:space="preserve">BZ zadanie
</t>
  </si>
  <si>
    <t>Podstawa prawna udzielenia dotacji</t>
  </si>
  <si>
    <t>Audyt bezpieczeństwa informacji zgodnie z normą ISO 27001</t>
  </si>
  <si>
    <t xml:space="preserve">Część budżetowa
</t>
  </si>
  <si>
    <t>MC_DT MC</t>
  </si>
  <si>
    <t>D1</t>
  </si>
  <si>
    <t>DGW27.BP.PF</t>
  </si>
  <si>
    <t>MC_BK MC</t>
  </si>
  <si>
    <t>planowane jest wszczęcie procesu udzielenia zamówienia (środki nie zostały zaangażowane)</t>
  </si>
  <si>
    <t>MC_DP MC</t>
  </si>
  <si>
    <t xml:space="preserve">BZ
</t>
  </si>
  <si>
    <t xml:space="preserve">Etap działań 
</t>
  </si>
  <si>
    <t>MC_BDG MC</t>
  </si>
  <si>
    <t>MC_BA MC</t>
  </si>
  <si>
    <t xml:space="preserve">MC_CRKC MC </t>
  </si>
  <si>
    <t>MC_DZD MC</t>
  </si>
  <si>
    <t>Podstawa zaciągnięcia zobowiązania finansowego</t>
  </si>
  <si>
    <t>MC_DGT MC</t>
  </si>
  <si>
    <t>MC_DBI MC</t>
  </si>
  <si>
    <t>MC_DC MC</t>
  </si>
  <si>
    <t>Utrzymanie i rozwój CSIRT Cyfra (wydatki na wynagrodzenia)</t>
  </si>
  <si>
    <t>PW.KSC.WYN</t>
  </si>
  <si>
    <t>PW.KSC.DWR</t>
  </si>
  <si>
    <t>Wynagrodzenie dla pracowników  wydziału krajowego systemu certyfikacji cyberbezpieczeństwa</t>
  </si>
  <si>
    <t xml:space="preserve">Wydatek wynika z OSR do projektu ustawy o krajowym systemie certyfikacji cyberbezpieczeństwa. </t>
  </si>
  <si>
    <t>Dodatkowe wynagrodzenie roczne dla pracowników  wydziału krajowego systemu certyfikacji cyberbezpieczeństwa</t>
  </si>
  <si>
    <t>Składka na ubezpieczenia społeczne dla pracowników  wydziału krajowego systemu certyfikacji cyberbezpieczeństwa</t>
  </si>
  <si>
    <t>Składka na Fundusz Pracy dla pracowników wydziału krajowego systemu certyfikacji cyberbezpieczeństwa</t>
  </si>
  <si>
    <t>Składka na Fundusz Solidarnościowy dla pracowników  wydziału krajowego systemu certyfikacji cyberbezpieczeństwa</t>
  </si>
  <si>
    <t xml:space="preserve">Wydatek wynika z OSR do projektu  ustawy o zmianie ustawy o krajowym systemie cyberbezpieczeństwa oraz niektórych innych ustaw. </t>
  </si>
  <si>
    <t>Zgodnie z projektem ustawy o zmianie ustawy o krajowym systemie cyberbezpieczeństwa oraz niektórych innych ustaw (UC32) (nowy art. 52e) minister właściwy do spraw informatyzacji jest odpowiedzialny za zarządzanie incydentami i zarządzanie kryzysowe w cyberbezpieczeństwie na dużą skalę w wymiarze cywilnym, z wyłączeniem spraw dotyczących zagrożeń terrorystycznych oraz zagrożeń związanych ze szpiegostwem. W tym celu przewiduje się zatrudnienie 4 pracowników w urzędzie obsługującym ministra właściwego do spraw informatyzacji. Należy im zapewnić adekwatne dodatkowe wynagrodzenie roczne.</t>
  </si>
  <si>
    <t>Zgodnie z projektem ustawy o zmianie ustawy o krajowym systemie cyberbezpieczeństwa oraz niektórych innych ustaw (UC32) (nowy art. 52e) minister właściwy do spraw informatyzacji jest odpowiedzialny za zarządzanie incydentami i zarządzanie kryzysowe w cyberbezpieczeństwie na dużą skalę w wymiarze cywilnym, z wyłączeniem spraw dotyczących zagrożeń terrorystycznych oraz zagrożeń związanych ze szpiegostwem. W tym celu przewiduje się zatrudnienie 4 pracowników w urzędzie obsługującym ministra właściwego do spraw informatyzacji. Należy zapewnić środki na składki na ubezpieczenia społeczne tych pracowników.</t>
  </si>
  <si>
    <t>Zgodnie z projektem ustawy o zmianie ustawy o krajowym systemie cyberbezpieczeństwa oraz niektórych innych ustaw (UC32) (nowy art. 52e) minister właściwy do spraw informatyzacji jest odpowiedzialny za zarządzanie incydentami i zarządzanie kryzysowe w cyberbezpieczeństwie na dużą skalę w wymiarze cywilnym, z wyłączeniem spraw dotyczących zagrożeń terrorystycznych oraz zagrożeń związanych ze szpiegostwem. W tym celu przewiduje się zatrudnienie 4 pracowników w urzędzie obsługującym ministra właściwego do spraw informatyzacji. Należy zapewnić środki na składki na Fundusz Solidarnościowy dla tych pracowników.</t>
  </si>
  <si>
    <t>Zgodnie z projektem ustawy o zmianie ustawy o krajowym systemie cyberbezpieczeństwa oraz niektórych innych ustaw (UC32) (nowy art. 52e) minister właściwy do spraw informatyzacji jest odpowiedzialny za zarządzanie incydentami i zarządzanie kryzysowe w cyberbezpieczeństwie na dużą skalę w wymiarze cywilnym, z wyłączeniem spraw dotyczących zagrożeń terrorystycznych oraz zagrożeń związanych ze szpiegostwem. W tym celu przewiduje się zatrudnienie 4 pracowników w urzędzie obsługującym ministra właściwego do spraw informatyzacji. Należy zapewnić środki na składki na Pracownicze Plany Kapitałowe dla tych pracowników.</t>
  </si>
  <si>
    <t>Zgodnie z projektem ustawy o zmianie ustawy o krajowym systemie cyberbezpieczeństwa oraz niektórych innych ustaw (UC32) (nowy art. 52e) minister właściwy do spraw informatyzacji jest odpowiedzialny za zarządzanie incydentami i zarządzanie kryzysowe w cyberbezpieczeństwie na dużą skalę w wymiarze cywilnym, z wyłączeniem spraw dotyczących zagrożeń terrorystycznych oraz zagrożeń związanych ze szpiegostwem. W tym celu przewiduje się zatrudnienie 4 pracowników w urzędzie obsługującym ministra właściwego do spraw informatyzacji. Należy zapewnić środki na składki na Fundusz Pracy dla tych pracowników.</t>
  </si>
  <si>
    <t>Zgodnie z projektem ustawy o zmianie ustawy o krajowym systemie cyberbezpieczeństwa oraz niektórych innych ustaw (UC32) minister właściwy do spraw informatyzacji jest odpowiedzialny za prowadzenie postępowań w sprawie uznania za dostawcę wysokiego ryzyka. W tym celu przewiduje się zatrudnienie 3 pracowników w urzędzie obsługującym ministra właściwego do spraw informatyzacji. Należy im zapewnić adekwatne dodatkowe wynagrodzenie roczne.</t>
  </si>
  <si>
    <t>Zgodnie z projektem ustawy o zmianie ustawy o krajowym systemie cyberbezpieczeństwa oraz niektórych innych ustaw (UC32) minister właściwy do spraw informatyzacji jest odpowiedzialny za prowadzenie postępowań w sprawie uznania za dostawcę wysokiego ryzyka. W tym celu przewiduje się zatrudnienie 3 pracowników w urzędzie obsługującym ministra właściwego do spraw informatyzacji. Należy zapewnić środki na składki na Fundusz Solidarnościowy dla tych pracowników.</t>
  </si>
  <si>
    <t>Zgodnie z projektem ustawy o zmianie ustawy o krajowym systemie cyberbezpieczeństwa oraz niektórych innych ustaw (UC32) minister właściwy do spraw informatyzacji jest odpowiedzialny za prowadzenie postępowań w sprawie uznania za dostawcę wysokiego ryzyka. W tym celu przewiduje się zatrudnienie 3 pracowników w urzędzie obsługującym ministra właściwego do spraw informatyzacji. Należy zapewnić środki na składki na Fundusz Pracy dla tych pracowników.</t>
  </si>
  <si>
    <t>Zgodnie z projektem ustawy o zmianie ustawy o krajowym systemie cyberbezpieczeństwa oraz niektórych innych ustaw (UC32) minister właściwy do spraw informatyzacji jest odpowiedzialny za prowadzenie postępowań w sprawie uznania za dostawcę wysokiego ryzyka. W tym celu przewiduje się zatrudnienie 3 pracowników w urzędzie obsługującym ministra właściwego do spraw informatyzacji. Należy zapewnić środki na składki na Pracownicze Plany Kapitałowe dla tych pracowników.</t>
  </si>
  <si>
    <t>Zgodnie z projektem ustawy o zmianie ustawy o krajowym systemie cyberbezpieczeństwa oraz niektórych innych ustaw (UC32) minister właściwy do spraw informatyzacji jest odpowiedzialny za nadzór nad podmiotami kluczowymi oraz podmiotami ważnymi z sektora infrastruktury cyfrowej. W tym celu przewiduje się zatrudnienie 30 pracowników w urzędzie obsługującym ministra właściwego do spraw informatyzacji. Należy im zapewnić adekwatne dodatkowe wynagrodzenie roczne.</t>
  </si>
  <si>
    <t>Zgodnie z projektem ustawy o zmianie ustawy o krajowym systemie cyberbezpieczeństwa oraz niektórych innych ustaw (UC32) minister właściwy do spraw informatyzacji jest odpowiedzialny za nadzór nad podmiotami kluczowymi oraz podmiotami ważnymi z sektora infrastruktury cyfrowej. W tym celu przewiduje się zatrudnienie 30 pracowników w urzędzie obsługującym ministra właściwego do spraw informatyzacji. Należy zapewnić środki na składki na ubezpieczenia społeczne tych pracowników.</t>
  </si>
  <si>
    <t>Zgodnie z projektem ustawy o zmianie ustawy o krajowym systemie cyberbezpieczeństwa oraz niektórych innych ustaw (UC32) minister właściwy do spraw informatyzacji jest odpowiedzialny za nadzór nad podmiotami kluczowymi oraz podmiotami ważnymi z sektora infrastruktury cyfrowej. W tym celu przewiduje się zatrudnienie 30 pracowników w urzędzie obsługującym ministra właściwego do spraw informatyzacji. Należy zapewnić środki na składki na Fundusz Solidarnościowy dla tych pracowników.</t>
  </si>
  <si>
    <t>Zgodnie z projektem ustawy o zmianie ustawy o krajowym systemie cyberbezpieczeństwa oraz niektórych innych ustaw (UC32) minister właściwy do spraw informatyzacji jest odpowiedzialny za nadzór nad podmiotami kluczowymi oraz podmiotami ważnymi z sektora infrastruktury cyfrowej. W tym celu przewiduje się zatrudnienie 30 pracowników w urzędzie obsługującym ministra właściwego do spraw informatyzacji. Należy zapewnić środki na składki na Fundusz Pracy dla tych pracowników.</t>
  </si>
  <si>
    <t>Zgodnie z projektem ustawy o zmianie ustawy o krajowym systemie cyberbezpieczeństwa oraz niektórych innych ustaw (UC32) minister właściwy do spraw informatyzacji jest odpowiedzialny za nadzór nad podmiotami kluczowymi oraz podmiotami ważnymi z sektora infrastruktury cyfrowej. W tym celu przewiduje się zatrudnienie 30 pracowników w urzędzie obsługującym ministra właściwego do spraw informatyzacji. Należy zapewnić środki na składki na Pracownicze Plany Kapitałowe dla tych pracowników.</t>
  </si>
  <si>
    <t>Zgodnie z projektem ustawy o zmianie ustawy o krajowym systemie cyberbezpieczeństwa oraz niektórych innych ustaw (UC32) minister właściwy do spraw informatyzacji jest odpowiedzialny za nadzór nad podmiotami kluczowymi oraz podmiotami ważnymi z sektora zarządzania usługami ICT. W tym celu przewiduje się zatrudnienie 3 pracowników w urzędzie obsługującym ministra właściwego do spraw informatyzacji. Należy im zapewnić adekwatne dodatkowe wynagrodzenie roczne.</t>
  </si>
  <si>
    <t>Zgodnie z projektem ustawy o zmianie ustawy o krajowym systemie cyberbezpieczeństwa oraz niektórych innych ustaw (UC32) minister właściwy do spraw informatyzacji jest odpowiedzialny za nadzór nad podmiotami kluczowymi oraz podmiotami ważnymi z sektora zarządzania usługami ICT. W tym celu przewiduje się zatrudnienie 3 pracowników w urzędzie obsługującym ministra właściwego do spraw informatyzacji. Należy zapewnić środki na składki na ubezpieczenia społeczne tych pracowników.</t>
  </si>
  <si>
    <t>Zgodnie z projektem ustawy o zmianie ustawy o krajowym systemie cyberbezpieczeństwa oraz niektórych innych ustaw (UC32) minister właściwy do spraw informatyzacji jest odpowiedzialny za nadzór nad podmiotami kluczowymi oraz podmiotami ważnymi z sektora zarządzania usługami ICT. W tym celu przewiduje się zatrudnienie 3 pracowników w urzędzie obsługującym ministra właściwego do spraw informatyzacji. Należy zapewnić środki na składki na Fundusz Solidarnościowy dla tych pracowników.</t>
  </si>
  <si>
    <t>Zgodnie z projektem ustawy o zmianie ustawy o krajowym systemie cyberbezpieczeństwa oraz niektórych innych ustaw (UC32) minister właściwy do spraw informatyzacji jest odpowiedzialny za nadzór nad podmiotami kluczowymi oraz podmiotami ważnymi z sektora zarządzania usługami ICT. W tym celu przewiduje się zatrudnienie 3 pracowników w urzędzie obsługującym ministra właściwego do spraw informatyzacji. Należy zapewnić środki na składki na Fundusz Pracy dla tych pracowników.</t>
  </si>
  <si>
    <t>Zgodnie z projektem ustawy o zmianie ustawy o krajowym systemie cyberbezpieczeństwa oraz niektórych innych ustaw (UC32) minister właściwy do spraw informatyzacji jest odpowiedzialny za nadzór nad podmiotami kluczowymi oraz podmiotami ważnymi z sektora zarządzania usługami ICT. W tym celu przewiduje się zatrudnienie 3 pracowników w urzędzie obsługującym ministra właściwego do spraw informatyzacji. Należy zapewnić środki na składki na Pracownicze Plany Kapitałowe dla tych pracowników.</t>
  </si>
  <si>
    <t>Zgodnie z projektem ustawy o zmianie ustawy o krajowym systemie cyberbezpieczeństwa oraz niektórych innych ustaw (UC32) minister właściwy do spraw informatyzacji jest odpowiedzialny za nadzór nad podmiotami kluczowymi oraz podmiotami ważnymi z sektora dostawców usług cyfrowych. W tym celu przewiduje się zatrudnienie 2 pracowników w urzędzie obsługującym ministra właściwego do spraw informatyzacji. Należy im zapewnić adekwatne dodatkowe wynagrodzenie roczne.</t>
  </si>
  <si>
    <t>Zgodnie z projektem ustawy o zmianie ustawy o krajowym systemie cyberbezpieczeństwa oraz niektórych innych ustaw (UC32) minister właściwy do spraw informatyzacji jest odpowiedzialny za nadzór nad podmiotami kluczowymi oraz podmiotami ważnymi z sektora dostawców usług cyfrowych. W tym celu przewiduje się zatrudnienie 2 pracowników w urzędzie obsługującym ministra właściwego do spraw informatyzacji. Należy zapewnić środki na składki na ubezpieczenia społeczne tych pracowników.</t>
  </si>
  <si>
    <t>Zgodnie z projektem ustawy o zmianie ustawy o krajowym systemie cyberbezpieczeństwa oraz niektórych innych ustaw (UC32) minister właściwy do spraw informatyzacji jest odpowiedzialny za nadzór nad podmiotami kluczowymi oraz podmiotami ważnymi z sektora dostawców usług cyfrowych. W tym celu przewiduje się zatrudnienie 2 pracowników w urzędzie obsługującym ministra właściwego do spraw informatyzacji. Należy zapewnić środki na składki na Fundusz Solidarnościowy dla tych pracowników.</t>
  </si>
  <si>
    <t>Zgodnie z projektem ustawy o zmianie ustawy o krajowym systemie cyberbezpieczeństwa oraz niektórych innych ustaw (UC32) minister właściwy do spraw informatyzacji jest odpowiedzialny za nadzór nad podmiotami kluczowymi oraz podmiotami ważnymi z sektora dostawców usług cyfrowych. W tym celu przewiduje się zatrudnienie 2 pracowników w urzędzie obsługującym ministra właściwego do spraw informatyzacji. Należy zapewnić środki na składki na Fundusz Pracy dla tych pracowników.</t>
  </si>
  <si>
    <t>Zgodnie z projektem ustawy o zmianie ustawy o krajowym systemie cyberbezpieczeństwa oraz niektórych innych ustaw (UC32) minister właściwy do spraw informatyzacji jest odpowiedzialny za nadzór nad podmiotami kluczowymi oraz podmiotami ważnymi z sektora dostawców usług cyfrowych. W tym celu przewiduje się zatrudnienie 2 pracowników w urzędzie obsługującym ministra właściwego do spraw informatyzacji. Należy zapewnić środki na składki na Pracownicze Plany Kapitałowe dla tych pracowników.</t>
  </si>
  <si>
    <t>Zgodnie z projektem ustawy o zmianie ustawy o krajowym systemie cyberbezpieczeństwa oraz niektórych innych ustaw (UC32) minister właściwy do spraw informatyzacji jest odpowiedzialny za nadzór nad podmiotami kluczowymi oraz podmiotami ważnymi z sektora podmiotów publicznych. W tym celu przewiduje się zatrudnienie 40 pracowników w urzędzie obsługującym ministra właściwego do spraw informatyzacji. Należy im zapewnić adekwatne dodatkowe wynagrodzenie roczne.</t>
  </si>
  <si>
    <t>Zgodnie z projektem ustawy o zmianie ustawy o krajowym systemie cyberbezpieczeństwa oraz niektórych innych ustaw (UC32) minister właściwy do spraw informatyzacji jest odpowiedzialny za nadzór nad podmiotami kluczowymi oraz podmiotami ważnymi z sektora podmiotów publicznych. W tym celu przewiduje się zatrudnienie 40 pracowników w urzędzie obsługującym ministra właściwego do spraw informatyzacji. Należy zapewnić środki na składki na ubezpieczenia społeczne tych pracowników.</t>
  </si>
  <si>
    <t>Zgodnie z projektem ustawy o zmianie ustawy o krajowym systemie cyberbezpieczeństwa oraz niektórych innych ustaw (UC32) minister właściwy do spraw informatyzacji jest odpowiedzialny za nadzór nad podmiotami kluczowymi oraz podmiotami ważnymi z sektora podmiotów publicznych. W tym celu przewiduje się zatrudnienie 40 pracowników w urzędzie obsługującym ministra właściwego do spraw informatyzacji. Należy zapewnić środki na składki na Fundusz Solidarnościowy dla tych pracowników.</t>
  </si>
  <si>
    <t>Zgodnie z projektem ustawy o zmianie ustawy o krajowym systemie cyberbezpieczeństwa oraz niektórych innych ustaw (UC32) minister właściwy do spraw informatyzacji jest odpowiedzialny za nadzór nad podmiotami kluczowymi oraz podmiotami ważnymi z sektora podmiotów publicznych. W tym celu przewiduje się zatrudnienie 40 pracowników w urzędzie obsługującym ministra właściwego do spraw informatyzacji. Należy zapewnić środki na składki na Fundusz Pracy dla tych pracowników.</t>
  </si>
  <si>
    <t>Składka na PPK dla pracowników nadzorujących sektor podmiotów publicznych</t>
  </si>
  <si>
    <t>Zgodnie z projektem ustawy o zmianie ustawy o krajowym systemie cyberbezpieczeństwa oraz niektórych innych ustaw (UC32) minister właściwy do spraw informatyzacji jest odpowiedzialny za nadzór nad podmiotami kluczowymi oraz podmiotami ważnymi z sektora podmiotów publicznych. W tym celu przewiduje się zatrudnienie 40 pracowników w urzędzie obsługującym ministra właściwego do spraw informatyzacji. Należy zapewnić środki na składki na Pracownicze Plany Kapitałowe dla tych pracowników.</t>
  </si>
  <si>
    <t>Zgodnie z projektem ustawy o zmianie ustawy o krajowym systemie cyberbezpieczeństwa oraz niektórych innych ustaw (UC32) minister właściwy do spraw informatyzacji jest odpowiedzialny za prowadzenie postępowań w sprawie uznania za dostawcę wysokiego ryzyka. W tym celu przewiduje się zatrudnienie 3 pracowników w urzędzie obsługującym ministra właściwego do spraw informatyzacji. Należy zapewnić środki na składki na ubezpieczenia społeczne tych pracowników</t>
  </si>
  <si>
    <t>MC_DWM MC</t>
  </si>
  <si>
    <t>MC_BBF MC</t>
  </si>
  <si>
    <t>MC_DPiS MC</t>
  </si>
  <si>
    <t>MC_DTC MC</t>
  </si>
  <si>
    <r>
      <t>Z kim zawarta umowa (</t>
    </r>
    <r>
      <rPr>
        <b/>
        <i/>
        <sz val="9"/>
        <color theme="1"/>
        <rFont val="Lato"/>
        <family val="2"/>
      </rPr>
      <t>w przypadku dotacji zawarta oraz planowana do zawarcia</t>
    </r>
    <r>
      <rPr>
        <b/>
        <sz val="9"/>
        <color theme="1"/>
        <rFont val="Lato"/>
        <family val="2"/>
      </rPr>
      <t>)</t>
    </r>
  </si>
  <si>
    <r>
      <t>Zapewnienie funkcjonowania sektorowego zespołu cyberbezpieczeństwa/CSIRT sektorowego w Ministerstwie Cyfryzacji dla sektora infrastruktury cyfrowej. Koniecznoczność zapewnienia trwałości (3 lata od daty zatwierdzenia wniosku o płatność końcową) projektu finansowanego w latach 2025-2026 (do końca czerwca)z Krajowego Planu Odbudowy i Zwiększania Odporności.</t>
    </r>
    <r>
      <rPr>
        <b/>
        <sz val="9"/>
        <color theme="9" tint="-0.249977111117893"/>
        <rFont val="Lato"/>
        <family val="2"/>
      </rPr>
      <t xml:space="preserve"> Wydatki na wynagrodzenia.</t>
    </r>
    <r>
      <rPr>
        <sz val="9"/>
        <color theme="1"/>
        <rFont val="Lato"/>
        <family val="2"/>
      </rPr>
      <t xml:space="preserve"> Podstawa prawna: art. ust 1. UKSC 44.
Szacunkowe koszty wynagrodzeń obejmują wszystkie koszty ponoszone przez pracodawcę zgodnie z przepisami prawa (kwota brutto-brutto), a także uwzględniają dodatkowe wynagrodzenie roczne dla lat 2027-29. Dla 2026 r. kwota dotyczy tylko II połowy roku, gdyż do 30 czerwca 2026 wynagrodzenia mają być finansowane w ramach środków projektu finansowanego z KPO, projekt pn. CSIRT CYFRA, nabór KPOD.05.10-IW.06-003/24. Utrzymanie zespołu obsługującego zadania CSRIT CYFRA jest elementem zapewnienia trwałości projektu i jest zobowiązaniem umownym, wynikającym z przyznanego dofinansowania ze środków KPO (3 lata od daty rozliczenia projektu). </t>
    </r>
  </si>
  <si>
    <r>
      <t xml:space="preserve">ogółem wynagrodzenia i pochodne wynikajace z OSR do </t>
    </r>
    <r>
      <rPr>
        <b/>
        <i/>
        <sz val="10"/>
        <color theme="1"/>
        <rFont val="Lato"/>
        <family val="2"/>
      </rPr>
      <t>ustawy o zmianie ustawy o krajowym systemie cyberbezpieczeństwa oraz niektórych innych ustaw</t>
    </r>
    <r>
      <rPr>
        <b/>
        <sz val="10"/>
        <color theme="1"/>
        <rFont val="Lato"/>
        <family val="2"/>
      </rPr>
      <t>:</t>
    </r>
  </si>
  <si>
    <t xml:space="preserve">Należy podkreślić, że wydatki związane z utworzeniem krajowego systemu certyfikacji cyberbezpieczeństwa są niezbędne do wykonania Rozporządzenia Parlamentu Europejskiego i Rady (UE) 2019/881 z dnia 17 kwietnia 2019 r. w sprawie ENISA (Agencji Unii Europejskiej ds. Cyberbezpieczeństwa) oraz certyfikacji cyberbezpieczeństwa w zakresie technologii informacyjno-komunikacyjnych oraz uchylenia rozporządzenia (UE) nr 526/2013. Aby zapewnić zgodność z tym aktem prawnym niezbędne jest utworzenie krajowego organu ds. certyfikacji cyberbezpieczeństwa co oznacza również konieczność zapewnienia środków na jego działalność. Z tego względu wskazane wydatki pozostają aktualne.  </t>
  </si>
  <si>
    <t>OBLIGATORYJNIE</t>
  </si>
  <si>
    <t>Suma z 2026 rok</t>
  </si>
  <si>
    <r>
      <t xml:space="preserve">Zgodnie z projektem ustawy o zmianie ustawy o krajowym systemie cyberbezpieczeństwa oraz niektórych innych ustaw (UC32) (nowy art. 52e) minister właściwy do spraw informatyzacji jest odpowiedzialny za zarządzanie incydentami i zarządzanie kryzysowe w cyberbezpieczeństwie na dużą skalę w wymiarze cywilnym, z wyłączeniem spraw dotyczących zagrożeń terrorystycznych oraz zagrożeń związanych ze szpiegostwem. </t>
    </r>
    <r>
      <rPr>
        <sz val="9"/>
        <color rgb="FFFF0000"/>
        <rFont val="Lato"/>
        <family val="2"/>
      </rPr>
      <t>W tym celu przewiduje się zatrudnienie 4 pracowników w urzędzie obsługującym ministra właściwego do spraw informatyzacji</t>
    </r>
    <r>
      <rPr>
        <sz val="9"/>
        <rFont val="Lato"/>
        <family val="2"/>
      </rPr>
      <t>. Należy im zapewnić adekwatne wynagrodzenie.</t>
    </r>
  </si>
  <si>
    <r>
      <t xml:space="preserve">Zgodnie z projektem ustawy o zmianie ustawy o krajowym systemie cyberbezpieczeństwa oraz niektórych innych ustaw (UC32) minister właściwy do spraw informatyzacji jest odpowiedzialny za prowadzenie postępowań w sprawie uznania za dostawcę wysokiego ryzyka. </t>
    </r>
    <r>
      <rPr>
        <sz val="9"/>
        <color rgb="FFFF0000"/>
        <rFont val="Lato"/>
        <family val="2"/>
      </rPr>
      <t>W tym celu przewiduje się zatrudnienie 3 pracowników w urzędzie obsługującym ministra właściwego do spraw informatyzacji</t>
    </r>
    <r>
      <rPr>
        <sz val="9"/>
        <rFont val="Lato"/>
        <family val="2"/>
      </rPr>
      <t>. Należy im zapewnić adekwatne wynagrodzenie.</t>
    </r>
  </si>
  <si>
    <r>
      <t xml:space="preserve">Zgodnie z projektem ustawy o zmianie ustawy o krajowym systemie cyberbezpieczeństwa oraz niektórych innych ustaw (UC32) minister właściwy do spraw informatyzacji jest odpowiedzialny za nadzór nad podmiotami kluczowymi oraz podmiotami ważnymi z sektora infrastruktury cyfrowej. </t>
    </r>
    <r>
      <rPr>
        <sz val="9"/>
        <color rgb="FFFF0000"/>
        <rFont val="Lato"/>
        <family val="2"/>
      </rPr>
      <t>W tym celu przewiduje się zatrudnienie 30 pracowników w urzędzie obsługującym ministra właściwego do spraw informatyzacji</t>
    </r>
    <r>
      <rPr>
        <sz val="9"/>
        <rFont val="Lato"/>
        <family val="2"/>
      </rPr>
      <t>. Należy im zapewnić adekwatne wynagrodzenie.</t>
    </r>
  </si>
  <si>
    <r>
      <t xml:space="preserve">Zgodnie z projektem ustawy o zmianie ustawy o krajowym systemie cyberbezpieczeństwa oraz niektórych innych ustaw (UC32) minister właściwy do spraw informatyzacji jest odpowiedzialny za nadzór nad podmiotami kluczowymi oraz podmiotami ważnymi z sektora zarządzania usługami ICT. </t>
    </r>
    <r>
      <rPr>
        <sz val="9"/>
        <color rgb="FFFF0000"/>
        <rFont val="Lato"/>
        <family val="2"/>
      </rPr>
      <t>W tym celu przewiduje się zatrudnienie 3 pracowników w urzędzie obsługującym ministra właściwego do spraw informatyzacji</t>
    </r>
    <r>
      <rPr>
        <sz val="9"/>
        <rFont val="Lato"/>
        <family val="2"/>
      </rPr>
      <t>. Należy im zapewnić adekwatne wynagrodzenie.</t>
    </r>
  </si>
  <si>
    <r>
      <t>Zgodnie z projektem ustawy o zmianie ustawy o krajowym systemie cyberbezpieczeństwa oraz niektórych innych ustaw (UC32) minister właściwy do spraw informatyzacji jest odpowiedzialny za nadzór nad podmiotami kluczowymi oraz podmiotami ważnymi z sektora dostawców usług cyfrowych.</t>
    </r>
    <r>
      <rPr>
        <sz val="9"/>
        <color rgb="FFFF0000"/>
        <rFont val="Lato"/>
        <family val="2"/>
      </rPr>
      <t xml:space="preserve"> W tym celu przewiduje się zatrudnienie 2 pracowników w urzędzie obsługującym ministra właściwego do spraw informatyzacji</t>
    </r>
    <r>
      <rPr>
        <sz val="9"/>
        <rFont val="Lato"/>
        <family val="2"/>
      </rPr>
      <t>. Należy im zapewnić adekwatne wynagrodzenie.</t>
    </r>
  </si>
  <si>
    <r>
      <t xml:space="preserve">Zgodnie z projektem ustawy o zmianie ustawy o krajowym systemie cyberbezpieczeństwa oraz niektórych innych ustaw (UC32) minister właściwy do spraw informatyzacji jest odpowiedzialny za nadzór nad podmiotami kluczowymi oraz podmiotami ważnymi z sektora podmiotów publicznych. </t>
    </r>
    <r>
      <rPr>
        <sz val="9"/>
        <color rgb="FFFF0000"/>
        <rFont val="Lato"/>
        <family val="2"/>
      </rPr>
      <t>W tym celu przewiduje się zatrudnienie 40 pracowników w urzędzie obsługującym ministra właściwego do spraw informatyzacji.</t>
    </r>
    <r>
      <rPr>
        <sz val="9"/>
        <rFont val="Lato"/>
        <family val="2"/>
      </rPr>
      <t xml:space="preserve"> Należy im zapewnić adekwatne wynagrodzenie.</t>
    </r>
  </si>
  <si>
    <t>Dział</t>
  </si>
  <si>
    <t>kolumna 13</t>
  </si>
  <si>
    <t>kolumna 1</t>
  </si>
  <si>
    <t>kolumna 2</t>
  </si>
  <si>
    <t>kolumna 3</t>
  </si>
  <si>
    <t>kolumna 5</t>
  </si>
  <si>
    <t>kolumna 6</t>
  </si>
  <si>
    <t>kolumna 7</t>
  </si>
  <si>
    <t>kolumna 4</t>
  </si>
  <si>
    <t>kolumna 8</t>
  </si>
  <si>
    <t>kolumna 9</t>
  </si>
  <si>
    <t>kolumna 10</t>
  </si>
  <si>
    <t>kolumna 11</t>
  </si>
  <si>
    <t>kolumna 12</t>
  </si>
  <si>
    <t>kolumna 14</t>
  </si>
  <si>
    <t>kolumna 15</t>
  </si>
  <si>
    <t>kolumna 16</t>
  </si>
  <si>
    <t>Część budżetowa</t>
  </si>
  <si>
    <t>Źródło finansowania</t>
  </si>
  <si>
    <t>Nazwa zadania</t>
  </si>
  <si>
    <t>zakup artykułów biurowych</t>
  </si>
  <si>
    <t>Zakup długopisów, zakup papieru</t>
  </si>
  <si>
    <t>zakup sprzętu komputerowego</t>
  </si>
  <si>
    <t>organizacja konferencji</t>
  </si>
  <si>
    <t xml:space="preserve">Zakup 10 szt. komputerów </t>
  </si>
  <si>
    <t>dotacja celowa na wydatki bieżące</t>
  </si>
  <si>
    <t>PI.25.A11-27</t>
  </si>
  <si>
    <t>PI.25.D01-27</t>
  </si>
  <si>
    <t>Dotacja celowa na realizację zadania pn. "Abcdefghijklmnop"</t>
  </si>
  <si>
    <t>dotacja celowa na wydatki inwestycyjne</t>
  </si>
  <si>
    <t>Dotacja celowana wydatki inwestycyjne związane z realizacją zadania pn. "Ponmlkjihgfedcba"</t>
  </si>
  <si>
    <t xml:space="preserve">podatek od nieruchomości </t>
  </si>
  <si>
    <t>umowa-zlecenie</t>
  </si>
  <si>
    <t>Umowa-zlecenie na opracowanie ekspertyzy dot. dezinformacji</t>
  </si>
  <si>
    <t>audyt bezpieczeństwa informacji zgodnie z normą ISO 27001</t>
  </si>
  <si>
    <t>Zapłata podatku od nieruchomości - budynek przy ul. Berberysowej 15 w Warszawie</t>
  </si>
  <si>
    <t>energia elektryczna</t>
  </si>
  <si>
    <t>Zapłata za dostawę energii elektrycznej do budynku przy ul. Berberysowej 15 w Warszawie</t>
  </si>
  <si>
    <t>usługi tłumaczeniowe</t>
  </si>
  <si>
    <t xml:space="preserve">Tłumaczenia pisemne i ustne </t>
  </si>
  <si>
    <t>pochodne od wynagrodzeń</t>
  </si>
  <si>
    <t>Składki na ubezpieczenie społeczne od wynagrodzeń</t>
  </si>
  <si>
    <t>PI.25.A05-27</t>
  </si>
  <si>
    <t>Zakup 8 szt. switchy</t>
  </si>
  <si>
    <t xml:space="preserve">szkolenia dla pracowników </t>
  </si>
  <si>
    <t>Szkolenia dla pracowników zaangażowanych w realizację Projektu pn. "Wdefrgthyjukikilo" - współfinansowanie</t>
  </si>
  <si>
    <t>Szkolenia dla pracowników zaangażowanych w realizację Projektu pn. "Wdefrgthyjukikilo" - finansowanie</t>
  </si>
  <si>
    <t>cyberbezpieczeństwo</t>
  </si>
  <si>
    <t>sztuczna inteligencja</t>
  </si>
  <si>
    <t xml:space="preserve">Uwagi 
</t>
  </si>
  <si>
    <t>koszty funkcjonowania</t>
  </si>
  <si>
    <t>W przypadku dotacji - z kim zawarta umowa/planowana do zawarcia umowa</t>
  </si>
  <si>
    <t>x</t>
  </si>
  <si>
    <t>Kompleksowa organizacja konferencji pn. "Gdkfhudjklaksjdtewa"</t>
  </si>
  <si>
    <t>OGRODNIK</t>
  </si>
  <si>
    <t>art. 5 ustawy z dnia 5 września 2025 r. (Dz. U. z 2025 r. poz. 180)</t>
  </si>
  <si>
    <t>umowa jest zawarta do 30 października 2026 r., konieczne środki na jej kontynuację do końca 2026 r.</t>
  </si>
  <si>
    <t>umowa na rok 2026 będzie zawarta w grudniu 2025 r.</t>
  </si>
  <si>
    <t>Fundusze Europejskie na Rozwój Cyfrowy</t>
  </si>
  <si>
    <t>Program Cyfrowa Europa</t>
  </si>
  <si>
    <t>06.03.02.01</t>
  </si>
  <si>
    <t>kolumna 38</t>
  </si>
  <si>
    <t>kolumna 39</t>
  </si>
  <si>
    <t>do uzupełnienia przez komórki organizacyjne (tekst)</t>
  </si>
  <si>
    <t xml:space="preserve">Uwagi </t>
  </si>
  <si>
    <t xml:space="preserve">Składki na Fundusz Pracy </t>
  </si>
  <si>
    <t>spotkania Ministra</t>
  </si>
  <si>
    <t>OGÓŁEM MINISTERSTWO CYFRYZACJI,  z tego:</t>
  </si>
  <si>
    <t xml:space="preserve">Organizacja spotkań </t>
  </si>
  <si>
    <t>wydatki bieżące jednostek budżetowych</t>
  </si>
  <si>
    <t>dotacje i subwencje</t>
  </si>
  <si>
    <t>wydatki majątkowe</t>
  </si>
  <si>
    <t>wydatki na realizację programów finansowanych z udziałem środków, o których mowa w art. 5 ust. 1 pkt 2 ustawy, w tym wydatki budżetu środków europejskich</t>
  </si>
  <si>
    <t xml:space="preserve">Dysponent środków </t>
  </si>
  <si>
    <t>Dysponent środków</t>
  </si>
  <si>
    <t>kolumna 37</t>
  </si>
  <si>
    <t>Załącznik nr 2</t>
  </si>
  <si>
    <t>Departament A</t>
  </si>
  <si>
    <t>Razem DA</t>
  </si>
  <si>
    <t>Departament B</t>
  </si>
  <si>
    <t>RAZEM DB</t>
  </si>
  <si>
    <t>Biuro C</t>
  </si>
  <si>
    <t>RAZEM B C</t>
  </si>
  <si>
    <t>Departament D</t>
  </si>
  <si>
    <t>RAZEM D D</t>
  </si>
  <si>
    <t>Departament E</t>
  </si>
  <si>
    <t>RAZEM D E</t>
  </si>
  <si>
    <t>Biuro F</t>
  </si>
  <si>
    <t>RAZEM B F</t>
  </si>
  <si>
    <t>Budżet zadaniowy w pełnej szczegółowości</t>
  </si>
  <si>
    <t xml:space="preserve">Budżet zadaniowy (nr funkcji, nr zadania)
</t>
  </si>
  <si>
    <t>Budżet zadaniowy (nr funkcji, nr zadania)</t>
  </si>
  <si>
    <t>Nazwa komórki organizacyjnej</t>
  </si>
  <si>
    <r>
      <t xml:space="preserve">wartość dwucyfrowa - informacje do zaciągnięcia z Rozporządzenia Ministra Finansów </t>
    </r>
    <r>
      <rPr>
        <i/>
        <sz val="11"/>
        <color theme="1"/>
        <rFont val="Lato"/>
        <family val="2"/>
      </rPr>
      <t>w sprawie klasyfikacji części budżetowych oraz określenia ich dysponentów</t>
    </r>
    <r>
      <rPr>
        <sz val="11"/>
        <color theme="1"/>
        <rFont val="Lato"/>
        <family val="2"/>
      </rPr>
      <t xml:space="preserve"> (Dz. U. z 2025 r. poz. 1633), § 1. </t>
    </r>
    <r>
      <rPr>
        <b/>
        <sz val="11"/>
        <color rgb="FF7030A0"/>
        <rFont val="Lato"/>
        <family val="2"/>
      </rPr>
      <t>W załączeniu WYCIĄG NR 1 Z ROZPORZĄDZENIA</t>
    </r>
  </si>
  <si>
    <r>
      <t>wartość trzycyfrowa - informacje do zaciągnięcia z</t>
    </r>
    <r>
      <rPr>
        <i/>
        <sz val="11"/>
        <color theme="1"/>
        <rFont val="Lato"/>
        <family val="2"/>
      </rPr>
      <t xml:space="preserve"> </t>
    </r>
    <r>
      <rPr>
        <sz val="11"/>
        <color theme="1"/>
        <rFont val="Lato"/>
        <family val="2"/>
      </rPr>
      <t xml:space="preserve">Rozporządzenia Ministra Finansów z dnia 2 marca 2010 r. </t>
    </r>
    <r>
      <rPr>
        <i/>
        <sz val="11"/>
        <color theme="1"/>
        <rFont val="Lato"/>
        <family val="2"/>
      </rPr>
      <t>w sprawie szczegółowej klasyfikacji dochodów, wydatków, przychodów i rozchodów oraz środków pochodzących ze źródeł zagranicznych</t>
    </r>
    <r>
      <rPr>
        <sz val="11"/>
        <color theme="1"/>
        <rFont val="Lato"/>
        <family val="2"/>
      </rPr>
      <t xml:space="preserve"> (t.j. Dz.U. z 2022 r. poz. 513). 
</t>
    </r>
    <r>
      <rPr>
        <b/>
        <sz val="11"/>
        <color rgb="FF7030A0"/>
        <rFont val="Lato"/>
        <family val="2"/>
      </rPr>
      <t xml:space="preserve">W załączeniu WYCIĄG NR 2a Z ROZPORZĄDZENIA </t>
    </r>
    <r>
      <rPr>
        <sz val="11"/>
        <color theme="1"/>
        <rFont val="Lato"/>
        <family val="2"/>
      </rPr>
      <t>(</t>
    </r>
    <r>
      <rPr>
        <b/>
        <sz val="11"/>
        <color rgb="FF7030A0"/>
        <rFont val="Lato"/>
        <family val="2"/>
      </rPr>
      <t>załącznik nr 1. Klasyfikacja działów</t>
    </r>
    <r>
      <rPr>
        <sz val="11"/>
        <color theme="1"/>
        <rFont val="Lato"/>
        <family val="2"/>
      </rPr>
      <t>)</t>
    </r>
  </si>
  <si>
    <r>
      <t xml:space="preserve">wartość trzycyfrowa - informacje do zaciągnięcia z Rozporządzenia Ministra Finansów z dnia 2 marca 2010 r. </t>
    </r>
    <r>
      <rPr>
        <i/>
        <sz val="11"/>
        <color theme="1"/>
        <rFont val="Lato"/>
        <family val="2"/>
      </rPr>
      <t xml:space="preserve">w sprawie szczegółowej klasyfikacji dochodów, wydatków, przychodów i rozchodów oraz środków pochodzących ze źródeł zagranicznych </t>
    </r>
    <r>
      <rPr>
        <sz val="11"/>
        <color theme="1"/>
        <rFont val="Lato"/>
        <family val="2"/>
      </rPr>
      <t xml:space="preserve">(t.j. Dz.U. z 2022 r. poz. 513). 
</t>
    </r>
    <r>
      <rPr>
        <b/>
        <sz val="11"/>
        <color rgb="FF7030A0"/>
        <rFont val="Lato"/>
        <family val="2"/>
      </rPr>
      <t xml:space="preserve">W załączeniu WYCIĄG NR 2c Z ROZPORZĄDZENIA (załącznik nr 4. Klasyfikacja paragrafów wydatków i środków) </t>
    </r>
  </si>
  <si>
    <t>Nazwa programu/projektu</t>
  </si>
  <si>
    <r>
      <t xml:space="preserve">wartość jednocyfrowa - do podstawowej, trzycyfrowej klasyfikacji paragrafowej dodawana jest czwarta cyfra ("0", "1", "2", "3", "4", "5", "6", "7", "8", "9"), która służy do dalszego uszczegółowienia rodzaju wydatku lub źródła finansowania. 
Informuje, skąd pochodzą środki-informacje do zaciągnięcia z załącznika nr 4. </t>
    </r>
    <r>
      <rPr>
        <i/>
        <sz val="11"/>
        <color theme="1"/>
        <rFont val="Lato"/>
        <family val="2"/>
      </rPr>
      <t>Klasyfikacja paragrafów wydatków i środków</t>
    </r>
    <r>
      <rPr>
        <sz val="11"/>
        <color theme="1"/>
        <rFont val="Lato"/>
        <family val="2"/>
      </rPr>
      <t xml:space="preserve"> Rozporządzenia Ministra Finansów z dnia 2 marca 2010 r. </t>
    </r>
    <r>
      <rPr>
        <i/>
        <sz val="11"/>
        <color theme="1"/>
        <rFont val="Lato"/>
        <family val="2"/>
      </rPr>
      <t>w sprawie szczegółowej klasyfikacji dochodów, wydatków, przychodów i rozchodów oraz środków pochodzących ze źródeł zagranicznych</t>
    </r>
    <r>
      <rPr>
        <sz val="11"/>
        <color theme="1"/>
        <rFont val="Lato"/>
        <family val="2"/>
      </rPr>
      <t xml:space="preserve"> (t.j. Dz.U. z 2022 r. poz. 513). 
</t>
    </r>
    <r>
      <rPr>
        <b/>
        <sz val="11"/>
        <color rgb="FF7030A0"/>
        <rFont val="Lato"/>
        <family val="2"/>
      </rPr>
      <t xml:space="preserve">W załączeniu WYCIĄG NR 2d Z ROZPORZĄDZENIA </t>
    </r>
  </si>
  <si>
    <t>22.01.01.01</t>
  </si>
  <si>
    <t>16.05.02.02</t>
  </si>
  <si>
    <t>22.01</t>
  </si>
  <si>
    <t>16.05</t>
  </si>
  <si>
    <t>16.05.01.01</t>
  </si>
  <si>
    <t>06.03.02.0</t>
  </si>
  <si>
    <t>06.03</t>
  </si>
  <si>
    <t xml:space="preserve">Budżet zadaniowy
(w pełnej szczegółowości)
</t>
  </si>
  <si>
    <t>Plan WI</t>
  </si>
  <si>
    <t>do uzupełnienia przez komórki organizacyjne, szczegółowe uzasadnienie do informacji zawartych w kol. 14 (tekst)</t>
  </si>
  <si>
    <t>Szczegółowe uzasadnienie realizacji zadania</t>
  </si>
  <si>
    <t>Szczegółowe uzasadnienie realizacji zdania</t>
  </si>
  <si>
    <t>Przeznaczenie wydatków wg obszaru działalności: cyberbezpieczeństwo/sztuczna inteligencja/koszty funkcjonowania/inne (wpisać jakie?)</t>
  </si>
  <si>
    <t>OCZEKIWANIA:</t>
  </si>
  <si>
    <t>do uzupełnienia przez komórki organizacyjne (kwota)</t>
  </si>
  <si>
    <t>Kwota na realizację zadań w 2026 roku, która nie została zabezpieczona w limicie</t>
  </si>
  <si>
    <t>Kwota na realizację zadań w 2026 roku, która nie została zabezpieczona w limicie
(kol. 17-kol. 18)</t>
  </si>
  <si>
    <t>Limit wydatków na rok 2026</t>
  </si>
  <si>
    <r>
      <t xml:space="preserve">Potrzeby finansowe na </t>
    </r>
    <r>
      <rPr>
        <b/>
        <u/>
        <sz val="10"/>
        <rFont val="Lato"/>
        <family val="2"/>
      </rPr>
      <t>2026 rok</t>
    </r>
  </si>
  <si>
    <t>Kwota zawartej umowy/wniosku o udzielenie zamówienia publicznego</t>
  </si>
  <si>
    <t>Potrzeby finansowe na 2026 rok</t>
  </si>
  <si>
    <t>różnica pomiędy potrzebami finansowymi a limitem wydatków (kwota)</t>
  </si>
  <si>
    <t>umowa nr 280/BC/2025</t>
  </si>
  <si>
    <t>umowa nr 150/BC/2025</t>
  </si>
  <si>
    <r>
      <t xml:space="preserve">Potrzeby finansowe na </t>
    </r>
    <r>
      <rPr>
        <b/>
        <u/>
        <sz val="10"/>
        <rFont val="Lato"/>
        <family val="2"/>
      </rPr>
      <t>2027 rok</t>
    </r>
  </si>
  <si>
    <r>
      <t xml:space="preserve">Potrzeby finansowe na </t>
    </r>
    <r>
      <rPr>
        <b/>
        <u/>
        <sz val="10"/>
        <rFont val="Lato"/>
        <family val="2"/>
      </rPr>
      <t>2028 rok</t>
    </r>
  </si>
  <si>
    <r>
      <t xml:space="preserve">Potrzeby finansowe na </t>
    </r>
    <r>
      <rPr>
        <b/>
        <u/>
        <sz val="10"/>
        <rFont val="Lato"/>
        <family val="2"/>
      </rPr>
      <t>2029 rok</t>
    </r>
  </si>
  <si>
    <t>Limit wydatków na rok 2027</t>
  </si>
  <si>
    <t>Limit wydatków na rok 2028</t>
  </si>
  <si>
    <t>Limit wydatków na rok 2029</t>
  </si>
  <si>
    <t>Kwota na realizację zadań w 2026 roku, która nie została zabezpieczona w limicie
(kol. 22-kol. 23)</t>
  </si>
  <si>
    <t>Kwota na realizację zadań w 2026 roku, która nie została zabezpieczona w limicie
(kol. 27-kol. 28)</t>
  </si>
  <si>
    <t>Kwota na realizację zadań w 2026 roku, która nie została zabezpieczona w limicie
(kol. 32-kol. 33)</t>
  </si>
  <si>
    <t>kolumna 17
kolumna 22
kolumna 27
kolumna 32</t>
  </si>
  <si>
    <t>kolumna 18
kolumna 23
kolumna 28
kolumna 33</t>
  </si>
  <si>
    <t>kolumna 19
kolumna 24
kolumna 29
kolumna 34</t>
  </si>
  <si>
    <t>kolumna 20
kolumna 25
kolumna 30
kolumna 35</t>
  </si>
  <si>
    <t>kolumna 21
kolumna 26
kolumna 31
kolumna 36</t>
  </si>
  <si>
    <t>do uzupełnienia przez komórki organizacyjne/komórke organizacyjną zbierająca dane (tekst)</t>
  </si>
  <si>
    <t>do uzupełnienia przez komórki organizacyjnej (tekst, lista rozwijana)</t>
  </si>
  <si>
    <r>
      <rPr>
        <b/>
        <u/>
        <sz val="12"/>
        <color theme="1"/>
        <rFont val="Lato"/>
        <family val="2"/>
      </rPr>
      <t>Informacje szczegółowe</t>
    </r>
    <r>
      <rPr>
        <b/>
        <sz val="12"/>
        <color theme="1"/>
        <rFont val="Lato"/>
        <family val="2"/>
      </rPr>
      <t>:</t>
    </r>
  </si>
  <si>
    <t>1) możliwość generowania zestawień do formatu Excel</t>
  </si>
  <si>
    <t>2) w celu późniejszych analiz, możliwość dodawania informacji przez komórkę zbierająca dane, np. dodanie kolumny dotyczącej wykonania wydatków za lata ubiegłe</t>
  </si>
  <si>
    <t>3) poszczególne wersje zestawień będą zapisywane i widoczne zarówno dla danej komórki organizacyjnej, jak i dla komórki zbierającej dane</t>
  </si>
  <si>
    <r>
      <t xml:space="preserve">wartość czterocyfrowa- informacje do zaciągnięcia z Rozporządzenia Ministra Finansów z dnia 2 marca 2010 r. </t>
    </r>
    <r>
      <rPr>
        <i/>
        <sz val="11"/>
        <color theme="1"/>
        <rFont val="Lato"/>
        <family val="2"/>
      </rPr>
      <t>w sprawie szczegółowej klasyfikacji dochodów, wydatków, przychodów i rozchodów oraz środków pochodzących ze źródeł zagranicznych</t>
    </r>
    <r>
      <rPr>
        <sz val="11"/>
        <color theme="1"/>
        <rFont val="Lato"/>
        <family val="2"/>
      </rPr>
      <t xml:space="preserve"> (t.j. Dz.U. z 2022 r. poz. 513). 
</t>
    </r>
    <r>
      <rPr>
        <b/>
        <sz val="11"/>
        <color rgb="FF7030A0"/>
        <rFont val="Lato"/>
        <family val="2"/>
      </rPr>
      <t>W załączeniu WYCIĄG NR 2b Z ROZPORZĄDZENIA (załącznik nr 2. Klasyfikacja rozdziałów)</t>
    </r>
    <r>
      <rPr>
        <sz val="11"/>
        <color theme="1"/>
        <rFont val="Lato"/>
        <family val="2"/>
      </rPr>
      <t xml:space="preserve">
</t>
    </r>
    <r>
      <rPr>
        <b/>
        <sz val="11"/>
        <color rgb="FFFF0000"/>
        <rFont val="Lato"/>
        <family val="2"/>
      </rPr>
      <t>OCZEKIWANIE:
1) po wybraniu działu w kol. 2 automatycznie pokazują się do wybrania tylko rozdziały, które wchodzą w skład danego działu (np. po wybraniu działu 750 pokazał się tylko rozdział 75001, 75002, 75003 itd.</t>
    </r>
    <r>
      <rPr>
        <sz val="11"/>
        <color theme="1"/>
        <rFont val="Lato"/>
        <family val="2"/>
      </rPr>
      <t>)</t>
    </r>
  </si>
  <si>
    <r>
      <t xml:space="preserve">(tekst) wymienione w kol. 5 paragrafy wydatków łączą się w grupy - informacje do zaciągnięcia z załącznika nr 4. </t>
    </r>
    <r>
      <rPr>
        <i/>
        <sz val="11"/>
        <rFont val="Lato"/>
        <family val="2"/>
      </rPr>
      <t xml:space="preserve">Klasyfikacja paragrafów wydatków i środków </t>
    </r>
    <r>
      <rPr>
        <sz val="11"/>
        <rFont val="Lato"/>
        <family val="2"/>
      </rPr>
      <t xml:space="preserve">Rozporządzenia Ministra Finansów z dnia 2 marca 2010 r. w sprawie szczegółowej klasyfikacji dochodów, wydatków, przychodów i rozchodów oraz środków pochodzących ze źródeł zagranicznych (t.j. Dz.U. z 2022 r. poz. 513). 
</t>
    </r>
    <r>
      <rPr>
        <b/>
        <sz val="11"/>
        <color rgb="FF7030A0"/>
        <rFont val="Lato"/>
        <family val="2"/>
      </rPr>
      <t>W załączeniu WYCIĄG NR 2e Z ROZPORZĄDZENIA.</t>
    </r>
    <r>
      <rPr>
        <b/>
        <sz val="11"/>
        <rFont val="Lato"/>
        <family val="2"/>
      </rPr>
      <t xml:space="preserve"> 
</t>
    </r>
    <r>
      <rPr>
        <b/>
        <sz val="11"/>
        <color rgb="FFFF0000"/>
        <rFont val="Lato"/>
        <family val="2"/>
      </rPr>
      <t>OCZEKIWANIE:
1) po wprowadzeniu paragrafu w kol. 5 automatycznie przypisana zostanie właściwa grupa wydatków</t>
    </r>
  </si>
  <si>
    <r>
      <t xml:space="preserve">zgodnie z § 7 Rozporządzenia Ministra Finansów </t>
    </r>
    <r>
      <rPr>
        <i/>
        <sz val="11"/>
        <color theme="1"/>
        <rFont val="Lato"/>
        <family val="2"/>
      </rPr>
      <t>w sprawie szczegółowego sposobu i zakresu oraz trybu i terminów opracowania materiałów do projektu ustawy budżetowej z dnia 13 lipca 2025 r.</t>
    </r>
    <r>
      <rPr>
        <sz val="11"/>
        <color theme="1"/>
        <rFont val="Lato"/>
        <family val="2"/>
      </rPr>
      <t xml:space="preserve"> (Dz.U. z 2025 r. poz. 984), w terminie do dnia 2 stycznia na stronie internetowej Ministerstwa Finansów jest udostępniana zaktualizowana w zakresie wynikającym ze zmian prawnych struktura układu zadaniowego – katalog funkcji, zadań, podzadań i działań. Informacja do zaciągnięcia z takiego katalogu. </t>
    </r>
    <r>
      <rPr>
        <b/>
        <sz val="11"/>
        <color rgb="FF7030A0"/>
        <rFont val="Lato"/>
        <family val="2"/>
      </rPr>
      <t>W załączeniu WYCIĄG NR 2f</t>
    </r>
    <r>
      <rPr>
        <sz val="11"/>
        <color theme="1"/>
        <rFont val="Lato"/>
        <family val="2"/>
      </rPr>
      <t xml:space="preserve">.
</t>
    </r>
    <r>
      <rPr>
        <b/>
        <sz val="11"/>
        <color rgb="FFFF0000"/>
        <rFont val="Lato"/>
        <family val="2"/>
      </rPr>
      <t>OCZEKIWANIE:
1) dane winny być prezentowane w następującym układzie: funkcja (dwa znaki).zadanie (dwa znaki).podzadanie (dwa znaki).działanie (dwa znaki), np. 22.01.01.01, 06.03.01.04</t>
    </r>
  </si>
  <si>
    <r>
      <t xml:space="preserve">grupuje budżet zadaniowy z kol. 7 w szczegółowości do funkcji i do zadania: funkcja (dwa znaki).zadanie (dwa znaki)
</t>
    </r>
    <r>
      <rPr>
        <b/>
        <sz val="11"/>
        <color rgb="FFFF0000"/>
        <rFont val="Lato"/>
        <family val="2"/>
      </rPr>
      <t>OCZEKIWANIE:
1) po wypełnieniu kol. 8 automatycznie przypisany zostanie budżet zadaniowy w układzie: funkcja, zadanie</t>
    </r>
  </si>
  <si>
    <r>
      <t xml:space="preserve">do uzupełnienia przez komórki organizacyjne (dotyczy projektów finansowanych z innych źródeł finansowania niż budżet państwa, tj. cyfra "0" w kol. 5)
</t>
    </r>
    <r>
      <rPr>
        <b/>
        <sz val="11"/>
        <color rgb="FFFF0000"/>
        <rFont val="Lato"/>
        <family val="2"/>
      </rPr>
      <t>OCZEKIWANIE:</t>
    </r>
    <r>
      <rPr>
        <sz val="11"/>
        <color rgb="FFFF0000"/>
        <rFont val="Lato"/>
        <family val="2"/>
      </rPr>
      <t xml:space="preserve">
</t>
    </r>
    <r>
      <rPr>
        <b/>
        <sz val="11"/>
        <color rgb="FFFF0000"/>
        <rFont val="Lato"/>
        <family val="2"/>
      </rPr>
      <t>1) po wpisaniu w kol. 5 cyfry "0", automatycznie przypisany zostanie atrybut "nie dotyczy"</t>
    </r>
  </si>
  <si>
    <r>
      <t xml:space="preserve">do uzupełnienia przez komórki organizacyjne 
</t>
    </r>
    <r>
      <rPr>
        <b/>
        <sz val="11"/>
        <color rgb="FFFF0000"/>
        <rFont val="Lato"/>
        <family val="2"/>
      </rPr>
      <t>OCZEKIWANIE:</t>
    </r>
    <r>
      <rPr>
        <sz val="11"/>
        <color rgb="FFFF0000"/>
        <rFont val="Lato"/>
        <family val="2"/>
      </rPr>
      <t xml:space="preserve">
</t>
    </r>
    <r>
      <rPr>
        <b/>
        <sz val="11"/>
        <color rgb="FFFF0000"/>
        <rFont val="Lato"/>
        <family val="2"/>
      </rPr>
      <t>1) kolumna może być wypełniana lub pozostawiana pusta, w zależności od potrzeb urzędu lub ministerstwa. W Ministerstwie Cyfryzacji informacje te są przeznaczone do późniejszego importowania danych do systemu finansowo-księgowego</t>
    </r>
  </si>
  <si>
    <r>
      <t xml:space="preserve">do uzupełnienia przez komórki organizacyjne/komórkę organizacyjną zbierająca dane (kwota)
</t>
    </r>
    <r>
      <rPr>
        <b/>
        <sz val="11"/>
        <color rgb="FFFF0000"/>
        <rFont val="Lato"/>
        <family val="2"/>
      </rPr>
      <t>OCZEKIWANIE:</t>
    </r>
    <r>
      <rPr>
        <sz val="11"/>
        <color rgb="FFFF0000"/>
        <rFont val="Lato"/>
        <family val="2"/>
      </rPr>
      <t xml:space="preserve">
</t>
    </r>
    <r>
      <rPr>
        <b/>
        <sz val="11"/>
        <color rgb="FFFF0000"/>
        <rFont val="Lato"/>
        <family val="2"/>
      </rPr>
      <t>1) w zależności od etapu planowania budżetu, limit zostaje przyznany (narzucony) przez komórkę zbierająca dane w łącznej kwocie dla danej komórki organizacyjnej, która nastepnie dzieli go na poszczególne zadania niezbędne do realizacji</t>
    </r>
  </si>
  <si>
    <r>
      <t xml:space="preserve">do uzupełnienia przez komórki organizacyjne/komórkę organizacyjną zbierającą dane (kwota)
</t>
    </r>
    <r>
      <rPr>
        <b/>
        <sz val="11"/>
        <color rgb="FFFF0000"/>
        <rFont val="Lato"/>
        <family val="2"/>
      </rPr>
      <t>OCZEKIWANIE:</t>
    </r>
    <r>
      <rPr>
        <sz val="11"/>
        <color rgb="FFFF0000"/>
        <rFont val="Lato"/>
        <family val="2"/>
      </rPr>
      <t xml:space="preserve">
</t>
    </r>
    <r>
      <rPr>
        <b/>
        <sz val="11"/>
        <color rgb="FFFF0000"/>
        <rFont val="Lato"/>
        <family val="2"/>
      </rPr>
      <t>1) w przypadku nie wpisania danych przez komórkę organizacyjną, uzupełnia je komórka zbierająca dane (dane zgodne z systemem finansoso-księgowym)
2) wpisanie kwoty wyższej niż w kol. 18, 23, 28 i 33 informuje o braku środków zaplanowanych na realizację zadania</t>
    </r>
  </si>
  <si>
    <r>
      <t xml:space="preserve">do uzupełnienia przez komórki organizacyjne/komórkę organizacyjną zbierającą dane
</t>
    </r>
    <r>
      <rPr>
        <b/>
        <sz val="11"/>
        <color rgb="FFFF0000"/>
        <rFont val="Lato"/>
        <family val="2"/>
      </rPr>
      <t>OCZEKIWANIE:</t>
    </r>
    <r>
      <rPr>
        <sz val="11"/>
        <color rgb="FFFF0000"/>
        <rFont val="Lato"/>
        <family val="2"/>
      </rPr>
      <t xml:space="preserve">
</t>
    </r>
    <r>
      <rPr>
        <b/>
        <sz val="11"/>
        <color rgb="FFFF0000"/>
        <rFont val="Lato"/>
        <family val="2"/>
      </rPr>
      <t>1) w przypadku ujęcia kwoty w kol. 20, 25, 30 i 35, wymusza wpisanie informacji w kol. 21, 26, 31 i 36</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</si>
</sst>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_-* #,##0_-;\-* #,##0_-;_-* &quot;-&quot;??_-;_-@_-"/>
    <numFmt numFmtId="165" formatCode="_-* #,##0\ _z_ł_-;\-* #,##0\ _z_ł_-;_-* &quot;-&quot;\ _z_ł_-;_-@_-"/>
    <numFmt numFmtId="166" formatCode="_-* #,##0.00\ _z_ł_-;\-* #,##0.00\ _z_ł_-;_-* &quot;-&quot;??\ _z_ł_-;_-@_-"/>
  </numFmts>
  <fonts count="52" x14ac:knownFonts="1">
    <font>
      <sz val="11"/>
      <color theme="1"/>
      <name val="Aptos Narrow"/>
      <family val="2"/>
      <charset val="238"/>
      <scheme val="minor"/>
    </font>
    <font>
      <sz val="11"/>
      <color theme="1"/>
      <name val="Aptos Narrow"/>
      <family val="2"/>
      <charset val="238"/>
      <scheme val="minor"/>
    </font>
    <font>
      <sz val="12"/>
      <color theme="1"/>
      <name val="Aptos Narrow"/>
      <family val="2"/>
      <scheme val="minor"/>
    </font>
    <font>
      <sz val="12"/>
      <color rgb="FFFF0000"/>
      <name val="Aptos Narrow"/>
      <family val="2"/>
      <scheme val="minor"/>
    </font>
    <font>
      <sz val="11"/>
      <name val="Aptos Narrow"/>
      <family val="2"/>
      <scheme val="minor"/>
    </font>
    <font>
      <sz val="11"/>
      <color theme="1"/>
      <name val="Aptos Narrow"/>
      <family val="2"/>
      <scheme val="minor"/>
    </font>
    <font>
      <sz val="11"/>
      <color rgb="FFFF0000"/>
      <name val="Aptos Narrow"/>
      <family val="2"/>
      <scheme val="minor"/>
    </font>
    <font>
      <b/>
      <sz val="11"/>
      <color rgb="FFFF0000"/>
      <name val="Aptos Narrow"/>
      <family val="2"/>
      <scheme val="minor"/>
    </font>
    <font>
      <b/>
      <sz val="12"/>
      <color theme="1"/>
      <name val="Aptos Narrow"/>
      <family val="2"/>
      <scheme val="minor"/>
    </font>
    <font>
      <sz val="11"/>
      <color rgb="FF000000"/>
      <name val="Aptos Narrow"/>
      <family val="2"/>
      <scheme val="minor"/>
    </font>
    <font>
      <sz val="11"/>
      <color rgb="FF444444"/>
      <name val="Aptos Narrow"/>
      <family val="2"/>
      <scheme val="minor"/>
    </font>
    <font>
      <sz val="10"/>
      <name val="Arial CE"/>
      <charset val="238"/>
    </font>
    <font>
      <b/>
      <sz val="11"/>
      <color theme="1"/>
      <name val="Aptos Narrow"/>
      <family val="2"/>
      <scheme val="minor"/>
    </font>
    <font>
      <b/>
      <sz val="11"/>
      <name val="Aptos Narrow"/>
      <family val="2"/>
      <scheme val="minor"/>
    </font>
    <font>
      <sz val="11"/>
      <color theme="1" tint="4.9989318521683403E-2"/>
      <name val="Aptos Narrow"/>
      <family val="2"/>
      <scheme val="minor"/>
    </font>
    <font>
      <sz val="10"/>
      <name val="Arial"/>
      <family val="2"/>
      <charset val="238"/>
    </font>
    <font>
      <sz val="10"/>
      <name val="Arial"/>
      <family val="2"/>
      <charset val="238"/>
    </font>
    <font>
      <b/>
      <sz val="10"/>
      <color theme="1"/>
      <name val="Lato"/>
      <family val="2"/>
    </font>
    <font>
      <sz val="10"/>
      <color theme="1"/>
      <name val="Lato"/>
      <family val="2"/>
    </font>
    <font>
      <sz val="9"/>
      <color theme="1"/>
      <name val="Lato"/>
      <family val="2"/>
    </font>
    <font>
      <b/>
      <sz val="9"/>
      <color theme="1"/>
      <name val="Lato"/>
      <family val="2"/>
    </font>
    <font>
      <sz val="9"/>
      <name val="Lato"/>
      <family val="2"/>
    </font>
    <font>
      <b/>
      <sz val="9"/>
      <name val="Lato"/>
      <family val="2"/>
    </font>
    <font>
      <sz val="9"/>
      <color rgb="FFFF0000"/>
      <name val="Lato"/>
      <family val="2"/>
    </font>
    <font>
      <sz val="9"/>
      <color theme="1"/>
      <name val="Aptos Narrow"/>
      <family val="2"/>
      <charset val="238"/>
      <scheme val="minor"/>
    </font>
    <font>
      <sz val="8"/>
      <color theme="1"/>
      <name val="Lato"/>
      <family val="2"/>
    </font>
    <font>
      <b/>
      <sz val="8"/>
      <name val="Lato"/>
      <family val="2"/>
    </font>
    <font>
      <b/>
      <i/>
      <sz val="9"/>
      <color theme="1"/>
      <name val="Lato"/>
      <family val="2"/>
    </font>
    <font>
      <b/>
      <sz val="10"/>
      <name val="Lato"/>
      <family val="2"/>
    </font>
    <font>
      <sz val="11"/>
      <color theme="1"/>
      <name val="Lato"/>
      <family val="2"/>
    </font>
    <font>
      <b/>
      <sz val="9"/>
      <color theme="9" tint="-0.249977111117893"/>
      <name val="Lato"/>
      <family val="2"/>
    </font>
    <font>
      <b/>
      <i/>
      <sz val="10"/>
      <color theme="1"/>
      <name val="Lato"/>
      <family val="2"/>
    </font>
    <font>
      <sz val="10"/>
      <name val="Lato"/>
      <family val="2"/>
    </font>
    <font>
      <b/>
      <sz val="10"/>
      <name val="Lato"/>
      <family val="2"/>
      <charset val="238"/>
    </font>
    <font>
      <b/>
      <sz val="10"/>
      <color theme="1"/>
      <name val="Lato"/>
      <family val="2"/>
      <charset val="238"/>
    </font>
    <font>
      <sz val="8"/>
      <name val="Aptos Narrow"/>
      <family val="2"/>
      <charset val="238"/>
      <scheme val="minor"/>
    </font>
    <font>
      <i/>
      <sz val="11"/>
      <color theme="1"/>
      <name val="Lato"/>
      <family val="2"/>
    </font>
    <font>
      <b/>
      <sz val="11"/>
      <color rgb="FF7030A0"/>
      <name val="Lato"/>
      <family val="2"/>
    </font>
    <font>
      <b/>
      <i/>
      <sz val="11"/>
      <color theme="1"/>
      <name val="Lato"/>
      <family val="2"/>
    </font>
    <font>
      <b/>
      <u/>
      <sz val="10"/>
      <name val="Lato"/>
      <family val="2"/>
    </font>
    <font>
      <sz val="8"/>
      <name val="Lato"/>
      <family val="2"/>
    </font>
    <font>
      <sz val="10"/>
      <name val="Aptos Narrow"/>
      <family val="2"/>
      <charset val="238"/>
      <scheme val="minor"/>
    </font>
    <font>
      <sz val="10"/>
      <color rgb="FFFF0000"/>
      <name val="Lato"/>
      <family val="2"/>
    </font>
    <font>
      <sz val="8"/>
      <color rgb="FFFF0000"/>
      <name val="Lato"/>
      <family val="2"/>
    </font>
    <font>
      <sz val="11"/>
      <color rgb="FFFF0000"/>
      <name val="Lato"/>
      <family val="2"/>
    </font>
    <font>
      <b/>
      <sz val="11"/>
      <color rgb="FFFF0000"/>
      <name val="Lato"/>
      <family val="2"/>
    </font>
    <font>
      <sz val="11"/>
      <name val="Lato"/>
      <family val="2"/>
    </font>
    <font>
      <i/>
      <sz val="11"/>
      <name val="Lato"/>
      <family val="2"/>
    </font>
    <font>
      <b/>
      <sz val="11"/>
      <name val="Lato"/>
      <family val="2"/>
    </font>
    <font>
      <b/>
      <u/>
      <sz val="11"/>
      <color rgb="FFFF0000"/>
      <name val="Lato"/>
      <family val="2"/>
    </font>
    <font>
      <b/>
      <sz val="12"/>
      <color theme="1"/>
      <name val="Lato"/>
      <family val="2"/>
    </font>
    <font>
      <b/>
      <u/>
      <sz val="12"/>
      <color theme="1"/>
      <name val="Lato"/>
      <family val="2"/>
    </font>
  </fonts>
  <fills count="24">
    <fill>
      <patternFill patternType="none"/>
    </fill>
    <fill>
      <patternFill patternType="gray125"/>
    </fill>
    <fill>
      <patternFill patternType="solid">
        <fgColor theme="4"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rgb="FFFFFF00"/>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5" tint="0.59999389629810485"/>
        <bgColor indexed="64"/>
      </patternFill>
    </fill>
    <fill>
      <patternFill patternType="solid">
        <fgColor rgb="FFFF0000"/>
        <bgColor indexed="64"/>
      </patternFill>
    </fill>
    <fill>
      <patternFill patternType="solid">
        <fgColor rgb="FFFFC000"/>
        <bgColor indexed="64"/>
      </patternFill>
    </fill>
    <fill>
      <patternFill patternType="solid">
        <fgColor theme="0"/>
        <bgColor indexed="64"/>
      </patternFill>
    </fill>
    <fill>
      <patternFill patternType="solid">
        <fgColor theme="9" tint="0.59999389629810485"/>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theme="3" tint="0.749992370372631"/>
        <bgColor indexed="64"/>
      </patternFill>
    </fill>
    <fill>
      <patternFill patternType="solid">
        <fgColor theme="8" tint="0.59999389629810485"/>
        <bgColor indexed="64"/>
      </patternFill>
    </fill>
    <fill>
      <patternFill patternType="solid">
        <fgColor rgb="FF92D050"/>
        <bgColor indexed="64"/>
      </patternFill>
    </fill>
    <fill>
      <patternFill patternType="solid">
        <fgColor theme="7" tint="0.59999389629810485"/>
        <bgColor indexed="64"/>
      </patternFill>
    </fill>
    <fill>
      <patternFill patternType="solid">
        <fgColor theme="9" tint="0.39997558519241921"/>
        <bgColor indexed="64"/>
      </patternFill>
    </fill>
    <fill>
      <patternFill patternType="solid">
        <fgColor theme="3" tint="0.89999084444715716"/>
        <bgColor indexed="64"/>
      </patternFill>
    </fill>
    <fill>
      <patternFill patternType="solid">
        <fgColor rgb="FFFFFFCC"/>
        <bgColor indexed="64"/>
      </patternFill>
    </fill>
    <fill>
      <patternFill patternType="solid">
        <fgColor theme="2"/>
        <bgColor indexed="64"/>
      </patternFill>
    </fill>
    <fill>
      <patternFill patternType="solid">
        <fgColor rgb="FFFF99CC"/>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4"/>
      </top>
      <bottom/>
      <diagonal/>
    </border>
    <border>
      <left/>
      <right/>
      <top style="thin">
        <color auto="1"/>
      </top>
      <bottom/>
      <diagonal/>
    </border>
    <border>
      <left/>
      <right/>
      <top style="thin">
        <color theme="4"/>
      </top>
      <bottom style="thin">
        <color indexed="64"/>
      </bottom>
      <diagonal/>
    </border>
  </borders>
  <cellStyleXfs count="9">
    <xf numFmtId="0" fontId="0" fillId="0" borderId="0"/>
    <xf numFmtId="43" fontId="1" fillId="0" borderId="0" applyFont="0" applyFill="0" applyBorder="0" applyAlignment="0" applyProtection="0"/>
    <xf numFmtId="0" fontId="11" fillId="0" borderId="0"/>
    <xf numFmtId="0" fontId="16" fillId="0" borderId="0"/>
    <xf numFmtId="166" fontId="16" fillId="0" borderId="0" applyFont="0" applyFill="0" applyBorder="0" applyAlignment="0" applyProtection="0"/>
    <xf numFmtId="0" fontId="15" fillId="0" borderId="0"/>
    <xf numFmtId="43" fontId="1" fillId="0" borderId="0" applyFont="0" applyFill="0" applyBorder="0" applyAlignment="0" applyProtection="0"/>
    <xf numFmtId="0" fontId="15" fillId="0" borderId="0"/>
    <xf numFmtId="43" fontId="1" fillId="0" borderId="0" applyFont="0" applyFill="0" applyBorder="0" applyAlignment="0" applyProtection="0"/>
  </cellStyleXfs>
  <cellXfs count="365">
    <xf numFmtId="0" fontId="0" fillId="0" borderId="0" xfId="0"/>
    <xf numFmtId="0" fontId="2" fillId="2" borderId="1" xfId="0" applyFont="1" applyFill="1" applyBorder="1" applyAlignment="1">
      <alignment wrapText="1"/>
    </xf>
    <xf numFmtId="0" fontId="2" fillId="0" borderId="0" xfId="0" applyFont="1" applyAlignment="1">
      <alignment wrapText="1"/>
    </xf>
    <xf numFmtId="0" fontId="2" fillId="0" borderId="1" xfId="0" applyFont="1" applyBorder="1"/>
    <xf numFmtId="164" fontId="2" fillId="0" borderId="1" xfId="1" applyNumberFormat="1" applyFont="1" applyBorder="1"/>
    <xf numFmtId="0" fontId="2" fillId="0" borderId="0" xfId="0" applyFont="1"/>
    <xf numFmtId="0" fontId="3" fillId="0" borderId="1" xfId="0" applyFont="1" applyBorder="1"/>
    <xf numFmtId="0" fontId="4" fillId="3" borderId="0" xfId="0" applyFont="1" applyFill="1"/>
    <xf numFmtId="0" fontId="4" fillId="0" borderId="0" xfId="0" applyFont="1"/>
    <xf numFmtId="0" fontId="2" fillId="4" borderId="1" xfId="0" applyFont="1" applyFill="1" applyBorder="1"/>
    <xf numFmtId="164" fontId="2" fillId="4" borderId="1" xfId="1" applyNumberFormat="1" applyFont="1" applyFill="1" applyBorder="1"/>
    <xf numFmtId="0" fontId="2" fillId="0" borderId="1" xfId="1" applyNumberFormat="1" applyFont="1" applyBorder="1"/>
    <xf numFmtId="0" fontId="4" fillId="3" borderId="1" xfId="0" applyFont="1" applyFill="1" applyBorder="1"/>
    <xf numFmtId="0" fontId="5" fillId="3" borderId="1" xfId="0" applyFont="1" applyFill="1" applyBorder="1"/>
    <xf numFmtId="0" fontId="6" fillId="3" borderId="1" xfId="0" applyFont="1" applyFill="1" applyBorder="1"/>
    <xf numFmtId="0" fontId="4" fillId="0" borderId="1" xfId="0" applyFont="1" applyBorder="1"/>
    <xf numFmtId="0" fontId="5" fillId="0" borderId="1" xfId="0" applyFont="1" applyBorder="1"/>
    <xf numFmtId="0" fontId="6" fillId="0" borderId="1" xfId="0" applyFont="1" applyBorder="1"/>
    <xf numFmtId="0" fontId="4" fillId="5" borderId="1" xfId="0" applyFont="1" applyFill="1" applyBorder="1"/>
    <xf numFmtId="0" fontId="5" fillId="5" borderId="1" xfId="0" applyFont="1" applyFill="1" applyBorder="1"/>
    <xf numFmtId="0" fontId="7" fillId="5" borderId="1" xfId="0" applyFont="1" applyFill="1" applyBorder="1"/>
    <xf numFmtId="0" fontId="4" fillId="0" borderId="1" xfId="0" applyFont="1" applyBorder="1" applyAlignment="1">
      <alignment vertical="center"/>
    </xf>
    <xf numFmtId="43" fontId="2" fillId="0" borderId="1" xfId="1" applyFont="1" applyBorder="1"/>
    <xf numFmtId="0" fontId="3" fillId="4" borderId="1" xfId="0" applyFont="1" applyFill="1" applyBorder="1"/>
    <xf numFmtId="0" fontId="2" fillId="0" borderId="1" xfId="0" applyFont="1" applyBorder="1" applyAlignment="1">
      <alignment wrapText="1"/>
    </xf>
    <xf numFmtId="43" fontId="2" fillId="0" borderId="1" xfId="1" applyFont="1" applyFill="1" applyBorder="1"/>
    <xf numFmtId="0" fontId="2" fillId="6" borderId="1" xfId="0" applyFont="1" applyFill="1" applyBorder="1"/>
    <xf numFmtId="164" fontId="2" fillId="6" borderId="1" xfId="1" applyNumberFormat="1" applyFont="1" applyFill="1" applyBorder="1"/>
    <xf numFmtId="164" fontId="2" fillId="6" borderId="0" xfId="0" applyNumberFormat="1" applyFont="1" applyFill="1"/>
    <xf numFmtId="0" fontId="2" fillId="6" borderId="0" xfId="0" applyFont="1" applyFill="1"/>
    <xf numFmtId="164" fontId="2" fillId="0" borderId="0" xfId="0" applyNumberFormat="1" applyFont="1"/>
    <xf numFmtId="0" fontId="3" fillId="0" borderId="0" xfId="0" applyFont="1"/>
    <xf numFmtId="0" fontId="8" fillId="5" borderId="1" xfId="0" applyFont="1" applyFill="1" applyBorder="1"/>
    <xf numFmtId="164" fontId="2" fillId="5" borderId="1" xfId="1" applyNumberFormat="1" applyFont="1" applyFill="1" applyBorder="1"/>
    <xf numFmtId="0" fontId="2" fillId="5" borderId="1" xfId="0" applyFont="1" applyFill="1" applyBorder="1"/>
    <xf numFmtId="0" fontId="2" fillId="7" borderId="1" xfId="0" applyFont="1" applyFill="1" applyBorder="1"/>
    <xf numFmtId="164" fontId="2" fillId="7" borderId="1" xfId="1" applyNumberFormat="1" applyFont="1" applyFill="1" applyBorder="1"/>
    <xf numFmtId="164" fontId="2" fillId="8" borderId="1" xfId="1" applyNumberFormat="1" applyFont="1" applyFill="1" applyBorder="1"/>
    <xf numFmtId="0" fontId="3" fillId="8" borderId="1" xfId="0" applyFont="1" applyFill="1" applyBorder="1"/>
    <xf numFmtId="0" fontId="2" fillId="9" borderId="1" xfId="0" applyFont="1" applyFill="1" applyBorder="1"/>
    <xf numFmtId="0" fontId="5" fillId="0" borderId="1" xfId="0" applyFont="1" applyBorder="1" applyAlignment="1">
      <alignment horizontal="center"/>
    </xf>
    <xf numFmtId="3" fontId="5" fillId="0" borderId="1" xfId="0" applyNumberFormat="1" applyFont="1" applyBorder="1"/>
    <xf numFmtId="0" fontId="4" fillId="0" borderId="0" xfId="0" applyFont="1" applyAlignment="1">
      <alignment horizontal="center" vertical="center"/>
    </xf>
    <xf numFmtId="0" fontId="4" fillId="0" borderId="0" xfId="0" applyFont="1" applyAlignment="1">
      <alignment horizontal="left"/>
    </xf>
    <xf numFmtId="0" fontId="4" fillId="0" borderId="0" xfId="0" applyFont="1" applyAlignment="1">
      <alignment horizontal="center"/>
    </xf>
    <xf numFmtId="3" fontId="5" fillId="0" borderId="1" xfId="0" applyNumberFormat="1" applyFont="1" applyBorder="1" applyAlignment="1">
      <alignment horizontal="right"/>
    </xf>
    <xf numFmtId="0" fontId="5" fillId="0" borderId="1" xfId="0" applyFont="1" applyBorder="1" applyAlignment="1">
      <alignment vertical="center"/>
    </xf>
    <xf numFmtId="3" fontId="4" fillId="0" borderId="1" xfId="0" applyNumberFormat="1" applyFont="1" applyBorder="1"/>
    <xf numFmtId="3" fontId="5" fillId="0" borderId="1" xfId="0" applyNumberFormat="1" applyFont="1" applyBorder="1" applyAlignment="1">
      <alignment horizontal="center"/>
    </xf>
    <xf numFmtId="0" fontId="4" fillId="0" borderId="2" xfId="0" applyFont="1" applyBorder="1" applyAlignment="1">
      <alignment horizontal="center" vertical="center"/>
    </xf>
    <xf numFmtId="0" fontId="4" fillId="0" borderId="2" xfId="0" applyFont="1" applyBorder="1" applyAlignment="1">
      <alignment horizontal="left"/>
    </xf>
    <xf numFmtId="0" fontId="4" fillId="0" borderId="3" xfId="0" applyFont="1" applyBorder="1" applyAlignment="1">
      <alignment horizontal="center"/>
    </xf>
    <xf numFmtId="0" fontId="4" fillId="0" borderId="1" xfId="0" applyFont="1" applyBorder="1" applyAlignment="1">
      <alignment wrapText="1"/>
    </xf>
    <xf numFmtId="3" fontId="9" fillId="0" borderId="1" xfId="0" applyNumberFormat="1" applyFont="1" applyBorder="1"/>
    <xf numFmtId="0" fontId="9" fillId="0" borderId="1" xfId="0" applyFont="1" applyBorder="1"/>
    <xf numFmtId="3" fontId="5" fillId="0" borderId="1" xfId="0" applyNumberFormat="1" applyFont="1" applyBorder="1" applyAlignment="1">
      <alignment wrapText="1"/>
    </xf>
    <xf numFmtId="0" fontId="5" fillId="0" borderId="0" xfId="0" applyFont="1"/>
    <xf numFmtId="0" fontId="4" fillId="0" borderId="1" xfId="0" applyFont="1" applyBorder="1" applyAlignment="1">
      <alignment horizontal="center"/>
    </xf>
    <xf numFmtId="0" fontId="4" fillId="0" borderId="3" xfId="0" applyFont="1" applyBorder="1"/>
    <xf numFmtId="0" fontId="4" fillId="0" borderId="1" xfId="0" applyFont="1" applyBorder="1" applyAlignment="1">
      <alignment horizontal="right" vertical="center"/>
    </xf>
    <xf numFmtId="0" fontId="5" fillId="0" borderId="1" xfId="0" applyFont="1" applyBorder="1" applyAlignment="1">
      <alignment horizontal="right" vertical="center"/>
    </xf>
    <xf numFmtId="0" fontId="5" fillId="0" borderId="1" xfId="0" applyFont="1" applyBorder="1" applyAlignment="1">
      <alignment horizontal="center" vertical="center"/>
    </xf>
    <xf numFmtId="0" fontId="5" fillId="0" borderId="1" xfId="0" applyFont="1" applyBorder="1" applyAlignment="1">
      <alignment horizontal="left" vertical="center"/>
    </xf>
    <xf numFmtId="0" fontId="4" fillId="0" borderId="1" xfId="0" applyFont="1" applyBorder="1" applyAlignment="1">
      <alignment horizontal="left" vertical="center"/>
    </xf>
    <xf numFmtId="0" fontId="10" fillId="0" borderId="1" xfId="0" applyFont="1" applyBorder="1" applyAlignment="1">
      <alignment horizontal="center"/>
    </xf>
    <xf numFmtId="3" fontId="4" fillId="0" borderId="1" xfId="2" applyNumberFormat="1" applyFont="1" applyBorder="1" applyAlignment="1">
      <alignment horizontal="right" vertical="center"/>
    </xf>
    <xf numFmtId="165" fontId="4" fillId="0" borderId="1" xfId="2" applyNumberFormat="1" applyFont="1" applyBorder="1" applyAlignment="1">
      <alignment horizontal="left" vertical="center"/>
    </xf>
    <xf numFmtId="0" fontId="4" fillId="0" borderId="1" xfId="0" applyFont="1" applyBorder="1" applyAlignment="1">
      <alignment horizontal="left"/>
    </xf>
    <xf numFmtId="3" fontId="5" fillId="0" borderId="1" xfId="0" applyNumberFormat="1" applyFont="1" applyBorder="1" applyAlignment="1">
      <alignment horizontal="right" wrapText="1"/>
    </xf>
    <xf numFmtId="2" fontId="4" fillId="0" borderId="1" xfId="0" applyNumberFormat="1" applyFont="1" applyBorder="1" applyAlignment="1">
      <alignment horizontal="left" wrapText="1"/>
    </xf>
    <xf numFmtId="0" fontId="5" fillId="0" borderId="1" xfId="0" applyFont="1" applyBorder="1" applyAlignment="1">
      <alignment vertical="center" wrapText="1"/>
    </xf>
    <xf numFmtId="0" fontId="4" fillId="0" borderId="1" xfId="0" applyFont="1" applyBorder="1" applyAlignment="1">
      <alignment horizontal="left" vertical="top"/>
    </xf>
    <xf numFmtId="3" fontId="5" fillId="0" borderId="1" xfId="0" applyNumberFormat="1" applyFont="1" applyBorder="1" applyAlignment="1">
      <alignment horizontal="right" vertical="center" wrapText="1"/>
    </xf>
    <xf numFmtId="0" fontId="4" fillId="0" borderId="1" xfId="2" applyFont="1" applyBorder="1" applyAlignment="1">
      <alignment horizontal="center" vertical="center"/>
    </xf>
    <xf numFmtId="3" fontId="4" fillId="4" borderId="1" xfId="0" applyNumberFormat="1" applyFont="1" applyFill="1" applyBorder="1" applyAlignment="1">
      <alignment horizontal="right" vertical="center"/>
    </xf>
    <xf numFmtId="3" fontId="4" fillId="0" borderId="1" xfId="0" applyNumberFormat="1" applyFont="1" applyBorder="1" applyAlignment="1">
      <alignment horizontal="right" vertical="center"/>
    </xf>
    <xf numFmtId="3" fontId="5" fillId="0" borderId="1" xfId="0" applyNumberFormat="1" applyFont="1" applyBorder="1" applyAlignment="1">
      <alignment horizontal="right" vertical="center"/>
    </xf>
    <xf numFmtId="0" fontId="4" fillId="0" borderId="4" xfId="0" applyFont="1" applyBorder="1" applyAlignment="1">
      <alignment horizontal="center" vertical="center"/>
    </xf>
    <xf numFmtId="0" fontId="4" fillId="0" borderId="5" xfId="0" applyFont="1" applyBorder="1" applyAlignment="1">
      <alignment horizontal="left"/>
    </xf>
    <xf numFmtId="0" fontId="4" fillId="0" borderId="2" xfId="0" applyFont="1" applyBorder="1" applyAlignment="1">
      <alignment horizontal="center"/>
    </xf>
    <xf numFmtId="0" fontId="4" fillId="5" borderId="1" xfId="0" applyFont="1" applyFill="1" applyBorder="1" applyAlignment="1">
      <alignment vertical="top" wrapText="1"/>
    </xf>
    <xf numFmtId="0" fontId="4" fillId="0" borderId="1" xfId="0" applyFont="1" applyBorder="1" applyAlignment="1">
      <alignment vertical="top" wrapText="1"/>
    </xf>
    <xf numFmtId="0" fontId="5" fillId="0" borderId="1" xfId="0" applyFont="1" applyBorder="1" applyAlignment="1">
      <alignment horizontal="center" vertical="center" wrapText="1"/>
    </xf>
    <xf numFmtId="0" fontId="4" fillId="0" borderId="1" xfId="2" applyFont="1" applyBorder="1" applyAlignment="1">
      <alignment horizontal="center" vertical="top" wrapText="1"/>
    </xf>
    <xf numFmtId="0" fontId="4" fillId="0" borderId="1" xfId="0" applyFont="1" applyBorder="1" applyAlignment="1">
      <alignment horizontal="right" vertical="top" wrapText="1"/>
    </xf>
    <xf numFmtId="0" fontId="4" fillId="0" borderId="1" xfId="2" applyFont="1" applyBorder="1" applyAlignment="1">
      <alignment horizontal="right" vertical="top" wrapText="1"/>
    </xf>
    <xf numFmtId="0" fontId="5" fillId="0" borderId="1" xfId="0" applyFont="1" applyBorder="1" applyAlignment="1">
      <alignment horizontal="right" vertical="top" wrapText="1"/>
    </xf>
    <xf numFmtId="0" fontId="5" fillId="0" borderId="1" xfId="2" applyFont="1" applyBorder="1" applyAlignment="1">
      <alignment horizontal="right" vertical="top" wrapText="1"/>
    </xf>
    <xf numFmtId="2" fontId="4" fillId="0" borderId="1" xfId="0" applyNumberFormat="1" applyFont="1" applyBorder="1" applyAlignment="1">
      <alignment horizontal="right" vertical="top" wrapText="1"/>
    </xf>
    <xf numFmtId="2" fontId="9" fillId="0" borderId="1" xfId="0" applyNumberFormat="1" applyFont="1" applyBorder="1" applyAlignment="1">
      <alignment horizontal="center" vertical="top" wrapText="1"/>
    </xf>
    <xf numFmtId="0" fontId="5" fillId="0" borderId="1" xfId="2" applyFont="1" applyBorder="1" applyAlignment="1">
      <alignment horizontal="center" vertical="top" wrapText="1"/>
    </xf>
    <xf numFmtId="165" fontId="4" fillId="0" borderId="1" xfId="2" applyNumberFormat="1" applyFont="1" applyBorder="1" applyAlignment="1">
      <alignment horizontal="left" vertical="top" wrapText="1"/>
    </xf>
    <xf numFmtId="165" fontId="4" fillId="0" borderId="1" xfId="2" applyNumberFormat="1" applyFont="1" applyBorder="1" applyAlignment="1">
      <alignment horizontal="center" vertical="top" wrapText="1"/>
    </xf>
    <xf numFmtId="0" fontId="4" fillId="0" borderId="4" xfId="0" applyFont="1" applyBorder="1" applyAlignment="1">
      <alignment vertical="top" wrapText="1"/>
    </xf>
    <xf numFmtId="0" fontId="4" fillId="0" borderId="2" xfId="0" applyFont="1" applyBorder="1" applyAlignment="1">
      <alignment vertical="top" wrapText="1"/>
    </xf>
    <xf numFmtId="0" fontId="4" fillId="0" borderId="3" xfId="0" applyFont="1" applyBorder="1" applyAlignment="1">
      <alignment vertical="top" wrapText="1"/>
    </xf>
    <xf numFmtId="165" fontId="5" fillId="0" borderId="1" xfId="2" applyNumberFormat="1" applyFont="1" applyBorder="1" applyAlignment="1">
      <alignment horizontal="center" vertical="top" wrapText="1"/>
    </xf>
    <xf numFmtId="2" fontId="5" fillId="0" borderId="1" xfId="0" applyNumberFormat="1" applyFont="1" applyBorder="1" applyAlignment="1">
      <alignment horizontal="center" vertical="top" wrapText="1"/>
    </xf>
    <xf numFmtId="0" fontId="9" fillId="0" borderId="1" xfId="0" applyFont="1" applyBorder="1" applyAlignment="1">
      <alignment horizontal="center" vertical="top" wrapText="1"/>
    </xf>
    <xf numFmtId="0" fontId="9" fillId="0" borderId="1" xfId="0" applyFont="1" applyBorder="1" applyAlignment="1">
      <alignment horizontal="right" vertical="top" wrapText="1"/>
    </xf>
    <xf numFmtId="0" fontId="5" fillId="0" borderId="1" xfId="0" applyFont="1" applyBorder="1" applyAlignment="1">
      <alignment horizontal="center" vertical="top" wrapText="1"/>
    </xf>
    <xf numFmtId="0" fontId="4" fillId="0" borderId="1" xfId="2" applyFont="1" applyBorder="1" applyAlignment="1">
      <alignment horizontal="left" vertical="top" wrapText="1"/>
    </xf>
    <xf numFmtId="0" fontId="2" fillId="0" borderId="4" xfId="0" applyFont="1" applyBorder="1"/>
    <xf numFmtId="0" fontId="2" fillId="0" borderId="2" xfId="0" applyFont="1" applyBorder="1"/>
    <xf numFmtId="0" fontId="2" fillId="0" borderId="3" xfId="0" applyFont="1" applyBorder="1"/>
    <xf numFmtId="164" fontId="2" fillId="0" borderId="2" xfId="0" applyNumberFormat="1" applyFont="1" applyBorder="1"/>
    <xf numFmtId="43" fontId="2" fillId="6" borderId="1" xfId="1" applyFont="1" applyFill="1" applyBorder="1"/>
    <xf numFmtId="164" fontId="2" fillId="6" borderId="2" xfId="0" applyNumberFormat="1" applyFont="1" applyFill="1" applyBorder="1"/>
    <xf numFmtId="0" fontId="2" fillId="6" borderId="3" xfId="0" applyFont="1" applyFill="1" applyBorder="1"/>
    <xf numFmtId="43" fontId="2" fillId="7" borderId="1" xfId="1" applyFont="1" applyFill="1" applyBorder="1"/>
    <xf numFmtId="0" fontId="3" fillId="7" borderId="1" xfId="0" applyFont="1" applyFill="1" applyBorder="1"/>
    <xf numFmtId="43" fontId="2" fillId="10" borderId="1" xfId="1" applyFont="1" applyFill="1" applyBorder="1"/>
    <xf numFmtId="0" fontId="2" fillId="0" borderId="6" xfId="0" applyFont="1" applyBorder="1"/>
    <xf numFmtId="0" fontId="4" fillId="0" borderId="0" xfId="0" applyFont="1" applyAlignment="1">
      <alignment vertical="top" wrapText="1"/>
    </xf>
    <xf numFmtId="0" fontId="4" fillId="11" borderId="1" xfId="0" applyFont="1" applyFill="1" applyBorder="1" applyAlignment="1">
      <alignment vertical="center"/>
    </xf>
    <xf numFmtId="0" fontId="4" fillId="11" borderId="1" xfId="2" applyFont="1" applyFill="1" applyBorder="1" applyAlignment="1">
      <alignment horizontal="left" vertical="center" wrapText="1"/>
    </xf>
    <xf numFmtId="0" fontId="4" fillId="11" borderId="1" xfId="2" applyFont="1" applyFill="1" applyBorder="1" applyAlignment="1">
      <alignment horizontal="right" vertical="center" wrapText="1"/>
    </xf>
    <xf numFmtId="0" fontId="5" fillId="11" borderId="1" xfId="0" applyFont="1" applyFill="1" applyBorder="1" applyAlignment="1">
      <alignment vertical="center"/>
    </xf>
    <xf numFmtId="0" fontId="4" fillId="11" borderId="1" xfId="0" applyFont="1" applyFill="1" applyBorder="1" applyAlignment="1">
      <alignment vertical="center" wrapText="1"/>
    </xf>
    <xf numFmtId="3" fontId="4" fillId="12" borderId="1" xfId="0" applyNumberFormat="1" applyFont="1" applyFill="1" applyBorder="1" applyAlignment="1">
      <alignment horizontal="right" vertical="center"/>
    </xf>
    <xf numFmtId="3" fontId="4" fillId="11" borderId="1" xfId="0" applyNumberFormat="1" applyFont="1" applyFill="1" applyBorder="1" applyAlignment="1">
      <alignment horizontal="right" vertical="center"/>
    </xf>
    <xf numFmtId="3" fontId="4" fillId="11" borderId="1" xfId="0" applyNumberFormat="1" applyFont="1" applyFill="1" applyBorder="1" applyAlignment="1">
      <alignment vertical="center"/>
    </xf>
    <xf numFmtId="0" fontId="4" fillId="11" borderId="1" xfId="0" applyFont="1" applyFill="1" applyBorder="1"/>
    <xf numFmtId="3" fontId="4" fillId="11" borderId="1" xfId="0" applyNumberFormat="1" applyFont="1" applyFill="1" applyBorder="1"/>
    <xf numFmtId="0" fontId="4" fillId="11" borderId="0" xfId="0" applyFont="1" applyFill="1"/>
    <xf numFmtId="0" fontId="3" fillId="6" borderId="1" xfId="0" applyFont="1" applyFill="1" applyBorder="1"/>
    <xf numFmtId="43" fontId="3" fillId="7" borderId="1" xfId="1" applyFont="1" applyFill="1" applyBorder="1"/>
    <xf numFmtId="43" fontId="2" fillId="4" borderId="1" xfId="1" applyFont="1" applyFill="1" applyBorder="1"/>
    <xf numFmtId="164" fontId="2" fillId="13" borderId="1" xfId="1" applyNumberFormat="1" applyFont="1" applyFill="1" applyBorder="1"/>
    <xf numFmtId="0" fontId="5" fillId="5" borderId="1" xfId="0" applyFont="1" applyFill="1" applyBorder="1" applyAlignment="1">
      <alignment horizontal="left"/>
    </xf>
    <xf numFmtId="0" fontId="5" fillId="0" borderId="1" xfId="0" applyFont="1" applyBorder="1" applyAlignment="1">
      <alignment horizontal="right" wrapText="1"/>
    </xf>
    <xf numFmtId="0" fontId="5" fillId="4" borderId="0" xfId="0" applyFont="1" applyFill="1" applyAlignment="1">
      <alignment horizontal="center" vertical="center" wrapText="1"/>
    </xf>
    <xf numFmtId="3" fontId="6" fillId="5" borderId="1" xfId="0" applyNumberFormat="1" applyFont="1" applyFill="1" applyBorder="1"/>
    <xf numFmtId="3" fontId="5" fillId="5" borderId="1" xfId="0" applyNumberFormat="1" applyFont="1" applyFill="1" applyBorder="1"/>
    <xf numFmtId="0" fontId="4" fillId="4" borderId="0" xfId="0" applyFont="1" applyFill="1" applyAlignment="1">
      <alignment horizontal="center" vertical="center" wrapText="1"/>
    </xf>
    <xf numFmtId="0" fontId="4" fillId="13" borderId="1" xfId="0" applyFont="1" applyFill="1" applyBorder="1"/>
    <xf numFmtId="0" fontId="2" fillId="13" borderId="1" xfId="0" applyFont="1" applyFill="1" applyBorder="1"/>
    <xf numFmtId="0" fontId="5" fillId="14" borderId="1" xfId="0" applyFont="1" applyFill="1" applyBorder="1" applyAlignment="1">
      <alignment horizontal="left"/>
    </xf>
    <xf numFmtId="0" fontId="5" fillId="0" borderId="0" xfId="0" applyFont="1" applyAlignment="1">
      <alignment horizontal="center" vertical="center"/>
    </xf>
    <xf numFmtId="0" fontId="4" fillId="10" borderId="1" xfId="0" applyFont="1" applyFill="1" applyBorder="1"/>
    <xf numFmtId="0" fontId="4" fillId="0" borderId="0" xfId="0" applyFont="1" applyAlignment="1">
      <alignment horizontal="left" wrapText="1"/>
    </xf>
    <xf numFmtId="0" fontId="4" fillId="10" borderId="1" xfId="0" applyFont="1" applyFill="1" applyBorder="1" applyAlignment="1">
      <alignment horizontal="left"/>
    </xf>
    <xf numFmtId="0" fontId="5" fillId="15" borderId="1" xfId="0" applyFont="1" applyFill="1" applyBorder="1" applyAlignment="1">
      <alignment horizontal="left"/>
    </xf>
    <xf numFmtId="43" fontId="8" fillId="0" borderId="1" xfId="1" applyFont="1" applyBorder="1"/>
    <xf numFmtId="43" fontId="8" fillId="10" borderId="1" xfId="1" applyFont="1" applyFill="1" applyBorder="1"/>
    <xf numFmtId="0" fontId="8" fillId="0" borderId="0" xfId="0" applyFont="1" applyAlignment="1">
      <alignment horizontal="right"/>
    </xf>
    <xf numFmtId="43" fontId="8" fillId="10" borderId="0" xfId="1" applyFont="1" applyFill="1" applyBorder="1"/>
    <xf numFmtId="0" fontId="2" fillId="0" borderId="0" xfId="0" applyFont="1" applyAlignment="1">
      <alignment horizontal="right"/>
    </xf>
    <xf numFmtId="43" fontId="2" fillId="0" borderId="0" xfId="0" applyNumberFormat="1" applyFont="1"/>
    <xf numFmtId="166" fontId="2" fillId="0" borderId="0" xfId="0" applyNumberFormat="1" applyFont="1"/>
    <xf numFmtId="0" fontId="5" fillId="0" borderId="0" xfId="0" applyFont="1" applyAlignment="1">
      <alignment horizontal="left"/>
    </xf>
    <xf numFmtId="43" fontId="5" fillId="0" borderId="0" xfId="0" applyNumberFormat="1" applyFont="1"/>
    <xf numFmtId="0" fontId="5" fillId="0" borderId="0" xfId="0" applyFont="1" applyAlignment="1">
      <alignment horizontal="left" indent="1"/>
    </xf>
    <xf numFmtId="43" fontId="5" fillId="0" borderId="0" xfId="1" applyFont="1"/>
    <xf numFmtId="0" fontId="8" fillId="0" borderId="0" xfId="0" applyFont="1" applyAlignment="1">
      <alignment horizontal="center"/>
    </xf>
    <xf numFmtId="0" fontId="5" fillId="0" borderId="0" xfId="0" applyFont="1" applyAlignment="1">
      <alignment horizontal="right"/>
    </xf>
    <xf numFmtId="43" fontId="12" fillId="0" borderId="0" xfId="1" applyFont="1" applyFill="1"/>
    <xf numFmtId="0" fontId="0" fillId="0" borderId="0" xfId="0" pivotButton="1"/>
    <xf numFmtId="0" fontId="0" fillId="0" borderId="0" xfId="0" applyAlignment="1">
      <alignment horizontal="left"/>
    </xf>
    <xf numFmtId="0" fontId="0" fillId="0" borderId="0" xfId="0" applyAlignment="1">
      <alignment horizontal="left" indent="1"/>
    </xf>
    <xf numFmtId="0" fontId="5" fillId="0" borderId="0" xfId="0" pivotButton="1" applyFont="1"/>
    <xf numFmtId="0" fontId="0" fillId="0" borderId="0" xfId="0" applyAlignment="1">
      <alignment wrapText="1"/>
    </xf>
    <xf numFmtId="0" fontId="0" fillId="17" borderId="0" xfId="0" applyFill="1"/>
    <xf numFmtId="3" fontId="0" fillId="0" borderId="0" xfId="0" applyNumberFormat="1"/>
    <xf numFmtId="0" fontId="0" fillId="16" borderId="0" xfId="0" applyFill="1"/>
    <xf numFmtId="4" fontId="0" fillId="0" borderId="0" xfId="0" applyNumberFormat="1"/>
    <xf numFmtId="0" fontId="0" fillId="0" borderId="0" xfId="0" applyAlignment="1">
      <alignment horizontal="left" indent="2"/>
    </xf>
    <xf numFmtId="0" fontId="0" fillId="0" borderId="0" xfId="0" applyAlignment="1">
      <alignment horizontal="left" indent="3"/>
    </xf>
    <xf numFmtId="10" fontId="0" fillId="0" borderId="0" xfId="0" applyNumberFormat="1"/>
    <xf numFmtId="4" fontId="12" fillId="0" borderId="0" xfId="0" applyNumberFormat="1" applyFont="1"/>
    <xf numFmtId="0" fontId="0" fillId="2" borderId="0" xfId="0" applyFill="1" applyAlignment="1">
      <alignment horizontal="center"/>
    </xf>
    <xf numFmtId="4" fontId="0" fillId="0" borderId="0" xfId="0" applyNumberFormat="1" applyAlignment="1">
      <alignment horizontal="center"/>
    </xf>
    <xf numFmtId="0" fontId="0" fillId="0" borderId="0" xfId="0" applyAlignment="1">
      <alignment horizontal="center"/>
    </xf>
    <xf numFmtId="0" fontId="19" fillId="0" borderId="0" xfId="0" applyFont="1" applyAlignment="1">
      <alignment horizontal="center" vertical="center" wrapText="1"/>
    </xf>
    <xf numFmtId="0" fontId="19" fillId="0" borderId="0" xfId="0" applyFont="1" applyAlignment="1">
      <alignment vertical="center" wrapText="1"/>
    </xf>
    <xf numFmtId="0" fontId="21" fillId="0" borderId="0" xfId="0" applyFont="1" applyAlignment="1">
      <alignment horizontal="center" vertical="center" wrapText="1"/>
    </xf>
    <xf numFmtId="0" fontId="19" fillId="11" borderId="0" xfId="0" applyFont="1" applyFill="1" applyAlignment="1">
      <alignment vertical="center" wrapText="1"/>
    </xf>
    <xf numFmtId="0" fontId="19" fillId="0" borderId="0" xfId="0" applyFont="1" applyAlignment="1">
      <alignment vertical="center"/>
    </xf>
    <xf numFmtId="0" fontId="19" fillId="0" borderId="1" xfId="0" applyFont="1" applyBorder="1" applyAlignment="1">
      <alignment vertical="center" wrapText="1"/>
    </xf>
    <xf numFmtId="0" fontId="19" fillId="0" borderId="1" xfId="0" applyFont="1" applyBorder="1" applyAlignment="1">
      <alignment horizontal="center" vertical="center" wrapText="1"/>
    </xf>
    <xf numFmtId="0" fontId="21" fillId="0" borderId="1" xfId="0" applyFont="1" applyBorder="1" applyAlignment="1">
      <alignment horizontal="center" vertical="center" wrapText="1"/>
    </xf>
    <xf numFmtId="0" fontId="19" fillId="0" borderId="1" xfId="0" applyFont="1" applyBorder="1" applyAlignment="1">
      <alignment horizontal="left" vertical="center" wrapText="1"/>
    </xf>
    <xf numFmtId="0" fontId="21" fillId="11" borderId="1" xfId="0" applyFont="1" applyFill="1" applyBorder="1" applyAlignment="1">
      <alignment horizontal="center" vertical="center" wrapText="1"/>
    </xf>
    <xf numFmtId="0" fontId="19" fillId="9" borderId="1" xfId="0" applyFont="1" applyFill="1" applyBorder="1" applyAlignment="1">
      <alignment horizontal="center" vertical="center" wrapText="1"/>
    </xf>
    <xf numFmtId="0" fontId="19" fillId="7" borderId="1" xfId="0" applyFont="1" applyFill="1" applyBorder="1" applyAlignment="1">
      <alignment horizontal="center" vertical="center" wrapText="1"/>
    </xf>
    <xf numFmtId="0" fontId="21" fillId="0" borderId="1" xfId="0" applyFont="1" applyBorder="1" applyAlignment="1">
      <alignment horizontal="left" vertical="center" wrapText="1"/>
    </xf>
    <xf numFmtId="0" fontId="20" fillId="7" borderId="1" xfId="0" applyFont="1" applyFill="1" applyBorder="1" applyAlignment="1">
      <alignment horizontal="center" vertical="center" wrapText="1"/>
    </xf>
    <xf numFmtId="0" fontId="22" fillId="7" borderId="1" xfId="0" applyFont="1" applyFill="1" applyBorder="1" applyAlignment="1">
      <alignment horizontal="center" vertical="center" wrapText="1"/>
    </xf>
    <xf numFmtId="3" fontId="20" fillId="7" borderId="1" xfId="0" applyNumberFormat="1" applyFont="1" applyFill="1" applyBorder="1" applyAlignment="1">
      <alignment horizontal="center" vertical="center" wrapText="1"/>
    </xf>
    <xf numFmtId="0" fontId="20" fillId="7" borderId="0" xfId="0" applyFont="1" applyFill="1" applyAlignment="1">
      <alignment horizontal="center" vertical="center" wrapText="1"/>
    </xf>
    <xf numFmtId="0" fontId="21" fillId="0" borderId="1" xfId="0" applyFont="1" applyBorder="1" applyAlignment="1">
      <alignment vertical="center" wrapText="1"/>
    </xf>
    <xf numFmtId="0" fontId="21" fillId="18" borderId="1" xfId="0" applyFont="1" applyFill="1" applyBorder="1" applyAlignment="1">
      <alignment horizontal="center" vertical="center" wrapText="1"/>
    </xf>
    <xf numFmtId="0" fontId="19" fillId="18" borderId="1" xfId="0" applyFont="1" applyFill="1" applyBorder="1" applyAlignment="1">
      <alignment horizontal="center" vertical="center" wrapText="1"/>
    </xf>
    <xf numFmtId="3" fontId="19" fillId="0" borderId="1" xfId="0" applyNumberFormat="1" applyFont="1" applyBorder="1" applyAlignment="1">
      <alignment horizontal="right" vertical="center" wrapText="1"/>
    </xf>
    <xf numFmtId="164" fontId="19" fillId="0" borderId="1" xfId="1" applyNumberFormat="1" applyFont="1" applyFill="1" applyBorder="1" applyAlignment="1">
      <alignment horizontal="center" vertical="center" wrapText="1"/>
    </xf>
    <xf numFmtId="0" fontId="19" fillId="0" borderId="0" xfId="0" applyFont="1" applyAlignment="1">
      <alignment horizontal="left" vertical="center" wrapText="1"/>
    </xf>
    <xf numFmtId="3" fontId="19" fillId="0" borderId="0" xfId="0" applyNumberFormat="1" applyFont="1" applyAlignment="1">
      <alignment horizontal="right" vertical="center" wrapText="1"/>
    </xf>
    <xf numFmtId="0" fontId="25" fillId="0" borderId="0" xfId="0" applyFont="1" applyAlignment="1">
      <alignment horizontal="center" vertical="center" wrapText="1"/>
    </xf>
    <xf numFmtId="0" fontId="26" fillId="7" borderId="1" xfId="0" applyFont="1" applyFill="1" applyBorder="1" applyAlignment="1">
      <alignment horizontal="center" vertical="center" wrapText="1"/>
    </xf>
    <xf numFmtId="164" fontId="19" fillId="0" borderId="1" xfId="1" applyNumberFormat="1" applyFont="1" applyFill="1" applyBorder="1" applyAlignment="1">
      <alignment horizontal="right" vertical="center" wrapText="1"/>
    </xf>
    <xf numFmtId="164" fontId="19" fillId="11" borderId="1" xfId="1" applyNumberFormat="1" applyFont="1" applyFill="1" applyBorder="1" applyAlignment="1">
      <alignment horizontal="right" vertical="center" wrapText="1"/>
    </xf>
    <xf numFmtId="3" fontId="24" fillId="0" borderId="0" xfId="0" applyNumberFormat="1" applyFont="1" applyAlignment="1">
      <alignment horizontal="right"/>
    </xf>
    <xf numFmtId="3" fontId="17" fillId="7" borderId="1" xfId="0" applyNumberFormat="1" applyFont="1" applyFill="1" applyBorder="1" applyAlignment="1">
      <alignment horizontal="right" vertical="center"/>
    </xf>
    <xf numFmtId="0" fontId="17" fillId="7" borderId="1" xfId="0" applyFont="1" applyFill="1" applyBorder="1" applyAlignment="1">
      <alignment horizontal="right" vertical="center" wrapText="1"/>
    </xf>
    <xf numFmtId="0" fontId="21" fillId="7" borderId="1" xfId="0" applyFont="1" applyFill="1" applyBorder="1" applyAlignment="1">
      <alignment horizontal="center" vertical="center" wrapText="1"/>
    </xf>
    <xf numFmtId="0" fontId="25" fillId="7" borderId="1" xfId="0" applyFont="1" applyFill="1" applyBorder="1" applyAlignment="1">
      <alignment horizontal="center" vertical="center" wrapText="1"/>
    </xf>
    <xf numFmtId="0" fontId="19" fillId="7" borderId="1" xfId="0" applyFont="1" applyFill="1" applyBorder="1" applyAlignment="1">
      <alignment horizontal="left" vertical="center" wrapText="1"/>
    </xf>
    <xf numFmtId="0" fontId="29" fillId="0" borderId="0" xfId="0" applyFont="1" applyAlignment="1">
      <alignment vertical="center" wrapText="1"/>
    </xf>
    <xf numFmtId="0" fontId="32" fillId="6" borderId="1" xfId="0" applyFont="1" applyFill="1" applyBorder="1" applyAlignment="1">
      <alignment horizontal="center" vertical="center" wrapText="1"/>
    </xf>
    <xf numFmtId="0" fontId="33" fillId="6" borderId="1" xfId="0" applyFont="1" applyFill="1" applyBorder="1" applyAlignment="1">
      <alignment horizontal="center" vertical="center" wrapText="1"/>
    </xf>
    <xf numFmtId="0" fontId="34" fillId="6" borderId="1" xfId="0" applyFont="1" applyFill="1" applyBorder="1" applyAlignment="1">
      <alignment horizontal="center" vertical="center" wrapText="1"/>
    </xf>
    <xf numFmtId="0" fontId="33" fillId="6" borderId="1" xfId="0" applyFont="1" applyFill="1" applyBorder="1" applyAlignment="1">
      <alignment horizontal="right" vertical="center" wrapText="1"/>
    </xf>
    <xf numFmtId="0" fontId="34" fillId="6" borderId="0" xfId="0" applyFont="1" applyFill="1" applyAlignment="1">
      <alignment vertical="center" wrapText="1"/>
    </xf>
    <xf numFmtId="0" fontId="34" fillId="6" borderId="0" xfId="0" applyFont="1" applyFill="1" applyAlignment="1">
      <alignment vertical="center"/>
    </xf>
    <xf numFmtId="0" fontId="32" fillId="2" borderId="1" xfId="0" applyFont="1" applyFill="1" applyBorder="1" applyAlignment="1">
      <alignment horizontal="center" vertical="center" wrapText="1"/>
    </xf>
    <xf numFmtId="0" fontId="33" fillId="2" borderId="1" xfId="0" applyFont="1" applyFill="1" applyBorder="1" applyAlignment="1">
      <alignment horizontal="center" vertical="center" wrapText="1"/>
    </xf>
    <xf numFmtId="0" fontId="34" fillId="2" borderId="1" xfId="0" applyFont="1" applyFill="1" applyBorder="1" applyAlignment="1">
      <alignment horizontal="center" vertical="center" wrapText="1"/>
    </xf>
    <xf numFmtId="0" fontId="33" fillId="2" borderId="1" xfId="0" applyFont="1" applyFill="1" applyBorder="1" applyAlignment="1">
      <alignment horizontal="right" vertical="center" wrapText="1"/>
    </xf>
    <xf numFmtId="0" fontId="34" fillId="2" borderId="0" xfId="0" applyFont="1" applyFill="1" applyAlignment="1">
      <alignment vertical="center" wrapText="1"/>
    </xf>
    <xf numFmtId="0" fontId="34" fillId="2" borderId="0" xfId="0" applyFont="1" applyFill="1" applyAlignment="1">
      <alignment vertical="center"/>
    </xf>
    <xf numFmtId="0" fontId="32" fillId="11" borderId="1" xfId="0" applyFont="1" applyFill="1" applyBorder="1" applyAlignment="1">
      <alignment horizontal="center" vertical="center" wrapText="1"/>
    </xf>
    <xf numFmtId="0" fontId="33" fillId="11" borderId="1" xfId="0" applyFont="1" applyFill="1" applyBorder="1" applyAlignment="1">
      <alignment horizontal="center" vertical="center" wrapText="1"/>
    </xf>
    <xf numFmtId="0" fontId="34" fillId="11" borderId="1" xfId="0" applyFont="1" applyFill="1" applyBorder="1" applyAlignment="1">
      <alignment horizontal="center" vertical="center" wrapText="1"/>
    </xf>
    <xf numFmtId="0" fontId="33" fillId="11" borderId="1" xfId="0" applyFont="1" applyFill="1" applyBorder="1" applyAlignment="1">
      <alignment horizontal="right" vertical="center" wrapText="1"/>
    </xf>
    <xf numFmtId="0" fontId="34" fillId="11" borderId="0" xfId="0" applyFont="1" applyFill="1" applyAlignment="1">
      <alignment vertical="center" wrapText="1"/>
    </xf>
    <xf numFmtId="0" fontId="34" fillId="11" borderId="0" xfId="0" applyFont="1" applyFill="1" applyAlignment="1">
      <alignment vertical="center"/>
    </xf>
    <xf numFmtId="43" fontId="0" fillId="0" borderId="0" xfId="1" applyFont="1"/>
    <xf numFmtId="4" fontId="0" fillId="0" borderId="0" xfId="0" pivotButton="1" applyNumberFormat="1"/>
    <xf numFmtId="4" fontId="0" fillId="0" borderId="0" xfId="1" applyNumberFormat="1" applyFont="1"/>
    <xf numFmtId="3" fontId="33" fillId="6" borderId="1" xfId="0" applyNumberFormat="1" applyFont="1" applyFill="1" applyBorder="1" applyAlignment="1">
      <alignment horizontal="right" vertical="center" wrapText="1"/>
    </xf>
    <xf numFmtId="3" fontId="33" fillId="2" borderId="1" xfId="0" applyNumberFormat="1" applyFont="1" applyFill="1" applyBorder="1" applyAlignment="1">
      <alignment horizontal="right" vertical="center" wrapText="1"/>
    </xf>
    <xf numFmtId="4" fontId="0" fillId="11" borderId="0" xfId="0" applyNumberFormat="1" applyFill="1"/>
    <xf numFmtId="3" fontId="33" fillId="11" borderId="1" xfId="0" applyNumberFormat="1" applyFont="1" applyFill="1" applyBorder="1" applyAlignment="1">
      <alignment horizontal="right" vertical="center" wrapText="1"/>
    </xf>
    <xf numFmtId="0" fontId="32" fillId="0" borderId="1" xfId="0" applyFont="1" applyBorder="1" applyAlignment="1">
      <alignment horizontal="center" vertical="center" wrapText="1"/>
    </xf>
    <xf numFmtId="4" fontId="32" fillId="11" borderId="0" xfId="0" applyNumberFormat="1" applyFont="1" applyFill="1" applyAlignment="1">
      <alignment horizontal="right" vertical="center" wrapText="1"/>
    </xf>
    <xf numFmtId="0" fontId="18" fillId="0" borderId="1" xfId="0" applyFont="1" applyBorder="1" applyAlignment="1">
      <alignment horizontal="center" vertical="center" wrapText="1"/>
    </xf>
    <xf numFmtId="0" fontId="18" fillId="11" borderId="1" xfId="0" applyFont="1" applyFill="1" applyBorder="1" applyAlignment="1">
      <alignment horizontal="center" vertical="center" wrapText="1"/>
    </xf>
    <xf numFmtId="4" fontId="33" fillId="11" borderId="1" xfId="0" applyNumberFormat="1" applyFont="1" applyFill="1" applyBorder="1" applyAlignment="1">
      <alignment horizontal="right" vertical="center" wrapText="1"/>
    </xf>
    <xf numFmtId="0" fontId="18" fillId="0" borderId="1" xfId="0" applyFont="1" applyBorder="1" applyAlignment="1">
      <alignment horizontal="left" vertical="center" wrapText="1"/>
    </xf>
    <xf numFmtId="3" fontId="32" fillId="11" borderId="1" xfId="0" applyNumberFormat="1" applyFont="1" applyFill="1" applyBorder="1" applyAlignment="1">
      <alignment horizontal="right" vertical="center" wrapText="1"/>
    </xf>
    <xf numFmtId="0" fontId="18" fillId="11" borderId="0" xfId="0" applyFont="1" applyFill="1" applyAlignment="1">
      <alignment vertical="center" wrapText="1"/>
    </xf>
    <xf numFmtId="0" fontId="18" fillId="0" borderId="0" xfId="0" applyFont="1" applyAlignment="1">
      <alignment vertical="center" wrapText="1"/>
    </xf>
    <xf numFmtId="0" fontId="18" fillId="11" borderId="1" xfId="0" applyFont="1" applyFill="1" applyBorder="1" applyAlignment="1">
      <alignment horizontal="left" vertical="center" wrapText="1"/>
    </xf>
    <xf numFmtId="0" fontId="18" fillId="0" borderId="0" xfId="0" applyFont="1" applyAlignment="1">
      <alignment vertical="center"/>
    </xf>
    <xf numFmtId="0" fontId="18" fillId="11" borderId="0" xfId="0" applyFont="1" applyFill="1" applyAlignment="1">
      <alignment vertical="center"/>
    </xf>
    <xf numFmtId="0" fontId="18" fillId="0" borderId="1" xfId="0" applyFont="1" applyBorder="1" applyAlignment="1">
      <alignment vertical="center" wrapText="1"/>
    </xf>
    <xf numFmtId="0" fontId="18" fillId="11" borderId="1" xfId="0" applyFont="1" applyFill="1" applyBorder="1" applyAlignment="1">
      <alignment vertical="center" wrapText="1"/>
    </xf>
    <xf numFmtId="3" fontId="32" fillId="11" borderId="1" xfId="1" applyNumberFormat="1" applyFont="1" applyFill="1" applyBorder="1" applyAlignment="1">
      <alignment horizontal="right" vertical="center" wrapText="1"/>
    </xf>
    <xf numFmtId="3" fontId="32" fillId="11" borderId="1" xfId="1" applyNumberFormat="1" applyFont="1" applyFill="1" applyBorder="1" applyAlignment="1" applyProtection="1">
      <alignment horizontal="right" vertical="center" wrapText="1"/>
      <protection locked="0"/>
    </xf>
    <xf numFmtId="0" fontId="32" fillId="11" borderId="1" xfId="0" applyFont="1" applyFill="1" applyBorder="1" applyAlignment="1" applyProtection="1">
      <alignment horizontal="center" vertical="center" wrapText="1"/>
      <protection locked="0"/>
    </xf>
    <xf numFmtId="0" fontId="32" fillId="0" borderId="1" xfId="0" applyFont="1" applyBorder="1" applyAlignment="1">
      <alignment vertical="center" wrapText="1"/>
    </xf>
    <xf numFmtId="0" fontId="32" fillId="11" borderId="0" xfId="0" applyFont="1" applyFill="1" applyAlignment="1">
      <alignment vertical="center" wrapText="1"/>
    </xf>
    <xf numFmtId="0" fontId="32" fillId="0" borderId="0" xfId="0" applyFont="1" applyAlignment="1">
      <alignment vertical="center" wrapText="1"/>
    </xf>
    <xf numFmtId="0" fontId="32" fillId="0" borderId="0" xfId="0" applyFont="1" applyAlignment="1">
      <alignment vertical="center"/>
    </xf>
    <xf numFmtId="0" fontId="32" fillId="11" borderId="1" xfId="0" applyFont="1" applyFill="1" applyBorder="1" applyAlignment="1">
      <alignment horizontal="left" vertical="center" wrapText="1"/>
    </xf>
    <xf numFmtId="0" fontId="18" fillId="0" borderId="0" xfId="0" applyFont="1" applyAlignment="1">
      <alignment horizontal="center" vertical="center" wrapText="1"/>
    </xf>
    <xf numFmtId="0" fontId="32" fillId="0" borderId="0" xfId="0" applyFont="1" applyAlignment="1">
      <alignment horizontal="center" vertical="center" wrapText="1"/>
    </xf>
    <xf numFmtId="0" fontId="18" fillId="0" borderId="0" xfId="0" applyFont="1" applyAlignment="1">
      <alignment horizontal="left" vertical="center" wrapText="1"/>
    </xf>
    <xf numFmtId="3" fontId="18" fillId="0" borderId="0" xfId="0" applyNumberFormat="1" applyFont="1" applyAlignment="1">
      <alignment horizontal="right" vertical="center" wrapText="1"/>
    </xf>
    <xf numFmtId="0" fontId="19" fillId="11" borderId="1" xfId="0" applyFont="1" applyFill="1" applyBorder="1" applyAlignment="1">
      <alignment horizontal="center" vertical="center" wrapText="1"/>
    </xf>
    <xf numFmtId="0" fontId="20" fillId="6" borderId="1" xfId="0" applyFont="1" applyFill="1" applyBorder="1" applyAlignment="1">
      <alignment horizontal="center" vertical="center" wrapText="1"/>
    </xf>
    <xf numFmtId="0" fontId="20" fillId="4" borderId="1" xfId="0" applyFont="1" applyFill="1" applyBorder="1" applyAlignment="1">
      <alignment horizontal="center" vertical="center" wrapText="1"/>
    </xf>
    <xf numFmtId="0" fontId="20" fillId="2" borderId="1" xfId="0" applyFont="1" applyFill="1" applyBorder="1" applyAlignment="1">
      <alignment horizontal="center" vertical="center" wrapText="1"/>
    </xf>
    <xf numFmtId="0" fontId="20" fillId="11" borderId="1" xfId="0" applyFont="1" applyFill="1" applyBorder="1" applyAlignment="1">
      <alignment horizontal="center" vertical="center" wrapText="1"/>
    </xf>
    <xf numFmtId="0" fontId="32" fillId="19" borderId="1" xfId="0" applyFont="1" applyFill="1" applyBorder="1" applyAlignment="1">
      <alignment horizontal="center" vertical="center" wrapText="1"/>
    </xf>
    <xf numFmtId="0" fontId="33" fillId="19" borderId="1" xfId="0" applyFont="1" applyFill="1" applyBorder="1" applyAlignment="1">
      <alignment horizontal="center" vertical="center" wrapText="1"/>
    </xf>
    <xf numFmtId="0" fontId="34" fillId="19" borderId="1" xfId="0" applyFont="1" applyFill="1" applyBorder="1" applyAlignment="1">
      <alignment horizontal="center" vertical="center" wrapText="1"/>
    </xf>
    <xf numFmtId="0" fontId="20" fillId="19" borderId="1" xfId="0" applyFont="1" applyFill="1" applyBorder="1" applyAlignment="1">
      <alignment horizontal="center" vertical="center" wrapText="1"/>
    </xf>
    <xf numFmtId="0" fontId="33" fillId="19" borderId="1" xfId="0" applyFont="1" applyFill="1" applyBorder="1" applyAlignment="1">
      <alignment horizontal="right" vertical="center" wrapText="1"/>
    </xf>
    <xf numFmtId="3" fontId="33" fillId="19" borderId="1" xfId="0" applyNumberFormat="1" applyFont="1" applyFill="1" applyBorder="1" applyAlignment="1">
      <alignment horizontal="right" vertical="center" wrapText="1"/>
    </xf>
    <xf numFmtId="0" fontId="34" fillId="19" borderId="0" xfId="0" applyFont="1" applyFill="1" applyAlignment="1">
      <alignment vertical="center" wrapText="1"/>
    </xf>
    <xf numFmtId="0" fontId="34" fillId="19" borderId="0" xfId="0" applyFont="1" applyFill="1" applyAlignment="1">
      <alignment vertical="center"/>
    </xf>
    <xf numFmtId="0" fontId="22" fillId="2" borderId="1" xfId="0" applyFont="1" applyFill="1" applyBorder="1" applyAlignment="1">
      <alignment horizontal="center" vertical="center" wrapText="1"/>
    </xf>
    <xf numFmtId="0" fontId="21" fillId="19" borderId="1" xfId="0" applyFont="1" applyFill="1" applyBorder="1" applyAlignment="1">
      <alignment horizontal="center" vertical="center" wrapText="1"/>
    </xf>
    <xf numFmtId="0" fontId="32" fillId="3" borderId="1" xfId="0" applyFont="1" applyFill="1" applyBorder="1" applyAlignment="1">
      <alignment horizontal="center" vertical="center" wrapText="1"/>
    </xf>
    <xf numFmtId="0" fontId="21" fillId="3" borderId="1" xfId="0" applyFont="1" applyFill="1" applyBorder="1" applyAlignment="1">
      <alignment horizontal="center" vertical="center" wrapText="1"/>
    </xf>
    <xf numFmtId="0" fontId="28" fillId="4" borderId="1" xfId="0" applyFont="1" applyFill="1" applyBorder="1" applyAlignment="1">
      <alignment horizontal="center" vertical="center" wrapText="1"/>
    </xf>
    <xf numFmtId="0" fontId="17" fillId="4" borderId="1" xfId="0" applyFont="1" applyFill="1" applyBorder="1" applyAlignment="1">
      <alignment horizontal="center" vertical="center" wrapText="1"/>
    </xf>
    <xf numFmtId="3" fontId="28" fillId="4" borderId="1" xfId="0" applyNumberFormat="1" applyFont="1" applyFill="1" applyBorder="1" applyAlignment="1">
      <alignment horizontal="right" vertical="center" wrapText="1"/>
    </xf>
    <xf numFmtId="0" fontId="17" fillId="4" borderId="0" xfId="0" applyFont="1" applyFill="1" applyAlignment="1">
      <alignment vertical="center" wrapText="1"/>
    </xf>
    <xf numFmtId="0" fontId="17" fillId="4" borderId="0" xfId="0" applyFont="1" applyFill="1" applyAlignment="1">
      <alignment vertical="center"/>
    </xf>
    <xf numFmtId="0" fontId="28" fillId="4" borderId="1" xfId="0" applyFont="1" applyFill="1" applyBorder="1" applyAlignment="1">
      <alignment horizontal="right" vertical="center" wrapText="1"/>
    </xf>
    <xf numFmtId="0" fontId="20" fillId="20" borderId="1" xfId="0" applyFont="1" applyFill="1" applyBorder="1" applyAlignment="1">
      <alignment horizontal="center" vertical="center" wrapText="1"/>
    </xf>
    <xf numFmtId="0" fontId="17" fillId="20" borderId="1" xfId="0" applyFont="1" applyFill="1" applyBorder="1" applyAlignment="1">
      <alignment horizontal="center" vertical="center" wrapText="1"/>
    </xf>
    <xf numFmtId="0" fontId="28" fillId="20" borderId="1" xfId="0" applyFont="1" applyFill="1" applyBorder="1" applyAlignment="1">
      <alignment horizontal="center" vertical="center" wrapText="1"/>
    </xf>
    <xf numFmtId="3" fontId="28" fillId="20" borderId="1" xfId="0" applyNumberFormat="1" applyFont="1" applyFill="1" applyBorder="1" applyAlignment="1">
      <alignment horizontal="center" vertical="center" wrapText="1"/>
    </xf>
    <xf numFmtId="4" fontId="28" fillId="20" borderId="1" xfId="0" applyNumberFormat="1" applyFont="1" applyFill="1" applyBorder="1" applyAlignment="1">
      <alignment horizontal="center" vertical="center" wrapText="1"/>
    </xf>
    <xf numFmtId="0" fontId="17" fillId="20" borderId="0" xfId="0" applyFont="1" applyFill="1" applyAlignment="1">
      <alignment horizontal="center" vertical="center" wrapText="1"/>
    </xf>
    <xf numFmtId="0" fontId="20" fillId="21" borderId="1" xfId="0" applyFont="1" applyFill="1" applyBorder="1" applyAlignment="1">
      <alignment horizontal="center" vertical="center" wrapText="1"/>
    </xf>
    <xf numFmtId="0" fontId="32" fillId="21" borderId="1" xfId="0" applyFont="1" applyFill="1" applyBorder="1" applyAlignment="1">
      <alignment horizontal="center" vertical="center" wrapText="1"/>
    </xf>
    <xf numFmtId="0" fontId="33" fillId="21" borderId="1" xfId="0" applyFont="1" applyFill="1" applyBorder="1" applyAlignment="1">
      <alignment horizontal="center" vertical="center" wrapText="1"/>
    </xf>
    <xf numFmtId="0" fontId="34" fillId="21" borderId="1" xfId="0" applyFont="1" applyFill="1" applyBorder="1" applyAlignment="1">
      <alignment horizontal="center" vertical="center" wrapText="1"/>
    </xf>
    <xf numFmtId="0" fontId="33" fillId="21" borderId="1" xfId="0" applyFont="1" applyFill="1" applyBorder="1" applyAlignment="1">
      <alignment horizontal="right" vertical="center" wrapText="1"/>
    </xf>
    <xf numFmtId="3" fontId="33" fillId="21" borderId="1" xfId="0" applyNumberFormat="1" applyFont="1" applyFill="1" applyBorder="1" applyAlignment="1">
      <alignment horizontal="right" vertical="center" wrapText="1"/>
    </xf>
    <xf numFmtId="0" fontId="34" fillId="21" borderId="0" xfId="0" applyFont="1" applyFill="1" applyAlignment="1">
      <alignment vertical="center" wrapText="1"/>
    </xf>
    <xf numFmtId="0" fontId="34" fillId="21" borderId="0" xfId="0" applyFont="1" applyFill="1" applyAlignment="1">
      <alignment vertical="center"/>
    </xf>
    <xf numFmtId="0" fontId="20" fillId="22" borderId="1" xfId="0" applyFont="1" applyFill="1" applyBorder="1" applyAlignment="1">
      <alignment horizontal="center" vertical="center" wrapText="1"/>
    </xf>
    <xf numFmtId="0" fontId="32" fillId="22" borderId="1" xfId="0" applyFont="1" applyFill="1" applyBorder="1" applyAlignment="1">
      <alignment horizontal="center" vertical="center" wrapText="1"/>
    </xf>
    <xf numFmtId="0" fontId="22" fillId="22" borderId="1" xfId="0" applyFont="1" applyFill="1" applyBorder="1" applyAlignment="1">
      <alignment horizontal="center" vertical="center" wrapText="1"/>
    </xf>
    <xf numFmtId="0" fontId="33" fillId="22" borderId="1" xfId="0" applyFont="1" applyFill="1" applyBorder="1" applyAlignment="1">
      <alignment horizontal="center" vertical="center" wrapText="1"/>
    </xf>
    <xf numFmtId="0" fontId="34" fillId="22" borderId="1" xfId="0" applyFont="1" applyFill="1" applyBorder="1" applyAlignment="1">
      <alignment horizontal="center" vertical="center" wrapText="1"/>
    </xf>
    <xf numFmtId="0" fontId="33" fillId="22" borderId="1" xfId="0" applyFont="1" applyFill="1" applyBorder="1" applyAlignment="1">
      <alignment horizontal="right" vertical="center" wrapText="1"/>
    </xf>
    <xf numFmtId="3" fontId="33" fillId="22" borderId="1" xfId="0" applyNumberFormat="1" applyFont="1" applyFill="1" applyBorder="1" applyAlignment="1">
      <alignment horizontal="right" vertical="center" wrapText="1"/>
    </xf>
    <xf numFmtId="0" fontId="34" fillId="22" borderId="0" xfId="0" applyFont="1" applyFill="1" applyAlignment="1">
      <alignment vertical="center" wrapText="1"/>
    </xf>
    <xf numFmtId="0" fontId="34" fillId="22" borderId="0" xfId="0" applyFont="1" applyFill="1" applyAlignment="1">
      <alignment vertical="center"/>
    </xf>
    <xf numFmtId="0" fontId="21" fillId="22" borderId="1" xfId="0" applyFont="1" applyFill="1" applyBorder="1" applyAlignment="1">
      <alignment horizontal="center" vertical="center" wrapText="1"/>
    </xf>
    <xf numFmtId="4" fontId="29" fillId="0" borderId="0" xfId="0" applyNumberFormat="1" applyFont="1" applyAlignment="1">
      <alignment vertical="center" wrapText="1"/>
    </xf>
    <xf numFmtId="0" fontId="29" fillId="0" borderId="1" xfId="0" applyFont="1" applyBorder="1" applyAlignment="1">
      <alignment vertical="center" wrapText="1"/>
    </xf>
    <xf numFmtId="0" fontId="29" fillId="11" borderId="1" xfId="0" applyFont="1" applyFill="1" applyBorder="1" applyAlignment="1">
      <alignment vertical="center" wrapText="1"/>
    </xf>
    <xf numFmtId="0" fontId="38" fillId="0" borderId="0" xfId="0" applyFont="1" applyAlignment="1">
      <alignment horizontal="center" vertical="center" wrapText="1"/>
    </xf>
    <xf numFmtId="0" fontId="36" fillId="0" borderId="1" xfId="0" applyFont="1" applyBorder="1" applyAlignment="1">
      <alignment horizontal="center" vertical="center" wrapText="1"/>
    </xf>
    <xf numFmtId="0" fontId="36" fillId="0" borderId="0" xfId="0" applyFont="1" applyAlignment="1">
      <alignment horizontal="center" vertical="center" wrapText="1"/>
    </xf>
    <xf numFmtId="3" fontId="32" fillId="0" borderId="0" xfId="0" applyNumberFormat="1" applyFont="1" applyAlignment="1">
      <alignment horizontal="left" vertical="center" wrapText="1"/>
    </xf>
    <xf numFmtId="3" fontId="32" fillId="0" borderId="0" xfId="0" applyNumberFormat="1" applyFont="1" applyAlignment="1">
      <alignment horizontal="right" vertical="center" wrapText="1"/>
    </xf>
    <xf numFmtId="0" fontId="28" fillId="20" borderId="0" xfId="0" applyFont="1" applyFill="1" applyAlignment="1">
      <alignment horizontal="center" vertical="center" wrapText="1"/>
    </xf>
    <xf numFmtId="0" fontId="40" fillId="11" borderId="1" xfId="0" applyFont="1" applyFill="1" applyBorder="1" applyAlignment="1">
      <alignment horizontal="center" vertical="center" wrapText="1"/>
    </xf>
    <xf numFmtId="3" fontId="32" fillId="0" borderId="1" xfId="1" applyNumberFormat="1" applyFont="1" applyBorder="1" applyAlignment="1">
      <alignment horizontal="right" vertical="center" wrapText="1"/>
    </xf>
    <xf numFmtId="0" fontId="28" fillId="4" borderId="0" xfId="0" applyFont="1" applyFill="1" applyAlignment="1">
      <alignment vertical="center" wrapText="1"/>
    </xf>
    <xf numFmtId="0" fontId="33" fillId="21" borderId="0" xfId="0" applyFont="1" applyFill="1" applyAlignment="1">
      <alignment vertical="center" wrapText="1"/>
    </xf>
    <xf numFmtId="3" fontId="32" fillId="0" borderId="1" xfId="1" applyNumberFormat="1" applyFont="1" applyFill="1" applyBorder="1" applyAlignment="1">
      <alignment horizontal="right" vertical="center" wrapText="1"/>
    </xf>
    <xf numFmtId="0" fontId="28" fillId="0" borderId="1" xfId="0" applyFont="1" applyBorder="1" applyAlignment="1">
      <alignment horizontal="center" vertical="center" wrapText="1"/>
    </xf>
    <xf numFmtId="0" fontId="33" fillId="6" borderId="0" xfId="0" applyFont="1" applyFill="1" applyAlignment="1">
      <alignment vertical="center" wrapText="1"/>
    </xf>
    <xf numFmtId="0" fontId="33" fillId="22" borderId="0" xfId="0" applyFont="1" applyFill="1" applyAlignment="1">
      <alignment vertical="center" wrapText="1"/>
    </xf>
    <xf numFmtId="3" fontId="32" fillId="11" borderId="1" xfId="0" applyNumberFormat="1" applyFont="1" applyFill="1" applyBorder="1" applyAlignment="1">
      <alignment horizontal="right" vertical="center"/>
    </xf>
    <xf numFmtId="0" fontId="33" fillId="2" borderId="0" xfId="0" applyFont="1" applyFill="1" applyAlignment="1">
      <alignment vertical="center" wrapText="1"/>
    </xf>
    <xf numFmtId="0" fontId="33" fillId="11" borderId="0" xfId="0" applyFont="1" applyFill="1" applyAlignment="1">
      <alignment vertical="center" wrapText="1"/>
    </xf>
    <xf numFmtId="0" fontId="33" fillId="19" borderId="0" xfId="0" applyFont="1" applyFill="1" applyAlignment="1">
      <alignment vertical="center" wrapText="1"/>
    </xf>
    <xf numFmtId="3" fontId="41" fillId="0" borderId="0" xfId="0" applyNumberFormat="1" applyFont="1" applyAlignment="1">
      <alignment horizontal="right" vertical="center"/>
    </xf>
    <xf numFmtId="0" fontId="32" fillId="23" borderId="1" xfId="0" applyFont="1" applyFill="1" applyBorder="1" applyAlignment="1">
      <alignment horizontal="center" vertical="center" wrapText="1"/>
    </xf>
    <xf numFmtId="0" fontId="21" fillId="23" borderId="1" xfId="0" applyFont="1" applyFill="1" applyBorder="1" applyAlignment="1">
      <alignment horizontal="center" vertical="center" wrapText="1"/>
    </xf>
    <xf numFmtId="0" fontId="22" fillId="23" borderId="1" xfId="0" applyFont="1" applyFill="1" applyBorder="1" applyAlignment="1">
      <alignment horizontal="center" vertical="center" wrapText="1"/>
    </xf>
    <xf numFmtId="0" fontId="33" fillId="23" borderId="1" xfId="0" applyFont="1" applyFill="1" applyBorder="1" applyAlignment="1">
      <alignment horizontal="center" vertical="center" wrapText="1"/>
    </xf>
    <xf numFmtId="0" fontId="34" fillId="23" borderId="1" xfId="0" applyFont="1" applyFill="1" applyBorder="1" applyAlignment="1">
      <alignment horizontal="center" vertical="center" wrapText="1"/>
    </xf>
    <xf numFmtId="0" fontId="33" fillId="23" borderId="1" xfId="0" applyFont="1" applyFill="1" applyBorder="1" applyAlignment="1">
      <alignment horizontal="right" vertical="center" wrapText="1"/>
    </xf>
    <xf numFmtId="0" fontId="20" fillId="23" borderId="1" xfId="0" applyFont="1" applyFill="1" applyBorder="1" applyAlignment="1">
      <alignment horizontal="center" vertical="center" wrapText="1"/>
    </xf>
    <xf numFmtId="3" fontId="33" fillId="23" borderId="1" xfId="0" applyNumberFormat="1" applyFont="1" applyFill="1" applyBorder="1" applyAlignment="1">
      <alignment horizontal="right" vertical="center" wrapText="1"/>
    </xf>
    <xf numFmtId="0" fontId="33" fillId="23" borderId="0" xfId="0" applyFont="1" applyFill="1" applyAlignment="1">
      <alignment vertical="center" wrapText="1"/>
    </xf>
    <xf numFmtId="0" fontId="34" fillId="23" borderId="0" xfId="0" applyFont="1" applyFill="1" applyAlignment="1">
      <alignment vertical="center" wrapText="1"/>
    </xf>
    <xf numFmtId="0" fontId="34" fillId="23" borderId="0" xfId="0" applyFont="1" applyFill="1" applyAlignment="1">
      <alignment vertical="center"/>
    </xf>
    <xf numFmtId="0" fontId="23" fillId="0" borderId="0" xfId="0" applyFont="1" applyAlignment="1">
      <alignment horizontal="center" vertical="center" wrapText="1"/>
    </xf>
    <xf numFmtId="0" fontId="42" fillId="0" borderId="0" xfId="0" applyFont="1" applyAlignment="1">
      <alignment horizontal="left" vertical="center" wrapText="1"/>
    </xf>
    <xf numFmtId="3" fontId="42" fillId="0" borderId="0" xfId="0" applyNumberFormat="1" applyFont="1" applyAlignment="1">
      <alignment horizontal="right" vertical="center" wrapText="1"/>
    </xf>
    <xf numFmtId="0" fontId="43" fillId="11" borderId="0" xfId="0" applyFont="1" applyFill="1" applyAlignment="1">
      <alignment horizontal="center" vertical="center" wrapText="1"/>
    </xf>
    <xf numFmtId="0" fontId="46" fillId="11" borderId="1" xfId="0" applyFont="1" applyFill="1" applyBorder="1" applyAlignment="1">
      <alignment vertical="center" wrapText="1"/>
    </xf>
    <xf numFmtId="0" fontId="32" fillId="4" borderId="1" xfId="0" applyFont="1" applyFill="1" applyBorder="1" applyAlignment="1">
      <alignment horizontal="center" vertical="center" wrapText="1"/>
    </xf>
    <xf numFmtId="0" fontId="28" fillId="21" borderId="1" xfId="0" applyFont="1" applyFill="1" applyBorder="1" applyAlignment="1">
      <alignment horizontal="center" vertical="center" wrapText="1"/>
    </xf>
    <xf numFmtId="0" fontId="28" fillId="23" borderId="1" xfId="0" applyFont="1" applyFill="1" applyBorder="1" applyAlignment="1">
      <alignment horizontal="center" vertical="center" wrapText="1"/>
    </xf>
    <xf numFmtId="0" fontId="28" fillId="6" borderId="1" xfId="0" applyFont="1" applyFill="1" applyBorder="1" applyAlignment="1">
      <alignment horizontal="center" vertical="center" wrapText="1"/>
    </xf>
    <xf numFmtId="0" fontId="28" fillId="22" borderId="1" xfId="0" applyFont="1" applyFill="1" applyBorder="1" applyAlignment="1">
      <alignment horizontal="center" vertical="center" wrapText="1"/>
    </xf>
    <xf numFmtId="0" fontId="28" fillId="2" borderId="1" xfId="0" applyFont="1" applyFill="1" applyBorder="1" applyAlignment="1">
      <alignment horizontal="center" vertical="center" wrapText="1"/>
    </xf>
    <xf numFmtId="0" fontId="28" fillId="11" borderId="1" xfId="0" applyFont="1" applyFill="1" applyBorder="1" applyAlignment="1">
      <alignment horizontal="center" vertical="center" wrapText="1"/>
    </xf>
    <xf numFmtId="0" fontId="28" fillId="19" borderId="1" xfId="0" applyFont="1" applyFill="1" applyBorder="1" applyAlignment="1">
      <alignment horizontal="center" vertical="center" wrapText="1"/>
    </xf>
    <xf numFmtId="0" fontId="45" fillId="0" borderId="0" xfId="0" applyFont="1" applyAlignment="1">
      <alignment vertical="center" wrapText="1"/>
    </xf>
    <xf numFmtId="0" fontId="22" fillId="20" borderId="1" xfId="0" applyFont="1" applyFill="1" applyBorder="1" applyAlignment="1">
      <alignment horizontal="center" vertical="center" wrapText="1"/>
    </xf>
    <xf numFmtId="0" fontId="21" fillId="4" borderId="1" xfId="0" applyFont="1" applyFill="1" applyBorder="1" applyAlignment="1">
      <alignment horizontal="center" vertical="center" wrapText="1"/>
    </xf>
    <xf numFmtId="0" fontId="22" fillId="4" borderId="1" xfId="0" applyFont="1" applyFill="1" applyBorder="1" applyAlignment="1">
      <alignment horizontal="center" vertical="center" wrapText="1"/>
    </xf>
    <xf numFmtId="0" fontId="21" fillId="21" borderId="1" xfId="0" applyFont="1" applyFill="1" applyBorder="1" applyAlignment="1">
      <alignment horizontal="center" vertical="center" wrapText="1"/>
    </xf>
    <xf numFmtId="0" fontId="22" fillId="21" borderId="1" xfId="0" applyFont="1" applyFill="1" applyBorder="1" applyAlignment="1">
      <alignment horizontal="center" vertical="center" wrapText="1"/>
    </xf>
    <xf numFmtId="0" fontId="21" fillId="6" borderId="1" xfId="0" applyFont="1" applyFill="1" applyBorder="1" applyAlignment="1">
      <alignment horizontal="center" vertical="center" wrapText="1"/>
    </xf>
    <xf numFmtId="0" fontId="22" fillId="6" borderId="1" xfId="0" applyFont="1" applyFill="1" applyBorder="1" applyAlignment="1">
      <alignment horizontal="center" vertical="center" wrapText="1"/>
    </xf>
    <xf numFmtId="0" fontId="49" fillId="0" borderId="0" xfId="0" applyFont="1" applyAlignment="1">
      <alignment vertical="center" wrapText="1"/>
    </xf>
    <xf numFmtId="3" fontId="42" fillId="11" borderId="0" xfId="0" applyNumberFormat="1" applyFont="1" applyFill="1" applyAlignment="1">
      <alignment horizontal="right" vertical="center" wrapText="1"/>
    </xf>
    <xf numFmtId="3" fontId="32" fillId="11" borderId="0" xfId="0" applyNumberFormat="1" applyFont="1" applyFill="1" applyAlignment="1">
      <alignment horizontal="right" vertical="center" wrapText="1"/>
    </xf>
    <xf numFmtId="0" fontId="8" fillId="0" borderId="1" xfId="0" applyFont="1" applyBorder="1" applyAlignment="1">
      <alignment horizontal="right"/>
    </xf>
    <xf numFmtId="0" fontId="50" fillId="0" borderId="0" xfId="0" applyFont="1" applyAlignment="1">
      <alignment vertical="center" wrapText="1"/>
    </xf>
  </cellXfs>
  <cellStyles count="9">
    <cellStyle name="Dziesiętny" xfId="1" builtinId="3"/>
    <cellStyle name="Dziesiętny 2" xfId="4" xr:uid="{24138EB2-2B62-4FB6-B4BC-18667D512D9D}"/>
    <cellStyle name="Dziesiętny 3" xfId="6" xr:uid="{0E3C3374-939B-482D-8070-D0799A698311}"/>
    <cellStyle name="Dziesiętny 3 2" xfId="8" xr:uid="{24DB1A3B-C7DD-4D78-8D87-16810992400A}"/>
    <cellStyle name="Normalny" xfId="0" builtinId="0"/>
    <cellStyle name="Normalny 2" xfId="2" xr:uid="{1A69A2AC-D57C-43D0-81ED-7AC77EF33E69}"/>
    <cellStyle name="Normalny 2 2" xfId="5" xr:uid="{E51B1B9B-52BC-4A2A-B7F7-FCD17D39946C}"/>
    <cellStyle name="Normalny 3" xfId="3" xr:uid="{E21EF112-B4A7-411C-9BB9-8DE241FC00B8}"/>
    <cellStyle name="Normalny 7" xfId="7" xr:uid="{E5A792E2-ADB6-4FA4-B3EC-68FB414FB2CF}"/>
  </cellStyles>
  <dxfs count="74">
    <dxf>
      <font>
        <color rgb="FF9C0006"/>
      </font>
      <fill>
        <patternFill>
          <bgColor rgb="FFFFC7CE"/>
        </patternFill>
      </fill>
    </dxf>
    <dxf>
      <fill>
        <patternFill patternType="none">
          <bgColor auto="1"/>
        </patternFill>
      </fill>
    </dxf>
    <dxf>
      <fill>
        <patternFill patternType="solid">
          <bgColor rgb="FFFFC000"/>
        </patternFill>
      </fill>
    </dxf>
    <dxf>
      <font>
        <name val="Aptos Narrow"/>
        <scheme val="minor"/>
      </font>
    </dxf>
    <dxf>
      <font>
        <name val="Aptos Narrow"/>
        <scheme val="minor"/>
      </font>
    </dxf>
    <dxf>
      <font>
        <name val="Aptos Narrow"/>
        <scheme val="minor"/>
      </font>
    </dxf>
    <dxf>
      <font>
        <name val="Aptos Narrow"/>
        <scheme val="minor"/>
      </font>
    </dxf>
    <dxf>
      <font>
        <name val="Aptos Narrow"/>
        <scheme val="minor"/>
      </font>
    </dxf>
    <dxf>
      <font>
        <name val="Aptos Narrow"/>
        <scheme val="minor"/>
      </font>
    </dxf>
    <dxf>
      <font>
        <name val="Aptos Narrow"/>
        <scheme val="minor"/>
      </font>
    </dxf>
    <dxf>
      <font>
        <name val="Aptos Narrow"/>
        <scheme val="minor"/>
      </font>
    </dxf>
    <dxf>
      <font>
        <name val="Aptos Narrow"/>
        <scheme val="minor"/>
      </font>
    </dxf>
    <dxf>
      <font>
        <name val="Aptos Narrow"/>
        <scheme val="minor"/>
      </font>
    </dxf>
    <dxf>
      <font>
        <name val="Aptos Narrow"/>
        <scheme val="minor"/>
      </font>
    </dxf>
    <dxf>
      <font>
        <name val="Aptos Narrow"/>
        <scheme val="minor"/>
      </font>
    </dxf>
    <dxf>
      <font>
        <name val="Aptos Narrow"/>
        <scheme val="minor"/>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8" tint="0.79998168889431442"/>
        </patternFill>
      </fill>
    </dxf>
    <dxf>
      <numFmt numFmtId="35" formatCode="_-* #,##0.00_-;\-* #,##0.00_-;_-* &quot;-&quot;??_-;_-@_-"/>
    </dxf>
    <dxf>
      <fill>
        <patternFill>
          <bgColor theme="0"/>
        </patternFill>
      </fill>
    </dxf>
    <dxf>
      <fill>
        <patternFill>
          <bgColor theme="0"/>
        </patternFill>
      </fill>
    </dxf>
    <dxf>
      <fill>
        <patternFill>
          <bgColor theme="0"/>
        </patternFill>
      </fill>
    </dxf>
    <dxf>
      <fill>
        <patternFill>
          <bgColor theme="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bgColor theme="0"/>
        </patternFill>
      </fill>
    </dxf>
    <dxf>
      <numFmt numFmtId="4" formatCode="#,##0.00"/>
    </dxf>
    <dxf>
      <numFmt numFmtId="4" formatCode="#,##0.00"/>
    </dxf>
    <dxf>
      <numFmt numFmtId="4" formatCode="#,##0.00"/>
    </dxf>
    <dxf>
      <numFmt numFmtId="4" formatCode="#,##0.00"/>
    </dxf>
    <dxf>
      <numFmt numFmtId="4" formatCode="#,##0.00"/>
    </dxf>
    <dxf>
      <fill>
        <patternFill patternType="solid">
          <bgColor rgb="FFFFFF00"/>
        </patternFill>
      </fill>
    </dxf>
    <dxf>
      <fill>
        <patternFill patternType="solid">
          <bgColor rgb="FFFFFF00"/>
        </patternFill>
      </fill>
    </dxf>
    <dxf>
      <alignment horizontal="center"/>
    </dxf>
    <dxf>
      <alignment horizontal="center"/>
    </dxf>
    <dxf>
      <numFmt numFmtId="4" formatCode="#,##0.00"/>
    </dxf>
    <dxf>
      <numFmt numFmtId="4" formatCode="#,##0.00"/>
    </dxf>
    <dxf>
      <numFmt numFmtId="4" formatCode="#,##0.00"/>
    </dxf>
    <dxf>
      <alignment horizontal="center"/>
    </dxf>
    <dxf>
      <alignment horizontal="center"/>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alignment horizontal="center"/>
    </dxf>
    <dxf>
      <alignment horizontal="center"/>
    </dxf>
    <dxf>
      <numFmt numFmtId="4" formatCode="#,##0.00"/>
    </dxf>
    <dxf>
      <numFmt numFmtId="4" formatCode="#,##0.00"/>
    </dxf>
    <dxf>
      <numFmt numFmtId="4" formatCode="#,##0.00"/>
    </dxf>
    <dxf>
      <numFmt numFmtId="4" formatCode="#,##0.00"/>
    </dxf>
    <dxf>
      <numFmt numFmtId="4" formatCode="#,##0.00"/>
    </dxf>
    <dxf>
      <numFmt numFmtId="4" formatCode="#,##0.00"/>
    </dxf>
    <dxf>
      <alignment horizontal="center"/>
    </dxf>
    <dxf>
      <alignment horizontal="center"/>
    </dxf>
    <dxf>
      <numFmt numFmtId="4" formatCode="#,##0.00"/>
    </dxf>
    <dxf>
      <numFmt numFmtId="4" formatCode="#,##0.00"/>
    </dxf>
    <dxf>
      <numFmt numFmtId="4" formatCode="#,##0.00"/>
    </dxf>
  </dxfs>
  <tableStyles count="0" defaultTableStyle="TableStyleMedium2" defaultPivotStyle="PivotStyleLight16"/>
  <colors>
    <mruColors>
      <color rgb="FFFF99CC"/>
      <color rgb="FFFFFFCC"/>
      <color rgb="FFFF99FF"/>
      <color rgb="FFFB37D1"/>
      <color rgb="FFFA20C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10" Type="http://schemas.openxmlformats.org/officeDocument/2006/relationships/externalLink" Target="externalLinks/externalLink1.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S:\Biuro%20Finansowe\PLANOWANIE\Projekt%20bud&#380;etu\projekt%20bud&#380;etu%20na%202024\cz.%2027\(0!)%20TABELE%20-%2018.01.2024%20-%20a.sz.%20-)\Departament%20-%20DC\(Wk&#322;ad%20w&#322;asny)%20(DC.WPIWO)%20DC_plan%20na%202024%20r._aktualizacja%2018.01.2024%20r..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Y:\PROJEKTY\Projekty%20MC\APLIKACJE%20GOV%20PL\EZD\Aplikacje%20kosztory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_WYDATKI DC 2024"/>
      <sheetName val="2_wydatki IT do BA, EBSI"/>
      <sheetName val="Słownik-Lista projektów"/>
      <sheetName val="BZ-Klasyfikacja-DC"/>
      <sheetName val="PARAGRAFY"/>
      <sheetName val="dane "/>
    </sheetNames>
    <sheetDataSet>
      <sheetData sheetId="0"/>
      <sheetData sheetId="1"/>
      <sheetData sheetId="2"/>
      <sheetData sheetId="3"/>
      <sheetData sheetId="4"/>
      <sheetData sheetId="5" refreshError="1">
        <row r="36">
          <cell r="A36" t="str">
            <v>16.5.3.1.</v>
          </cell>
        </row>
        <row r="37">
          <cell r="A37" t="str">
            <v>16.5.3.2.</v>
          </cell>
        </row>
        <row r="38">
          <cell r="A38" t="str">
            <v>16.5.3.3.</v>
          </cell>
        </row>
        <row r="39">
          <cell r="A39" t="str">
            <v>16.5.3.4.</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ŚRODKI TRWAŁE_Oprogramowanie"/>
      <sheetName val="ŚRODKI TRWAŁE_Sprzęt informat."/>
      <sheetName val="ŚRODKI TRWAŁE_Sprzęt do digit."/>
      <sheetName val="WARTOŚCI NIEMAT I PRAWNE"/>
      <sheetName val="USŁUGI ZEWN_Przygotowanie proj."/>
      <sheetName val="USŁUGI ZEWN_Usługi informat."/>
      <sheetName val="USŁUGI ZEWN_Usł.wspom.real.proj"/>
      <sheetName val="USŁUGI ZEWN_Usł.dot.digitalizac"/>
      <sheetName val="DIGITALIZACJA ZASOB_pozost.wyd."/>
      <sheetName val="WYNAGRODZENIA_prac.meryt."/>
      <sheetName val="WYNAGRODZENIA_koszty pośrednie"/>
      <sheetName val="NIERUCHOMOŚCI_nier.zabudowana"/>
      <sheetName val="NIERUCHOMOŚCI_nier.niezabudow."/>
      <sheetName val="ROBOTY BUDOWALNE"/>
      <sheetName val="SZKOLENIA"/>
      <sheetName val="MATERIAŁY DYDAKTYCZNE"/>
      <sheetName val="INFORMACJA I PROMOCJA"/>
      <sheetName val="WKŁAD NIEPIENIĘŻNY"/>
      <sheetName val="KATEGORIE"/>
      <sheetName val="Lista"/>
      <sheetName val="dane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2">
          <cell r="A2" t="str">
            <v>bezpośrednie</v>
          </cell>
          <cell r="B2" t="str">
            <v>kwalifikowalny</v>
          </cell>
        </row>
        <row r="3">
          <cell r="A3" t="str">
            <v>pośrednie</v>
          </cell>
          <cell r="B3" t="str">
            <v>niekwalifikowalny</v>
          </cell>
        </row>
      </sheetData>
      <sheetData sheetId="19" refreshError="1"/>
      <sheetData sheetId="20" refreshError="1"/>
    </sheetDataSet>
  </externalBook>
</externalLink>
</file>

<file path=xl/persons/person.xml><?xml version="1.0" encoding="utf-8"?>
<personList xmlns="http://schemas.microsoft.com/office/spreadsheetml/2018/threadedcomments" xmlns:x="http://schemas.openxmlformats.org/spreadsheetml/2006/main">
  <person displayName="Karbowa Aleksandra" id="{CA6D237B-1DB6-4346-B8F7-5F4777BC525C}" userId="S-1-5-21-3206520871-3329782533-3569228042-28286" providerId="AD"/>
  <person displayName="Wójcik Aneta" id="{38804A01-0B19-45FE-9282-F80A3B94E8AF}" userId="S::Aneta.Wojcik@cyfra.gov.pl::fee7de6b-20ae-4e51-bc91-105b8f2c5057" providerId="AD"/>
  <person displayName="Śliwiński Marek" id="{E12E9651-6BE0-4520-8AEE-1AF7588F9540}" userId="S::Marek.Sliwinski@cyfra.gov.pl::787841ce-caa7-47a5-baeb-ed5fd0d83800" providerId="AD"/>
</personList>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fl-srv-mc-01\MC\BBF_MC_WPAiK\2025\(1)%20Projekt%20bud&#380;etu%20na%202025+\(1)%20BP%202025\od%20k.o\(0)_BAZA%20_ZERA%20_W%20TOKU\BP%202025_ZERA_AG_AW.28.07.2024%20%20z%20Tabel&#261;%20na%20k.o..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2" Type="http://schemas.openxmlformats.org/officeDocument/2006/relationships/externalLinkPath" Target="file:///C:\Users\kgojska\AppData\Local\Temp\ezdpuw\20250521083326638\za&#322;.%20nr%201%20-%20potrzeby%20BM.xlsx" TargetMode="External"/><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2" Type="http://schemas.openxmlformats.org/officeDocument/2006/relationships/externalLinkPath" Target="/Hackathon/Za&#322;&#261;cznik%20nr%202.%20Przyk&#322;adowa%20tabela%20stosowana%20w%20procesie%20planowania%20bud&#380;etu%20v.%202.xlsx" TargetMode="External"/><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ójcik Aneta" refreshedDate="45501.373035879631" createdVersion="8" refreshedVersion="8" minRefreshableVersion="3" recordCount="856" xr:uid="{FBE42353-99E4-4175-A067-AECF1A3DCDE0}">
  <cacheSource type="worksheet">
    <worksheetSource ref="A1:V857" sheet="podział limitów" r:id="rId2"/>
  </cacheSource>
  <cacheFields count="22">
    <cacheField name="część" numFmtId="0">
      <sharedItems containsMixedTypes="1" containsNumber="1" containsInteger="1" minValue="27" maxValue="75212" count="7">
        <n v="27"/>
        <n v="43"/>
        <n v="75212"/>
        <s v="27/KPRM"/>
        <s v="FC"/>
        <s v="FPU"/>
        <s v="KPO"/>
      </sharedItems>
    </cacheField>
    <cacheField name="departament" numFmtId="0">
      <sharedItems count="15">
        <s v="BA "/>
        <s v="BBF"/>
        <s v="BDG"/>
        <s v="Biuro Ministra"/>
        <s v="BK"/>
        <s v="CRKC"/>
        <s v="DBI"/>
        <s v="DC"/>
        <s v="DGT"/>
        <s v="DP"/>
        <s v="DPiS"/>
        <s v="DT"/>
        <s v="DTC"/>
        <s v="DWM"/>
        <s v="DZD"/>
      </sharedItems>
    </cacheField>
    <cacheField name="rodzaj projektu " numFmtId="0">
      <sharedItems containsBlank="1"/>
    </cacheField>
    <cacheField name="opis projektu" numFmtId="0">
      <sharedItems containsBlank="1" longText="1"/>
    </cacheField>
    <cacheField name="DATA ZŁOŻENIA WNIOSKU/_x000a_PLANOWANA DATA ZŁOŻENIA WNIOSKU / PREUMOWA" numFmtId="0">
      <sharedItems containsBlank="1" containsMixedTypes="1" containsNumber="1" containsInteger="1" minValue="2022" maxValue="46204"/>
    </cacheField>
    <cacheField name="PROGRAM OPERACYJNY/ INICJATYWA " numFmtId="0">
      <sharedItems containsBlank="1"/>
    </cacheField>
    <cacheField name="termin realizacji_x000a_" numFmtId="0">
      <sharedItems containsBlank="1" containsMixedTypes="1" containsNumber="1" containsInteger="1" minValue="2024" maxValue="2025"/>
    </cacheField>
    <cacheField name="paragraf" numFmtId="0">
      <sharedItems containsBlank="1" containsMixedTypes="1" containsNumber="1" containsInteger="1" minValue="2350" maxValue="6490"/>
    </cacheField>
    <cacheField name="źródło fin." numFmtId="0">
      <sharedItems containsBlank="1" containsMixedTypes="1" containsNumber="1" containsInteger="1" minValue="0" maxValue="9"/>
    </cacheField>
    <cacheField name="bz" numFmtId="0">
      <sharedItems containsBlank="1"/>
    </cacheField>
    <cacheField name="Beneficjent" numFmtId="0">
      <sharedItems containsBlank="1" containsMixedTypes="1" containsNumber="1" containsInteger="1" minValue="30" maxValue="30"/>
    </cacheField>
    <cacheField name="nazwa zadania_x000a_" numFmtId="0">
      <sharedItems longText="1"/>
    </cacheField>
    <cacheField name="Szczegółowe uzasadnienie" numFmtId="0">
      <sharedItems containsBlank="1" containsMixedTypes="1" containsNumber="1" containsInteger="1" minValue="4410" maxValue="4420" longText="1"/>
    </cacheField>
    <cacheField name="2025" numFmtId="0">
      <sharedItems containsString="0" containsBlank="1" containsNumber="1" minValue="0" maxValue="490259"/>
    </cacheField>
    <cacheField name="2026" numFmtId="0">
      <sharedItems containsBlank="1" containsMixedTypes="1" containsNumber="1" containsInteger="1" minValue="0" maxValue="250000"/>
    </cacheField>
    <cacheField name="2027" numFmtId="0">
      <sharedItems containsBlank="1" containsMixedTypes="1" containsNumber="1" containsInteger="1" minValue="0" maxValue="250000"/>
    </cacheField>
    <cacheField name="2028" numFmtId="0">
      <sharedItems containsBlank="1" containsMixedTypes="1" containsNumber="1" containsInteger="1" minValue="0" maxValue="280716"/>
    </cacheField>
    <cacheField name="2029" numFmtId="0">
      <sharedItems containsBlank="1" containsMixedTypes="1" containsNumber="1" containsInteger="1" minValue="0" maxValue="163500"/>
    </cacheField>
    <cacheField name="etap działań" numFmtId="0">
      <sharedItems containsBlank="1"/>
    </cacheField>
    <cacheField name="umowy" numFmtId="0">
      <sharedItems containsBlank="1"/>
    </cacheField>
    <cacheField name="nr umowy" numFmtId="0">
      <sharedItems containsBlank="1"/>
    </cacheField>
    <cacheField name="z kim zawarta"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ójcik Aneta" refreshedDate="45501.707083680558" createdVersion="8" refreshedVersion="8" minRefreshableVersion="3" recordCount="72" xr:uid="{DE3FACCD-9946-443F-8A7C-58F14D71BE5F}">
  <cacheSource type="worksheet">
    <worksheetSource ref="A1:X73" sheet="6060 pogrupowane na zadania"/>
  </cacheSource>
  <cacheFields count="24">
    <cacheField name="część" numFmtId="0">
      <sharedItems containsSemiMixedTypes="0" containsString="0" containsNumber="1" containsInteger="1" minValue="27" maxValue="27"/>
    </cacheField>
    <cacheField name="departament" numFmtId="0">
      <sharedItems/>
    </cacheField>
    <cacheField name="rodzaj projektu " numFmtId="0">
      <sharedItems containsBlank="1"/>
    </cacheField>
    <cacheField name="opis projektu" numFmtId="0">
      <sharedItems/>
    </cacheField>
    <cacheField name="DATA ZŁOŻENIA WNIOSKU/_x000a_PLANOWANA DATA ZŁOŻENIA WNIOSKU / PREUMOWA" numFmtId="0">
      <sharedItems containsBlank="1"/>
    </cacheField>
    <cacheField name="PROGRAM OPERACYJNY/ INICJATYWA " numFmtId="0">
      <sharedItems containsBlank="1"/>
    </cacheField>
    <cacheField name="termin realizacji_x000a_" numFmtId="0">
      <sharedItems containsBlank="1" containsMixedTypes="1" containsNumber="1" containsInteger="1" minValue="2025" maxValue="2025"/>
    </cacheField>
    <cacheField name="paragraf" numFmtId="0">
      <sharedItems containsSemiMixedTypes="0" containsString="0" containsNumber="1" containsInteger="1" minValue="6060" maxValue="6060"/>
    </cacheField>
    <cacheField name="źródło fin." numFmtId="0">
      <sharedItems containsSemiMixedTypes="0" containsString="0" containsNumber="1" containsInteger="1" minValue="0" maxValue="0"/>
    </cacheField>
    <cacheField name="bz" numFmtId="0">
      <sharedItems/>
    </cacheField>
    <cacheField name="Beneficjent" numFmtId="0">
      <sharedItems containsBlank="1"/>
    </cacheField>
    <cacheField name="nazwa zadania_x000a_" numFmtId="0">
      <sharedItems/>
    </cacheField>
    <cacheField name="Szczegółowe uzasadnienie" numFmtId="0">
      <sharedItems/>
    </cacheField>
    <cacheField name="2025" numFmtId="0">
      <sharedItems containsString="0" containsBlank="1" containsNumber="1" containsInteger="1" minValue="0" maxValue="33944"/>
    </cacheField>
    <cacheField name="2026" numFmtId="0">
      <sharedItems containsString="0" containsBlank="1" containsNumber="1" containsInteger="1" minValue="0" maxValue="10000"/>
    </cacheField>
    <cacheField name="2027" numFmtId="0">
      <sharedItems containsString="0" containsBlank="1" containsNumber="1" containsInteger="1" minValue="0" maxValue="10434"/>
    </cacheField>
    <cacheField name="2028" numFmtId="0">
      <sharedItems containsString="0" containsBlank="1" containsNumber="1" containsInteger="1" minValue="0" maxValue="0"/>
    </cacheField>
    <cacheField name="2029" numFmtId="0">
      <sharedItems containsString="0" containsBlank="1" containsNumber="1" containsInteger="1" minValue="0" maxValue="0"/>
    </cacheField>
    <cacheField name="etap działań" numFmtId="0">
      <sharedItems containsBlank="1"/>
    </cacheField>
    <cacheField name="umowy" numFmtId="0">
      <sharedItems containsBlank="1"/>
    </cacheField>
    <cacheField name="nr umowy" numFmtId="0">
      <sharedItems containsBlank="1"/>
    </cacheField>
    <cacheField name="z kim zawarta" numFmtId="0">
      <sharedItems containsBlank="1"/>
    </cacheField>
    <cacheField name="Uwagi" numFmtId="0">
      <sharedItems containsBlank="1"/>
    </cacheField>
    <cacheField name="zadanie inwestycyjne" numFmtId="0">
      <sharedItems count="4">
        <s v="Zakup sprzętu komputerowego i oprogramowania"/>
        <s v="brak wskazania zadania inwestycyjnego"/>
        <s v="zakup licencji"/>
        <s v="zakup urządzeń sieciowych"/>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ójcik Aneta" refreshedDate="45602.48778009259" createdVersion="8" refreshedVersion="8" minRefreshableVersion="3" recordCount="596" xr:uid="{7A86299C-6B88-496E-A8B0-0BB1AC6CEA9F}">
  <cacheSource type="worksheet">
    <worksheetSource ref="A1:Y613" sheet="z ub. roku" r:id="rId2"/>
  </cacheSource>
  <cacheFields count="20">
    <cacheField name="część" numFmtId="0">
      <sharedItems containsMixedTypes="1" containsNumber="1" containsInteger="1" minValue="27" maxValue="27" count="2">
        <n v="27"/>
        <s v="RC 9"/>
      </sharedItems>
    </cacheField>
    <cacheField name="rozdział" numFmtId="0">
      <sharedItems containsMixedTypes="1" containsNumber="1" containsInteger="1" minValue="72003" maxValue="75212" count="5">
        <n v="75001"/>
        <n v="72003"/>
        <n v="75212"/>
        <s v="RC 9"/>
        <n v="75077" u="1"/>
      </sharedItems>
    </cacheField>
    <cacheField name="departament" numFmtId="0">
      <sharedItems/>
    </cacheField>
    <cacheField name="paragraf" numFmtId="0">
      <sharedItems containsSemiMixedTypes="0" containsString="0" containsNumber="1" containsInteger="1" minValue="2007" maxValue="6259" count="96">
        <n v="4000"/>
        <n v="4480"/>
        <n v="4430"/>
        <n v="6060"/>
        <n v="4270"/>
        <n v="6050"/>
        <n v="4010"/>
        <n v="4020"/>
        <n v="4040"/>
        <n v="4050"/>
        <n v="4070"/>
        <n v="4110"/>
        <n v="4120"/>
        <n v="4610"/>
        <n v="4710"/>
        <n v="4170"/>
        <n v="4440"/>
        <n v="3070"/>
        <n v="3030"/>
        <n v="3020"/>
        <n v="4550"/>
        <n v="4700"/>
        <n v="4410"/>
        <n v="4420"/>
        <n v="2830"/>
        <n v="6230"/>
        <n v="2810"/>
        <n v="2800"/>
        <n v="4540"/>
        <n v="2580"/>
        <n v="4530"/>
        <n v="4190"/>
        <n v="4690"/>
        <n v="4600"/>
        <n v="2430"/>
        <n v="4021"/>
        <n v="4041"/>
        <n v="4111"/>
        <n v="4121"/>
        <n v="4711"/>
        <n v="4140" u="1"/>
        <n v="2008" u="1"/>
        <n v="4008" u="1"/>
        <n v="4028" u="1"/>
        <n v="4048" u="1"/>
        <n v="4118" u="1"/>
        <n v="4128" u="1"/>
        <n v="4418" u="1"/>
        <n v="4428" u="1"/>
        <n v="4558" u="1"/>
        <n v="4718" u="1"/>
        <n v="2009" u="1"/>
        <n v="4009" u="1"/>
        <n v="4029" u="1"/>
        <n v="4049" u="1"/>
        <n v="4119" u="1"/>
        <n v="4129" u="1"/>
        <n v="4419" u="1"/>
        <n v="4429" u="1"/>
        <n v="4559" u="1"/>
        <n v="4719" u="1"/>
        <n v="2007" u="1"/>
        <n v="4007" u="1"/>
        <n v="4017" u="1"/>
        <n v="4027" u="1"/>
        <n v="4047" u="1"/>
        <n v="4057" u="1"/>
        <n v="4077" u="1"/>
        <n v="4117" u="1"/>
        <n v="4127" u="1"/>
        <n v="4177" u="1"/>
        <n v="4557" u="1"/>
        <n v="4717" u="1"/>
        <n v="6067" u="1"/>
        <n v="4019" u="1"/>
        <n v="4059" u="1"/>
        <n v="4079" u="1"/>
        <n v="4179" u="1"/>
        <n v="6069" u="1"/>
        <n v="4018" u="1"/>
        <n v="3028" u="1"/>
        <n v="4178" u="1"/>
        <n v="4708" u="1"/>
        <n v="6068" u="1"/>
        <n v="3029" u="1"/>
        <n v="4709" u="1"/>
        <n v="4417" u="1"/>
        <n v="6207" u="1"/>
        <n v="6257" u="1"/>
        <n v="6209" u="1"/>
        <n v="6259" u="1"/>
        <n v="2057" u="1"/>
        <n v="2059" u="1"/>
        <n v="4060" u="1"/>
        <n v="4520" u="1"/>
        <n v="4011" u="1"/>
      </sharedItems>
    </cacheField>
    <cacheField name="grupa wydatków" numFmtId="0">
      <sharedItems containsBlank="1" count="6">
        <s v="4"/>
        <s v="6"/>
        <s v="3"/>
        <s v="2"/>
        <s v="" u="1"/>
        <m u="1"/>
      </sharedItems>
    </cacheField>
    <cacheField name="źródło fin." numFmtId="0">
      <sharedItems containsBlank="1" count="7">
        <s v="0"/>
        <s v="1"/>
        <s v="" u="1"/>
        <s v="8" u="1"/>
        <s v="9" u="1"/>
        <s v="7" u="1"/>
        <m u="1"/>
      </sharedItems>
    </cacheField>
    <cacheField name="bz" numFmtId="0">
      <sharedItems/>
    </cacheField>
    <cacheField name="Beneficjent" numFmtId="0">
      <sharedItems containsBlank="1" containsMixedTypes="1" containsNumber="1" containsInteger="1" minValue="30" maxValue="30"/>
    </cacheField>
    <cacheField name="nazwa zadania_x000a_" numFmtId="0">
      <sharedItems longText="1"/>
    </cacheField>
    <cacheField name="Szczegółowe uzasadnienie" numFmtId="0">
      <sharedItems containsBlank="1" longText="1"/>
    </cacheField>
    <cacheField name="2025" numFmtId="43">
      <sharedItems containsString="0" containsBlank="1" containsNumber="1" containsInteger="1" minValue="0" maxValue="250000"/>
    </cacheField>
    <cacheField name="2026" numFmtId="0">
      <sharedItems containsBlank="1" containsMixedTypes="1" containsNumber="1" containsInteger="1" minValue="0" maxValue="250000"/>
    </cacheField>
    <cacheField name="2027" numFmtId="0">
      <sharedItems containsBlank="1" containsMixedTypes="1" containsNumber="1" containsInteger="1" minValue="0" maxValue="250000"/>
    </cacheField>
    <cacheField name="2028" numFmtId="0">
      <sharedItems containsBlank="1" containsMixedTypes="1" containsNumber="1" containsInteger="1" minValue="0" maxValue="250000"/>
    </cacheField>
    <cacheField name="2029" numFmtId="0">
      <sharedItems containsBlank="1" containsMixedTypes="1" containsNumber="1" containsInteger="1" minValue="0" maxValue="163500"/>
    </cacheField>
    <cacheField name="etap działań" numFmtId="0">
      <sharedItems containsBlank="1"/>
    </cacheField>
    <cacheField name="umowy" numFmtId="0">
      <sharedItems containsBlank="1"/>
    </cacheField>
    <cacheField name="nr umowy" numFmtId="0">
      <sharedItems containsBlank="1"/>
    </cacheField>
    <cacheField name="z kim zawarta" numFmtId="0">
      <sharedItems containsBlank="1"/>
    </cacheField>
    <cacheField name="Uwagi" numFmtId="0">
      <sharedItems containsBlank="1" longText="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iszer Ewa" refreshedDate="45861.480729976851" createdVersion="8" refreshedVersion="8" minRefreshableVersion="3" recordCount="549" xr:uid="{56BD19EB-6089-4EE8-B802-D336FFEF2E01}">
  <cacheSource type="worksheet">
    <worksheetSource ref="A3:AN552" sheet="potrzeby 2026-2029" r:id="rId2"/>
  </cacheSource>
  <cacheFields count="25">
    <cacheField name="Część budżetowa_x000a_" numFmtId="0">
      <sharedItems containsSemiMixedTypes="0" containsString="0" containsNumber="1" containsInteger="1" minValue="27" maxValue="83" count="2">
        <n v="27"/>
        <n v="83"/>
      </sharedItems>
    </cacheField>
    <cacheField name="Rozdział" numFmtId="0">
      <sharedItems containsSemiMixedTypes="0" containsString="0" containsNumber="1" containsInteger="1" minValue="72003" maxValue="75818" count="4">
        <n v="75001"/>
        <n v="72003"/>
        <n v="75818"/>
        <n v="75212" u="1"/>
      </sharedItems>
    </cacheField>
    <cacheField name="Komórka organizacyjna" numFmtId="0">
      <sharedItems count="15">
        <s v="MC_BM MC"/>
        <s v="MC_DT MC"/>
        <s v="MC_BK MC"/>
        <s v="MC_DP MC"/>
        <s v="MC_BDG MC"/>
        <s v="MC_BA MC"/>
        <s v="MC_CRKC MC "/>
        <s v="MC_DZD MC"/>
        <s v="MC_DGT MC"/>
        <s v="MC_DBI MC"/>
        <s v="MC_DC MC"/>
        <s v="MC_DWM MC"/>
        <s v="MC_BBF MC"/>
        <s v="MC_DPiS MC"/>
        <s v="MC_DTC MC"/>
      </sharedItems>
    </cacheField>
    <cacheField name="Paragraf" numFmtId="0">
      <sharedItems containsBlank="1" containsMixedTypes="1" containsNumber="1" containsInteger="1" minValue="2430" maxValue="6800"/>
    </cacheField>
    <cacheField name="Plan_WI" numFmtId="0">
      <sharedItems containsBlank="1"/>
    </cacheField>
    <cacheField name="D1/D3" numFmtId="0">
      <sharedItems containsBlank="1"/>
    </cacheField>
    <cacheField name="Budżet" numFmtId="0">
      <sharedItems containsBlank="1"/>
    </cacheField>
    <cacheField name="Projekt" numFmtId="0">
      <sharedItems containsBlank="1"/>
    </cacheField>
    <cacheField name="Grupa wydatków" numFmtId="0">
      <sharedItems containsBlank="1" containsMixedTypes="1" containsNumber="1" containsInteger="1" minValue="2" maxValue="6"/>
    </cacheField>
    <cacheField name="Źródło fin." numFmtId="0">
      <sharedItems containsBlank="1" containsMixedTypes="1" containsNumber="1" containsInteger="1" minValue="0" maxValue="2"/>
    </cacheField>
    <cacheField name="BZ_x000a_" numFmtId="0">
      <sharedItems containsBlank="1"/>
    </cacheField>
    <cacheField name="BZ zadanie_x000a_" numFmtId="0">
      <sharedItems containsBlank="1"/>
    </cacheField>
    <cacheField name="Nazwa zadania_x000a_" numFmtId="0">
      <sharedItems containsBlank="1" longText="1"/>
    </cacheField>
    <cacheField name="Szczegółowe uzasadnienie" numFmtId="0">
      <sharedItems longText="1"/>
    </cacheField>
    <cacheField name="Ustawa budżetowa na 2025 rok " numFmtId="3">
      <sharedItems containsString="0" containsBlank="1" containsNumber="1" containsInteger="1" minValue="1" maxValue="436088"/>
    </cacheField>
    <cacheField name="Wykonanie n/dz _x000a_30 czerwca 2025 r." numFmtId="3">
      <sharedItems containsString="0" containsBlank="1" containsNumber="1" containsInteger="1" minValue="25" maxValue="213439"/>
    </cacheField>
    <cacheField name="2026 rok" numFmtId="3">
      <sharedItems containsString="0" containsBlank="1" containsNumber="1" minValue="0" maxValue="639358"/>
    </cacheField>
    <cacheField name="2027 rok" numFmtId="3">
      <sharedItems containsString="0" containsBlank="1" containsNumber="1" minValue="0" maxValue="865281"/>
    </cacheField>
    <cacheField name="2028 rok" numFmtId="3">
      <sharedItems containsString="0" containsBlank="1" containsNumber="1" minValue="0" maxValue="892675"/>
    </cacheField>
    <cacheField name="2029 rok" numFmtId="3">
      <sharedItems containsString="0" containsBlank="1" containsNumber="1" minValue="0" maxValue="890332"/>
    </cacheField>
    <cacheField name="Nr umowy/nr wniosku o udzielenie zamówienia publicznego" numFmtId="0">
      <sharedItems containsBlank="1"/>
    </cacheField>
    <cacheField name="Z kim zawarta umowa (w przypadku dotacji zawarta oraz planowana do zawarcia)" numFmtId="0">
      <sharedItems containsBlank="1"/>
    </cacheField>
    <cacheField name="Podstawa prawna udzielenia dotacji" numFmtId="0">
      <sharedItems containsBlank="1" longText="1"/>
    </cacheField>
    <cacheField name="Uwagi _x000a_(zaangażowanie środków n/dz 10 lipca 2025 r.)" numFmtId="0">
      <sharedItems containsBlank="1" longText="1"/>
    </cacheField>
    <cacheField name="Konieczność zabezpieczenia środków na realizację zadania" numFmtId="0">
      <sharedItems containsBlank="1" count="10">
        <s v="OBLIGATORYJNIE"/>
        <m/>
        <s v="OBLIGATORYJNE" u="1"/>
        <s v=" OBLIGATORYJNIE (do decyzji czy w BDG czy w BBF)" u="1"/>
        <s v="OBLIGATORYJNE_x000a_(BYŁO 645 TYS. ZŁ) DO DECYZJI KIEROWNICTWA_x000a_REZYGNACJA Z MOŻLIWOŚCI PRACY POZA BUDYNKIEM MC - POZOSTAJE TYLKO PRACA ZDALNA W CZASIE REMONTÓW" u="1"/>
        <s v="OBLIGATORYJNE_x000a_(BYŁO 6 MLN ZŁ) DO DECYZJI KIEROWNICTWA_x000a_REZYGNACJA Z MODERNIZACJI SIECI TELEINFORMATYCZNYCH W MC NA RZECZ ZABEZPIECZENIA TYLKO NIEZBĘDNYCH POTRZEB" u="1"/>
        <s v="OBLIGATORYJNE_x000a_(BYŁO 2 MLN ZŁ) DO DECYZJI KIEROWNICTWA - WSTRZYMANIE REALIZACJI WYTYCZNYCH  ABW DOTYCZĄCYCH ZABEZPIECZENIA OBIEKTU" u="1"/>
        <s v="do decyzji Kierownictwa" u="1"/>
        <s v="OBLIGATORYJNE_x000a_" u="1"/>
        <s v="OBLIGATORYJNE_x000a_(BYŁO 2 MLN ZŁ) DO DECYZJI KIEROWNICTWA - WSTRZYMANIE REALIZACJI WYTYCZNYCH  ABW DOTYCZĄCYCH ZABEZPIECZENIA OBIEKTU_x000a_brak zasilania awaryjnego, sterowania, możliwości podpięcia agregaru prądotwórczego ZASILAJĄCEGO WSZYSTKIE SYSTEMY EL."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6">
  <r>
    <x v="0"/>
    <x v="0"/>
    <s v="umowa"/>
    <s v="usługa cateringowa"/>
    <n v="45323"/>
    <s v="n/d"/>
    <s v="24 miesiące"/>
    <n v="4000"/>
    <n v="0"/>
    <s v="22.1.1.1."/>
    <s v="Beneficjent"/>
    <s v="usługa cateringowa na potrzeby organizacji wydarzeń w MC"/>
    <s v="bieżące potrzeby - obsługa spotkań, narad, konferencji organizowanych w MC, w szczególności z udziałem Kierownictwa"/>
    <n v="350"/>
    <n v="250"/>
    <n v="350"/>
    <n v="350"/>
    <n v="300"/>
    <s v="umowa"/>
    <s v="umowa"/>
    <s v="80/BA/24"/>
    <s v="Bracia Pietrzak Spółka Jawna Zielonka"/>
  </r>
  <r>
    <x v="0"/>
    <x v="0"/>
    <s v="deklaracja DN-1"/>
    <s v="podatek od nieruchomości"/>
    <n v="45292"/>
    <s v="n/d"/>
    <s v="12 miesięcy"/>
    <n v="4480"/>
    <n v="0"/>
    <s v="22.1.1.1."/>
    <s v="Beneficjent"/>
    <s v="utrzymanie budynku - opłata ustawowa"/>
    <s v="ustawowo nakazana płatność w ratach comiesięcznych "/>
    <n v="130"/>
    <n v="130"/>
    <n v="135"/>
    <n v="135"/>
    <n v="135"/>
    <s v="umowa"/>
    <s v="deklaracja"/>
    <m/>
    <s v="urząd m.st. Warszawa"/>
  </r>
  <r>
    <x v="0"/>
    <x v="0"/>
    <s v="umowa"/>
    <s v="umowa dzierżawna"/>
    <n v="45261"/>
    <s v="n/d"/>
    <s v="36 miesięcy"/>
    <n v="4480"/>
    <n v="0"/>
    <s v="22.1.1.1."/>
    <s v="Beneficjent"/>
    <s v="utrzymanie budynku - opłata ustawowa"/>
    <s v="dzierżawa terenu pod termomodernizację budynku"/>
    <n v="0"/>
    <n v="1"/>
    <n v="0"/>
    <n v="0"/>
    <n v="2"/>
    <s v="umowa"/>
    <s v="umowa"/>
    <s v="ZT/SR/D/117/2023"/>
    <s v="Zarząd Terenów Publicznych"/>
  </r>
  <r>
    <x v="0"/>
    <x v="0"/>
    <s v="decyzja"/>
    <s v="decyzja o zajęcie pasa drogowego"/>
    <n v="45597"/>
    <s v="n/d"/>
    <s v="36 miesięcy miesiące"/>
    <n v="4480"/>
    <n v="0"/>
    <s v="22.1.1.1."/>
    <s v="Beneficjent"/>
    <s v="umowa dzierżawy - opłata z góry na trzy lata"/>
    <s v="Zajęcie pasa drogowego w celu umieszczenia w nim nadwieszenia w postaci warstwy ocieplenia budynku - złożenie nowego wniosku do ZDM -  listopad 2024 r."/>
    <n v="0"/>
    <n v="0"/>
    <n v="20"/>
    <n v="0"/>
    <n v="0"/>
    <s v="planowane"/>
    <s v="decyzja"/>
    <s v="ZDM/GPD/I/1A/P/490/2022"/>
    <s v="Zarząd Dróg Miejskich"/>
  </r>
  <r>
    <x v="0"/>
    <x v="0"/>
    <s v="decyzja"/>
    <s v="decyzja o zajęcie pasa drogowego"/>
    <m/>
    <s v="n/d"/>
    <s v="36 miesięcy"/>
    <n v="4480"/>
    <n v="0"/>
    <s v="22.1.1.1."/>
    <s v="Beneficjent"/>
    <s v="umowa dzierżawy - opłata z góry na trzy lata"/>
    <s v="zajęcie pasa drogowego w celu umieszczenia w nim ściennej stacji ładowania ok 0,08 m"/>
    <n v="0"/>
    <n v="0"/>
    <n v="1"/>
    <n v="0"/>
    <n v="0"/>
    <s v="planowane"/>
    <s v="decyzja"/>
    <m/>
    <s v="Zarząd Dróg Miejskich"/>
  </r>
  <r>
    <x v="0"/>
    <x v="0"/>
    <s v="decyzja"/>
    <s v="decyzja o zajęcie pasa drogowego"/>
    <m/>
    <s v="n/d"/>
    <s v="36 miesięcy"/>
    <n v="4480"/>
    <n v="0"/>
    <s v="22.1.1.1."/>
    <s v="Beneficjent"/>
    <s v="umowa dzierżawy - opłata z góry na trzy lata"/>
    <s v="zajęcie pasa drogowego na obiekt służący obsłudze komunikacyjnej nieruchomości"/>
    <n v="0"/>
    <n v="0"/>
    <n v="73"/>
    <n v="0"/>
    <n v="0"/>
    <s v="planowane"/>
    <s v="decyzja"/>
    <m/>
    <s v="Zarząd Dróg Miejskich"/>
  </r>
  <r>
    <x v="0"/>
    <x v="0"/>
    <s v="umowa"/>
    <s v="odbiór odpadów komunalnych"/>
    <n v="45474"/>
    <s v="n/d"/>
    <s v="18 miesięcy"/>
    <n v="4000"/>
    <n v="0"/>
    <s v="22.1.1.1."/>
    <s v="Beneficjent"/>
    <s v="umowa 171/BDG/22 oraz aneks nr 1 i aneks nr 2 przedłużający umowę do 30.06.2024 r."/>
    <s v="odbiór odpadów komunalnych z budynku przy ul. Królewskiej 27. "/>
    <n v="0"/>
    <n v="0"/>
    <n v="0"/>
    <n v="0"/>
    <n v="0"/>
    <s v="umowa"/>
    <s v="umowa/porozumienie"/>
    <s v="171/BDG/22"/>
    <s v="obecnie firma -&quot;Byś&quot;"/>
  </r>
  <r>
    <x v="0"/>
    <x v="0"/>
    <s v="umowa"/>
    <s v="odbiór odpadów komunalnych"/>
    <m/>
    <s v="n/d"/>
    <s v="18 miesięcy"/>
    <n v="4000"/>
    <n v="0"/>
    <s v="22.1.1.1."/>
    <s v="Beneficjent"/>
    <s v="umowa 201/BA/24"/>
    <s v="odbiór odpadów komunalnych z budynku przy ul. Królewskiej 27. "/>
    <n v="42"/>
    <n v="70"/>
    <n v="70"/>
    <n v="70"/>
    <n v="70"/>
    <s v="umowa"/>
    <s v="umowa"/>
    <s v="201/BA/24"/>
    <s v="firma &quot;BYŚ&quot;"/>
  </r>
  <r>
    <x v="0"/>
    <x v="0"/>
    <s v="umowa "/>
    <s v="dostawa wody/odbiór ścieków do budynku"/>
    <n v="44713"/>
    <s v="n/d"/>
    <s v="36 miesięcy lub do wyczerpania kwoty"/>
    <n v="4000"/>
    <n v="0"/>
    <s v="22.1.1.1."/>
    <s v="Beneficjent"/>
    <s v="odprowadzanie ścieków"/>
    <s v="umowa MPWiK został podpisana dnia 14 grudnia 2022 r. Okres obowiązywania umowy: 01.01.2023 do 31.12.2025 lub do wyczerpania środków"/>
    <n v="11"/>
    <n v="15"/>
    <n v="18"/>
    <n v="18"/>
    <n v="20"/>
    <s v="umowa"/>
    <s v="umowa"/>
    <s v="019977/001/2/22; 1577/BDG/22"/>
    <s v="MPWiK"/>
  </r>
  <r>
    <x v="0"/>
    <x v="0"/>
    <s v="umowa "/>
    <s v="dostawa wody/odbiór ścieków do budynku"/>
    <n v="44713"/>
    <s v="n/d"/>
    <s v="36 miesięcy lub do wyczerpania kwoty"/>
    <n v="4000"/>
    <n v="0"/>
    <s v="22.1.1.1."/>
    <s v="Beneficjent"/>
    <s v="dostarczanie wody do budynku"/>
    <s v="umowa MPWiK został podpisana dnia 14 grudnia 2022 r. Okres obowiązywania umowy: 01.01.2023 do 31.12.2025 lub do wyczerpania środków"/>
    <n v="20"/>
    <n v="35"/>
    <n v="37"/>
    <n v="37"/>
    <n v="40"/>
    <s v="umowa"/>
    <s v="umowa"/>
    <s v="019977/001/2/22; 3577/BDG/22"/>
    <s v="MPWiK"/>
  </r>
  <r>
    <x v="0"/>
    <x v="0"/>
    <s v="umowa"/>
    <s v="dostawa energii cieplnej"/>
    <n v="46204"/>
    <s v="n/d"/>
    <s v="48 miesięcy lub do wyczerpania kwoty"/>
    <n v="4000"/>
    <n v="0"/>
    <s v="22.1.1.1."/>
    <s v="Beneficjent"/>
    <s v="Przesył/dystrybucja i dostawa energii cieplnej do budynku przy ul. Królewskiej 27 w Warszawie w latach 2021 - 2024._x000a_Całkowita kwota umowy: 729 565,54 zł"/>
    <s v="Umowa nr 27/U/BDG/2020 z dn. 30.12.2020 r. obowiązuje 01.01.2023 r. do 31.12.2024 r. lub do wyczerpania środków. W związku z wysoką podwyżką cen w 2023 r. został przeprowadzony przetarg. Nowa umowa będzie podpisana pod konie stycznia 2024 r."/>
    <n v="500"/>
    <n v="510"/>
    <n v="520"/>
    <n v="550"/>
    <n v="600"/>
    <s v="umowa"/>
    <s v="umowa"/>
    <m/>
    <s v="obecnie - Veolia Energia Warszawa S.A."/>
  </r>
  <r>
    <x v="0"/>
    <x v="0"/>
    <s v="umowa"/>
    <s v="dostawa energii cieplnej"/>
    <m/>
    <s v="n/d"/>
    <s v="48 MIESIĘCY"/>
    <n v="4000"/>
    <n v="0"/>
    <s v="22.1.1.1."/>
    <s v="Beneficjent"/>
    <s v="Przesył/dystrybucja i dostawa energii cieplnej do budynku przy ul. Królewskiej 27 w Warszawie w latach 2024 - 2027._x000a_Całkowita kwota umowy: 1 758 069,51 zł"/>
    <s v="umowa nr 202/C/BA/23; 3-08059 obowiązuje do 31.12.2027 lub do wyczerpania kwoty"/>
    <n v="502"/>
    <n v="502"/>
    <n v="502"/>
    <n v="550"/>
    <n v="550"/>
    <s v="umowa"/>
    <s v="umowa "/>
    <s v="202/C/BA/23; 3-08059"/>
    <s v="Veolia Energia Warszawa SA"/>
  </r>
  <r>
    <x v="0"/>
    <x v="0"/>
    <s v="umowa"/>
    <s v="dostawa energii elektrycznej"/>
    <n v="45474"/>
    <s v="n/d"/>
    <s v="24 miesiące lub do wyczerpania kwoty"/>
    <n v="4000"/>
    <n v="0"/>
    <s v="22.1.1.1."/>
    <s v="Beneficjent"/>
    <s v="Dostawa energii elektrycznej do budynku przy ul. Królewskiej 27 w Warszawie w latach 2023 – 2024."/>
    <s v="Umowa nr 2022/05/KPRM z dn. 28.09.2022 r. wchodzi w życie z dniem 01.01.2023 r. do 31.12.2024 r. lub do wyczerpania środków. W roku 2024 rozpocznie się postępowanie prowadzone przez COAR na rzecz jap - MC przystąpiło do procedury"/>
    <n v="2500"/>
    <n v="2500"/>
    <n v="2500"/>
    <n v="2500"/>
    <n v="3000"/>
    <s v="umowa"/>
    <s v="umowa"/>
    <s v="2022/05/KPRM"/>
    <s v="obecnie - Tauron Sprzedaż Sp. z o.o."/>
  </r>
  <r>
    <x v="0"/>
    <x v="0"/>
    <s v="umowa"/>
    <s v="dystrybucja energii elektrycznej"/>
    <n v="45474"/>
    <s v="n/d"/>
    <s v="do wyczerpania kwoty"/>
    <n v="4000"/>
    <n v="0"/>
    <s v="22.1.1.1."/>
    <s v="Beneficjent"/>
    <s v="Dystrybucja energii elektrycznej do budynku przy ul. Królewskiej 27 w Warszawie w latach 2022 – czas nieokreślony._x000a_Całkowita kwota umowy: 1 791 210,43 zł"/>
    <s v="Umowa został podpisana dnia 31 stycznia 2022 r. Okres obowiązywania umowy: 01.01.2022 na czas nieokreślony lub do wyczerpania środków. Prawdopodobnie pod koniec 2024 należy wszcząć procedurę przetargową"/>
    <n v="600"/>
    <n v="600"/>
    <n v="650"/>
    <n v="700"/>
    <n v="700"/>
    <s v="umowa"/>
    <s v="umowa"/>
    <s v="ND-D/1040/2021; 1507/BDG/21"/>
    <s v="obecnie - Stoen Operator Sp. z o.o."/>
  </r>
  <r>
    <x v="0"/>
    <x v="0"/>
    <s v="umowa "/>
    <s v="usługa sprzątania i dostawy art. higienicznych "/>
    <n v="45261"/>
    <s v="n/d"/>
    <s v="12 miesięcy"/>
    <n v="4000"/>
    <n v="0"/>
    <s v="22.1.1.1."/>
    <s v="Beneficjent"/>
    <s v="obecna umowa 205/C/BA/23. planowana nowa procedura przetargowa w lipcu 2024 r."/>
    <s v="usługa utrzymania czystości w budynku i wokół budynku w roku 2024 "/>
    <n v="1500"/>
    <n v="1500"/>
    <n v="1500"/>
    <n v="1550"/>
    <n v="1550"/>
    <s v="umowa"/>
    <s v="umowa"/>
    <s v="205/C/BA/23"/>
    <s v="Konsorcjum - lider DGP"/>
  </r>
  <r>
    <x v="0"/>
    <x v="0"/>
    <s v="umowa"/>
    <s v="zakup art. spożywczych"/>
    <n v="45383"/>
    <s v="n/d"/>
    <s v="12 miesięcy"/>
    <n v="4000"/>
    <n v="0"/>
    <s v="22.1.1.1."/>
    <s v="Beneficjent"/>
    <s v="obecna umowa nr 1698/BDG/23 Umowa zawarta na 12 miesięcy od daty podpisania tj. do 05-01-2024  oraz aneks nr 1  wydłużający umowę do 30-06-2024"/>
    <s v="cykliczna dostawa napojów i art.. Spożywczych na potrzeby MC"/>
    <n v="0"/>
    <n v="0"/>
    <n v="0"/>
    <n v="0"/>
    <n v="0"/>
    <s v="planowane"/>
    <s v="umowa"/>
    <m/>
    <s v="Hurtownia BB"/>
  </r>
  <r>
    <x v="0"/>
    <x v="0"/>
    <s v="umowa"/>
    <s v="zakup art.. Spożywczych"/>
    <m/>
    <s v="n/d"/>
    <s v="12 miesięcy"/>
    <n v="4000"/>
    <n v="0"/>
    <s v="22.1.1.1."/>
    <s v="Beneficjent"/>
    <s v="obecna umowa nr 124/BA/24 zawarta na 12 miesięcy od daty podpisania 27.05.2024"/>
    <s v="cykliczna dostawa napojów i art.. Spożywczych na potrzeby MC"/>
    <n v="100"/>
    <n v="120"/>
    <n v="120"/>
    <n v="130"/>
    <n v="130"/>
    <s v="umowa"/>
    <s v="umowa"/>
    <s v="124/BA/24"/>
    <s v="Hurtownia BB"/>
  </r>
  <r>
    <x v="0"/>
    <x v="0"/>
    <s v="umowa"/>
    <s v="zakup art. biurowych"/>
    <n v="2022"/>
    <s v="n/d"/>
    <s v="12 miesięcy"/>
    <n v="4000"/>
    <n v="0"/>
    <s v="22.1.1.1."/>
    <s v="Beneficjent"/>
    <s v="MC zgłosiło udział w postepowaniu prowadzonym przez COAR - prawdopodobne rozstrzygnięcie pod koniec 2024 r."/>
    <s v="sukcesywna dostawa art. biurowych na potrzeby MC"/>
    <n v="48"/>
    <n v="48"/>
    <n v="48"/>
    <n v="48"/>
    <n v="50"/>
    <s v="planowane"/>
    <s v="umowa"/>
    <m/>
    <m/>
  </r>
  <r>
    <x v="0"/>
    <x v="0"/>
    <s v="umowa"/>
    <s v="usługa poligraficzna"/>
    <n v="45383"/>
    <s v="n/d"/>
    <s v="12 miesięcy"/>
    <n v="4000"/>
    <n v="0"/>
    <s v="22.1.1.1."/>
    <s v="Beneficjent"/>
    <s v="usługa poligraficzna"/>
    <s v="dostawa wizytówek, teczek, tablic itp."/>
    <n v="150"/>
    <n v="150"/>
    <n v="150"/>
    <n v="150"/>
    <n v="150"/>
    <s v="planowane"/>
    <s v="wniosek otwarty/umowa   "/>
    <m/>
    <m/>
  </r>
  <r>
    <x v="0"/>
    <x v="0"/>
    <s v="umowa"/>
    <s v="prasa drukowana"/>
    <n v="45292"/>
    <s v="n/d"/>
    <s v="12 miesięcy"/>
    <n v="4000"/>
    <n v="0"/>
    <s v="22.1.1.1."/>
    <s v="Beneficjent"/>
    <s v="prasa drukowana"/>
    <s v="sukcesywna dostaw prasy drukowanej na potrzeby MC umowa nr 457/C/BA/23/A zawarta w dniu 31.01.2024"/>
    <n v="65"/>
    <n v="65"/>
    <n v="65"/>
    <n v="65"/>
    <n v="65"/>
    <s v="planowane"/>
    <s v="umowa"/>
    <s v="457/C/BA/23/A"/>
    <s v="Kolporter SA"/>
  </r>
  <r>
    <x v="0"/>
    <x v="0"/>
    <s v="umowa"/>
    <s v="prasa elektroniczna"/>
    <n v="45292"/>
    <s v="n/d"/>
    <s v="12 miesięcy"/>
    <n v="4000"/>
    <n v="0"/>
    <s v="22.1.1.1."/>
    <s v="Beneficjent"/>
    <s v="prasa elektroniczna"/>
    <s v="dostępy do prasy w formie elektronicznej, umowa 457/C/BA/23/B zawarta w dniu 31.01.2024"/>
    <n v="52"/>
    <n v="52"/>
    <n v="52"/>
    <n v="52"/>
    <n v="52"/>
    <s v="planowane"/>
    <s v="umowa"/>
    <s v="457/C/BA/23/B"/>
    <s v="Kolporter SA"/>
  </r>
  <r>
    <x v="0"/>
    <x v="0"/>
    <s v="umowa"/>
    <s v="dostęp do serwisu Polityka Insight"/>
    <m/>
    <s v="n/d"/>
    <s v="12 miesięcy"/>
    <n v="4000"/>
    <n v="0"/>
    <s v="22.1.1.1."/>
    <s v="Beneficjent"/>
    <s v="dostęp do serwisu  "/>
    <s v="dostęp do serwisu elektronicznego, umowa nr 97/BA/24 zawarta w dniu 18.04.2024"/>
    <n v="25"/>
    <n v="25"/>
    <n v="25"/>
    <n v="25"/>
    <n v="25"/>
    <s v="planowane"/>
    <s v="umowa"/>
    <s v="97/BA/24"/>
    <s v="Polityka Insight Sp. z o.o."/>
  </r>
  <r>
    <x v="0"/>
    <x v="0"/>
    <s v="umowa"/>
    <s v="Inforlex"/>
    <n v="45323"/>
    <s v="n/d"/>
    <s v="36 miesięcy"/>
    <n v="4000"/>
    <n v="0"/>
    <s v="22.1.1.1."/>
    <s v="Beneficjent"/>
    <s v="dostęp elektroniczny"/>
    <s v="dostęp do medium - kompleksowa baza wiedzy adresowana do specjalistów w urzędach oraz osób stosujących na co dzień przepisy w jednostkach sektora finansów publicznych.       _x000a_Płatność jednorazowa na trzy lata"/>
    <n v="0"/>
    <n v="0"/>
    <n v="35"/>
    <n v="0"/>
    <n v="0"/>
    <s v="planowane"/>
    <s v="umowa"/>
    <m/>
    <m/>
  </r>
  <r>
    <x v="0"/>
    <x v="0"/>
    <s v="umowa"/>
    <s v="dostawa papieru kserograficznego A4 i A3"/>
    <n v="45467"/>
    <s v="n/d"/>
    <s v="24 miesiące"/>
    <n v="4000"/>
    <n v="0"/>
    <s v="22.1.1.1."/>
    <s v="Beneficjent"/>
    <s v="dostawa papieru"/>
    <s v="papier kserograficzny różna gramatura dla potrzeb komórek organizacyjnych MC"/>
    <n v="30"/>
    <n v="35"/>
    <n v="35"/>
    <n v="35"/>
    <n v="35"/>
    <s v="planowane"/>
    <s v="umowa"/>
    <m/>
    <m/>
  </r>
  <r>
    <x v="0"/>
    <x v="0"/>
    <s v="wniosek otwarte"/>
    <s v="zakupy bieżące prowadzone przez Wydział Administracyjny"/>
    <n v="45292"/>
    <s v="n/d"/>
    <s v="12 miesięcy (do końca roku budżetowego)"/>
    <n v="4000"/>
    <n v="0"/>
    <s v="22.1.1.1."/>
    <s v="Beneficjent"/>
    <s v="bieżące zakupy, w tym: art. dekoracyjne_x000a_art. ogrodnicze_x000a_art. rtg i AGD_x000a_środki czystości i pielęgnacyjne (nie ujęte w umowę na usługę sprzątania)_x000a_naczynia i art. gospodarstwa domowego, art. chemiczne i higieniczne (nie ujęte w umowie)_x000a_art. chemiczne i higieniczne (nie ujęte w umowie)_x000a_art. tekstylne (zasłony, firany, akcesoria obiciowe)_x000a_wykładziny i chodniki_x000a_karnisze i inne art. okienne (żaluzje, rolety)_x000a_Zakup samochodowych środków czystości i materiałów eksploatacyjnych_x000a_zakup kart wjazdowych dla samochodów na lotnisko"/>
    <s v="zakupy różne związane z bieżącą potrzebą"/>
    <n v="150"/>
    <n v="150"/>
    <n v="160"/>
    <n v="160"/>
    <n v="160"/>
    <s v="planowane"/>
    <s v="wniosek otwarty/umowa"/>
    <m/>
    <m/>
  </r>
  <r>
    <x v="0"/>
    <x v="0"/>
    <s v="wniosek otwarte"/>
    <s v="procedowanie bieżących dostaw i usług przez WG"/>
    <n v="45292"/>
    <s v="n/d"/>
    <s v="wnioski otwarte do końca roku budżetowego"/>
    <n v="4000"/>
    <n v="0"/>
    <s v="22.1.1.1."/>
    <s v="Beneficjent"/>
    <s v="usługi i dostawy, w tym:"/>
    <s v="usługi i dostawy na bieżącą działalność resortu"/>
    <n v="100"/>
    <n v="100"/>
    <n v="120"/>
    <n v="120"/>
    <n v="130"/>
    <s v="planowane"/>
    <s v="wniosek otwarty/umowa"/>
    <m/>
    <m/>
  </r>
  <r>
    <x v="0"/>
    <x v="0"/>
    <s v="wniosek otwarty"/>
    <s v="bilety ZTM"/>
    <n v="45444"/>
    <s v="n/d"/>
    <s v="wniosek otwarty do końca roku budżetowego"/>
    <n v="4000"/>
    <n v="0"/>
    <s v="22.1.1.1."/>
    <s v="Beneficjent"/>
    <s v="bilety ZTM"/>
    <s v="bilety na potrzeby pracowników MC przemieszczających się po Warszawie w sprawach służbowych"/>
    <n v="6"/>
    <n v="6"/>
    <n v="7"/>
    <n v="7"/>
    <n v="8"/>
    <s v="planowane"/>
    <s v="wniosek"/>
    <m/>
    <m/>
  </r>
  <r>
    <x v="0"/>
    <x v="0"/>
    <m/>
    <s v="obsługa transportowa"/>
    <n v="45383"/>
    <s v="n/d"/>
    <s v="umowa obowiązuje do 30.04.2024 "/>
    <n v="4000"/>
    <n v="0"/>
    <s v="22.1.1.1."/>
    <s v="Beneficjent"/>
    <s v="obsługa transportowa MC"/>
    <s v="obsługa transportowa prowadzona przez COI na potrzeby MC do 30.04.2024_x000a_nowa umowa - zakup lub wynajem pojazdów (wcześniej określenie rodzajów/marek/ modeli / parametrów/ pojazdów – wraz z wymaganym przepisami pojazdem elektrycznym "/>
    <n v="0"/>
    <n v="0"/>
    <n v="0"/>
    <n v="0"/>
    <n v="0"/>
    <s v="planowane"/>
    <s v="umowa"/>
    <m/>
    <m/>
  </r>
  <r>
    <x v="0"/>
    <x v="0"/>
    <s v="umowa"/>
    <s v="obsługa transportowa"/>
    <m/>
    <s v="n/d"/>
    <s v="39 miesięcy"/>
    <n v="4000"/>
    <n v="0"/>
    <s v="22.1.1.1."/>
    <s v="Beneficjent"/>
    <s v="obsługa transportowa MC, umowa nr 96/BA/24 z dnia 01.05.2024"/>
    <s v="obsługa transportowa prowadzona przez COI na potrzeby MC"/>
    <n v="3192"/>
    <n v="3192"/>
    <n v="3200"/>
    <n v="3500"/>
    <n v="3500"/>
    <s v="planowana"/>
    <s v="umowa "/>
    <s v="96/BA/24"/>
    <s v="Centralny Ośrodek Informatyki"/>
  </r>
  <r>
    <x v="0"/>
    <x v="0"/>
    <s v="umowa"/>
    <s v="Zakup usług telewizji kablowej dla lokalizacji ul. Królewska 27"/>
    <n v="45566"/>
    <s v="n/d"/>
    <s v="umowa "/>
    <n v="4000"/>
    <n v="0"/>
    <s v="22.1.1.1."/>
    <s v="Beneficjent"/>
    <s v="Zakup usługi sygnału telewizji kablowej dla lokalizacji Królewska 27"/>
    <s v="obecnie obowiązuje umowa nr 640/BI/21. Umowa na świadczenie usług TV zawarta porozumieniem w dniu 06-12-2023 (przeniesienie cesji z KPRM na MC), aneksem nr 1 umowa zawarta na 24 miesiące to jest do 10-2024. Procedurę na kolejną usługę w zakresie należy rozpocząć w sierpniu 2024 r."/>
    <n v="25"/>
    <n v="25"/>
    <n v="25"/>
    <n v="30"/>
    <n v="30"/>
    <s v="planowane"/>
    <s v="obecnie - UPC "/>
    <m/>
    <s v="UPC/P4"/>
  </r>
  <r>
    <x v="0"/>
    <x v="0"/>
    <s v="wnioski otwarte/umowy"/>
    <s v="Zakupy bieżące prowadzone przez Wydział Gospodarczy  art. do prac konserwatorsko- naprawczych"/>
    <n v="45292"/>
    <s v="n/d"/>
    <s v="wnioski"/>
    <n v="4000"/>
    <n v="0"/>
    <s v="22.1.1.1."/>
    <s v="Beneficjent"/>
    <s v="zakupy bieżące na potrzeby MC"/>
    <s v="materiały konserwatorsko - naprawcze na potrzeby MC"/>
    <n v="120"/>
    <n v="120"/>
    <n v="120"/>
    <n v="120"/>
    <n v="120"/>
    <s v="planowane"/>
    <s v="wniosek"/>
    <m/>
    <m/>
  </r>
  <r>
    <x v="0"/>
    <x v="0"/>
    <s v="umowa"/>
    <s v="najem powierzchni biurowej w związku z pracami inwestycyjno-budowlanymi na znacznej powierzchni budynku MC"/>
    <m/>
    <s v="n/d"/>
    <s v="umowa"/>
    <n v="4000"/>
    <n v="0"/>
    <s v="22.1.1.1."/>
    <s v="Beneficjent"/>
    <s v="w przypadku planowanych remontów i inwestycji w budynku MC przy ul. Królewskiej najem powierzchni biurowej"/>
    <s v="najem powierzchni na czas prowadzonych prac inwestycyjno-remontowych"/>
    <n v="907"/>
    <n v="907"/>
    <n v="0"/>
    <n v="0"/>
    <n v="0"/>
    <s v="planowane"/>
    <s v="umowa"/>
    <m/>
    <m/>
  </r>
  <r>
    <x v="0"/>
    <x v="0"/>
    <m/>
    <s v="delegacje służbowe krajowe pracowników BA"/>
    <m/>
    <s v="n/d"/>
    <m/>
    <n v="4000"/>
    <n v="0"/>
    <s v="22.1.1.1."/>
    <m/>
    <s v="delegacje krajowe pracowników BA wynikające z realizowanych zadań"/>
    <s v="realizacja zadań"/>
    <m/>
    <m/>
    <m/>
    <m/>
    <m/>
    <s v="planowane"/>
    <m/>
    <m/>
    <m/>
  </r>
  <r>
    <x v="0"/>
    <x v="0"/>
    <m/>
    <s v="delegacje służbowe zagraniczne pracowników BA"/>
    <m/>
    <s v="n/d"/>
    <m/>
    <n v="4000"/>
    <n v="0"/>
    <s v="22.1.1.1."/>
    <m/>
    <s v="delegacje zagraniczne pracowników BA wynikające z realizowanych zadań"/>
    <s v="realizacja zadań"/>
    <m/>
    <m/>
    <m/>
    <m/>
    <m/>
    <s v="planowane"/>
    <m/>
    <m/>
    <m/>
  </r>
  <r>
    <x v="0"/>
    <x v="0"/>
    <m/>
    <s v="owocowe wtorki"/>
    <m/>
    <s v="n/d"/>
    <m/>
    <n v="4000"/>
    <n v="0"/>
    <s v="22.1.1.1."/>
    <s v="pracownicy MC"/>
    <s v="owoce dla pracowników we wtorki"/>
    <s v="poprawa warunków pracy pracowników"/>
    <n v="50"/>
    <n v="55"/>
    <n v="60"/>
    <n v="65"/>
    <n v="70"/>
    <s v="planowane kontynuacja"/>
    <m/>
    <m/>
    <m/>
  </r>
  <r>
    <x v="0"/>
    <x v="0"/>
    <s v="umowa"/>
    <s v="Sukcesywne świadczenie usług polegających na przemieszczaniu wyposażenia oraz usług transportowych wykonywanych w związku z przewozem wyposażenia"/>
    <s v="wniosek wrzesień 2023 r., a także planowany wniosek w lipcu 2024 r. na zawarcie aneksu do umowy"/>
    <s v="n/d"/>
    <s v="15 m-cy od podpisania umowy lub do wyczerpania środków na umowie"/>
    <n v="4000"/>
    <n v="0"/>
    <s v="22.1.1.1."/>
    <s v="Beneficjent"/>
    <s v="Sukcesywne świadczenie usług polegających na przemieszczaniu wyposażenia oraz usług transportowych wykonywanych w związku z przewozem wyposażenia"/>
    <s v="Sukcesywne świadczenie usług polegających na przemieszczaniu wyposażenia oraz usług transportowych wykonywanych w związku z przewozem wyposażenia. "/>
    <n v="110"/>
    <n v="120"/>
    <n v="129"/>
    <n v="129"/>
    <n v="129"/>
    <s v="umowa"/>
    <s v="umowa"/>
    <s v="296/C/BA/23 z 5.10.2023 r."/>
    <s v="firma Japa&amp;Co Dariusz Jakubowski "/>
  </r>
  <r>
    <x v="0"/>
    <x v="0"/>
    <s v="zamówienie/umowa"/>
    <s v="Zakup mebli i foteli pracowniczych"/>
    <s v="wniosek luty 2024 r. oraz wniosek uzupełniający w kwietniu 2024 r."/>
    <s v="n/d"/>
    <s v="wg potrzeb"/>
    <n v="4000"/>
    <n v="0"/>
    <s v="22.1.1.1."/>
    <s v="Beneficjent"/>
    <s v="Zakup mebli i foteli pracowniczych"/>
    <s v="Zakup mebli i foteli pracowniczych (zakup składników majątkowych)"/>
    <n v="147"/>
    <n v="146"/>
    <n v="146"/>
    <n v="145"/>
    <n v="145"/>
    <s v="umowy/zamówienia wg potrzeb"/>
    <s v="umowy/zamówienia"/>
    <s v="57/BA/24 z 29.03.2024 r., 127/BA/2024 z 22.05.2024 r., 127/BA/2024/1 z 20.06.2024 r."/>
    <s v="Bemondi sp. z o.o.; Contract sp. z o.o.; Lobby meble s.c. Tomasz Madlewski, Krzysztof Łudzik"/>
  </r>
  <r>
    <x v="0"/>
    <x v="0"/>
    <s v="zamówienie/umowa"/>
    <s v="Zakup mebli i foteli pracowniczych"/>
    <s v="wniosek luty 2024 r. oraz wniosek uzupełniający w kwietniu 2024 r."/>
    <s v="n/d"/>
    <s v="wg potrzeb"/>
    <n v="4000"/>
    <n v="0"/>
    <s v="22.1.1.1."/>
    <s v="Beneficjent"/>
    <s v="Zakup mebli i foteli pracowniczych"/>
    <s v="Zakup mebli i foteli pracowniczych (koszty dostawy)"/>
    <n v="12"/>
    <n v="13"/>
    <n v="13"/>
    <n v="14"/>
    <n v="14"/>
    <s v="umowy/zamówienia wg potrzeb"/>
    <s v="umowy/zamówienia"/>
    <s v="57/BA/24 z 29.03.2024 r., 127/BA/2024 z 22.05.2024 r."/>
    <s v="Bemondi sp. z o.o.; Contract sp. z o.o."/>
  </r>
  <r>
    <x v="0"/>
    <x v="0"/>
    <s v="zamówienie/umowa"/>
    <s v="Zakup sprzętu i wyposażenia biurowego, RTV, AGD, np. Niszczarek, klimatyzatorów, wentylatorów, lodówek, ekspresów do kawy, kuchenek mikrofalowych, czajników"/>
    <s v="wniosek I kw. 2024 r."/>
    <s v="n/d"/>
    <s v="wg potrzeb"/>
    <n v="4000"/>
    <n v="0"/>
    <s v="22.1.1.1."/>
    <s v="Beneficjent"/>
    <s v="Zakup sprzętu i wyposażenia biurowego, RTV, AGD, np. Niszczarek, klimatyzatorów, wentylatorów, lodówek, ekspresów do kawy, kuchenek mikrofalowych, czajników"/>
    <s v="Zakup sprzętu i wyposażenia biurowego, RTV, AGD, np. Niszczarek, klimatyzatorów, wentylatorów, lodówek, ekspresów do kawy, kuchenek mikrofalowych, czajników (zakup składników majątkowych i wyposażenia)"/>
    <n v="75"/>
    <n v="80"/>
    <n v="85"/>
    <n v="90"/>
    <n v="95"/>
    <s v="zamówienia wg potrzeb"/>
    <s v="wniosek otwarty/umowa"/>
    <m/>
    <m/>
  </r>
  <r>
    <x v="0"/>
    <x v="0"/>
    <s v="zamówienie/umowa"/>
    <s v="Zakup sprzętu i wyposażenia biurowego, RTV, AGD, np. Niszczarek, klimatyzatorów, wentylatorów, lodówek, ekspresów do kawy, kuchenek mikrofalowych, czajników"/>
    <s v="wniosek I kw. 2024 r."/>
    <s v="n/d"/>
    <s v="wg potrzeb"/>
    <n v="4000"/>
    <n v="0"/>
    <s v="22.1.1.1."/>
    <s v="Beneficjent"/>
    <s v="Zakup sprzętu i wyposażenia biurowego, RTV, AGD, np. Niszczarek, klimatyzatorów, wentylatorów, lodówek, ekspresów do kawy, kuchenek mikrofalowych, czajników"/>
    <s v="Zakup sprzętu i wyposażenia biurowego, RTV, AGD, np. Niszczarek, klimatyzatorów, wentylatorów, lodówek, ekspresów do kawy, kuchenek mikrofalowych, czajników (koszty dostawy)"/>
    <n v="2"/>
    <n v="2"/>
    <n v="3"/>
    <n v="3"/>
    <n v="3"/>
    <s v="zamówienia wg potrzeb"/>
    <s v="wniosek otwarty/umowa"/>
    <m/>
    <m/>
  </r>
  <r>
    <x v="0"/>
    <x v="0"/>
    <s v="zamówienie"/>
    <s v="Renowacja i konserwacja mebli i wyposażenia (drewnianego, metalowego)"/>
    <s v="planowany wniosek IV kw. 2024 r."/>
    <s v="n/d"/>
    <s v="wg potrzeb"/>
    <n v="4000"/>
    <n v="0"/>
    <s v="22.1.1.1."/>
    <s v="Beneficjent"/>
    <s v="Renowacja i konserwacja mebli i wyposażenia (drewnianego, metalowego)"/>
    <s v="Renowacja i konserwacja mebli i wyposażenia (drewnianego, metalowego)"/>
    <n v="15"/>
    <n v="15"/>
    <n v="17"/>
    <n v="17"/>
    <n v="17"/>
    <s v="planowane"/>
    <m/>
    <m/>
    <m/>
  </r>
  <r>
    <x v="0"/>
    <x v="0"/>
    <s v="umowa"/>
    <s v="Ubezpieczenie majątku Ministerstwa"/>
    <s v="wniosek grudzień 2023 r."/>
    <s v="n/d"/>
    <s v="grudzień 2026 r."/>
    <n v="4430"/>
    <n v="0"/>
    <s v="22.1.1.1."/>
    <s v="Beneficjent"/>
    <s v="Ubezpieczenie majątku Ministerstwa"/>
    <s v="Ubezpieczenie majątku Ministerstwa"/>
    <n v="230"/>
    <n v="230"/>
    <n v="276"/>
    <n v="276"/>
    <n v="276"/>
    <s v="umowa"/>
    <s v="umowa"/>
    <s v="2023/04 (wniosek 408/BA/C/23)"/>
    <s v="Zamówienie centralne COAR, umowa zawarta z konsorcjum PZU S.A. oraz TUiR Warta S.A."/>
  </r>
  <r>
    <x v="0"/>
    <x v="0"/>
    <s v="zamówienie/polisa"/>
    <s v="Ubezpieczenie OC/AC samochodu osobowego"/>
    <s v="grudzień 2024 r."/>
    <s v="n/d"/>
    <s v="grudzień 2025 r."/>
    <n v="4430"/>
    <n v="0"/>
    <s v="22.1.1.1."/>
    <s v="Beneficjent"/>
    <s v="Ubezpieczenie OC/AC samochodu osobowego"/>
    <s v="Ubezpieczenie OC/AC samochodu osobowego"/>
    <n v="4"/>
    <n v="0"/>
    <n v="0"/>
    <n v="0"/>
    <n v="0"/>
    <s v="polisa"/>
    <s v="polisa"/>
    <s v="polisa nr 1089942168"/>
    <s v="PZU S.A."/>
  </r>
  <r>
    <x v="0"/>
    <x v="0"/>
    <s v="umowa"/>
    <s v="Usługa odbioru i utylizacji odpadów MC"/>
    <s v="wniosek marzec 2024 r."/>
    <s v="n/d"/>
    <s v="czerwiec 2025 r."/>
    <n v="4000"/>
    <n v="0"/>
    <s v="22.1.1.1."/>
    <s v="Beneficjent"/>
    <s v="Usługa odbioru i utylizacji odpadów MC"/>
    <s v="Usługa odbioru i utylizacji odpadów MC"/>
    <n v="300"/>
    <n v="300"/>
    <n v="300"/>
    <n v="300"/>
    <n v="300"/>
    <s v="planowana umowa"/>
    <s v="umowa"/>
    <s v="w trakcie przetargu"/>
    <s v="w trakcie przetargu"/>
  </r>
  <r>
    <x v="0"/>
    <x v="0"/>
    <s v="zamówienie"/>
    <s v="Zakup wyposażenia dla SOP"/>
    <s v="wniosek czerwiec 2024 r."/>
    <s v="n/d"/>
    <s v="lipiec 2024 r."/>
    <n v="4000"/>
    <n v="0"/>
    <s v="22.1.1.1."/>
    <s v="Beneficjent"/>
    <s v="Zakup wyposażenia dla SOP"/>
    <s v="Zakup wyposażenia dla SOP"/>
    <n v="0"/>
    <n v="0"/>
    <n v="0"/>
    <n v="0"/>
    <n v="0"/>
    <s v="zamówienie"/>
    <s v="zamówienie"/>
    <m/>
    <m/>
  </r>
  <r>
    <x v="0"/>
    <x v="0"/>
    <s v="n/d"/>
    <s v="Zakup licencji i wsparcia - MC"/>
    <s v="n/d"/>
    <s v="n/d"/>
    <s v="n/d"/>
    <n v="4000"/>
    <n v="0"/>
    <s v="22.1.1.1."/>
    <s v="budżet państwa (z wyjątkiem GDDKiA)"/>
    <s v="Zakup licencji i wsparcia - MC"/>
    <s v="Zakup licencji i usług wsparcia na potrzeby sieci LAN/WAN MC, które powstały w wyniku wydzielenia MC ze struktur KPRM  (licencje i suport)"/>
    <n v="0"/>
    <n v="0"/>
    <n v="0"/>
    <n v="0"/>
    <n v="0"/>
    <s v="planowane"/>
    <s v="nie dotyczy"/>
    <m/>
    <s v="n/d"/>
  </r>
  <r>
    <x v="0"/>
    <x v="0"/>
    <s v="n/d"/>
    <s v="Zakup urządzeń sieciowych - MC"/>
    <s v="n/d"/>
    <s v="n/d"/>
    <s v="n/d"/>
    <n v="6060"/>
    <n v="0"/>
    <s v="22.1.1.1."/>
    <s v="budżet państwa (z wyjątkiem GDDKiA)"/>
    <s v="Zakup urządzeń sieciowych - MC"/>
    <s v="Zakup urządzeń potrzeby sieci LAN/WAN MC, które powstały w wyniku wydzielenia MC ze struktur KPRM  (Serwer HCI, switche core, switche accessowe, firewall brzegowy, sieć WiFi (kontrolery oraz access pointy), Routery)"/>
    <n v="16000"/>
    <n v="0"/>
    <n v="0"/>
    <n v="0"/>
    <n v="0"/>
    <s v="planowane"/>
    <s v="nie dotyczy"/>
    <m/>
    <s v="n/d"/>
  </r>
  <r>
    <x v="0"/>
    <x v="0"/>
    <s v="n/d"/>
    <s v="zakupy inwestycyjne na potrzeby MC"/>
    <s v="n/d"/>
    <m/>
    <s v="n/d"/>
    <n v="6060"/>
    <n v="0"/>
    <s v="22.1.1.1."/>
    <m/>
    <s v="zakupy inwestycyjne na potrzeby MC"/>
    <s v="skaner, bramka itp.."/>
    <n v="0"/>
    <n v="0"/>
    <n v="0"/>
    <n v="0"/>
    <n v="0"/>
    <s v="planowane"/>
    <s v="nie dotyczy"/>
    <m/>
    <s v="n/d"/>
  </r>
  <r>
    <x v="0"/>
    <x v="0"/>
    <s v="n/d"/>
    <s v="Zakup urządzeń teleinformatycznych na potrzeby nowych pracowników, wymiany urządzań uszkodzonych (laptopy i inny niskocenny sprzęt dla pracowników MC)."/>
    <s v="n/d"/>
    <s v="n/d"/>
    <s v="n/d"/>
    <n v="4000"/>
    <n v="0"/>
    <s v="22.1.1.1."/>
    <s v="budżet państwa (z wyjątkiem GDDKiA)"/>
    <s v="Zakup urządzeń teleinformatycznych na potrzeby nowych pracowników, wymiany urządzań uszkodzonych (laptopy i inny niskocenny sprzęt dla pracowników MC). "/>
    <s v="Zakup telefonów, laptopów, monitorów, stacji dokujących i urządzeń peryferyjnych na potrzeby pracowników MC."/>
    <n v="0"/>
    <n v="0"/>
    <n v="0"/>
    <n v="0"/>
    <n v="0"/>
    <s v="planowane"/>
    <s v="nie dotyczy"/>
    <m/>
    <s v="n/d"/>
  </r>
  <r>
    <x v="0"/>
    <x v="0"/>
    <s v="n/d"/>
    <s v="Zakup - wyposażenie stanowisk pracy zgodnie z wymogami BHP "/>
    <s v="n/d"/>
    <s v="n/d"/>
    <s v="n/d"/>
    <n v="4000"/>
    <n v="0"/>
    <s v="22.1.1.1."/>
    <s v="budżet państwa (z wyjątkiem GDDKiA)"/>
    <s v="Zakup - wyposażenie stanowisk pracy zgodnie z wymogami BHP "/>
    <s v="Zakup podstawek pod monitor, monitorów w zw. z wejściem w życie w listopadzie 2023 r.  nowych przepisów BHP dot. wyposażenia stanowisk pracy podczas pracy zdalnej"/>
    <n v="0"/>
    <n v="0"/>
    <n v="0"/>
    <n v="0"/>
    <n v="0"/>
    <s v="planowane"/>
    <s v="nie dotyczy"/>
    <m/>
    <s v="n/d"/>
  </r>
  <r>
    <x v="0"/>
    <x v="0"/>
    <s v="n/d"/>
    <s v="Łącze internetowe - MC"/>
    <s v="n/d"/>
    <s v="n/d"/>
    <s v="n/d"/>
    <n v="4000"/>
    <n v="0"/>
    <s v="22.1.1.1."/>
    <s v="budżet państwa (z wyjątkiem GDDKiA)"/>
    <s v="Łącze internetowe - MC"/>
    <s v="Zapewnienie dostępu do Internetu i usług świadczonych z wykorzystaniem sieci publicznej."/>
    <n v="0"/>
    <n v="0"/>
    <n v="0"/>
    <n v="0"/>
    <n v="0"/>
    <s v="planowane"/>
    <s v="umowa "/>
    <s v="14/DSP/NASK/2019 (NASK 39471) z 30.09.2019 r. z późniejszymi aneksami - internet dla MC"/>
    <s v="NASK S.A"/>
  </r>
  <r>
    <x v="0"/>
    <x v="0"/>
    <s v="n/d"/>
    <s v="Telefonia komórkowa - MC"/>
    <s v="n/d"/>
    <s v="n/d"/>
    <s v="n/d"/>
    <n v="4000"/>
    <n v="0"/>
    <s v="22.1.1.1."/>
    <s v="budżet państwa (z wyjątkiem GDDKiA)"/>
    <s v="Telefonia komórkowa - MC"/>
    <s v="Zapewnienie komunikacji telefonicznej pracowników MC. Kwota 2431 tys. zł. do rozbicia na trzy lata - do ustalenia z BA."/>
    <n v="0"/>
    <n v="0"/>
    <n v="0"/>
    <n v="0"/>
    <n v="0"/>
    <s v="planowane"/>
    <s v="umowa"/>
    <s v="2021/06 (do 31 stycznia 2024 r.)"/>
    <s v="T-Mobile Polska S.A."/>
  </r>
  <r>
    <x v="0"/>
    <x v="0"/>
    <s v="n/d"/>
    <s v="Zakup certyfikatów SSL - MC"/>
    <s v="n/d"/>
    <s v="n/d"/>
    <s v="n/d"/>
    <n v="4000"/>
    <n v="0"/>
    <s v="22.1.1.1."/>
    <s v="budżet państwa (z wyjątkiem GDDKiA)"/>
    <s v="Zakup certyfikatów SSL - MC"/>
    <s v="Zapewnienie poufności połączeniom z serwisami internetowymi"/>
    <n v="0"/>
    <n v="0"/>
    <n v="0"/>
    <n v="0"/>
    <n v="0"/>
    <s v="planowane"/>
    <s v="nie dotyczy"/>
    <m/>
    <s v="n/d"/>
  </r>
  <r>
    <x v="0"/>
    <x v="0"/>
    <s v="n/d"/>
    <s v="Umowa z COI na świadczenie obsługi informatycznej i teletechnicznej - MC"/>
    <s v="n/d"/>
    <s v="n/d"/>
    <s v="n/d"/>
    <n v="4000"/>
    <n v="0"/>
    <s v="22.1.1.1."/>
    <s v="Beneficjent"/>
    <s v="Umowa z COI na świadczenie obsługi informatycznej i teletechnicznej - MC"/>
    <s v="Zapewnienie dostępu MC do infrastruktury teleinformatycznej"/>
    <n v="0"/>
    <n v="0"/>
    <n v="0"/>
    <n v="0"/>
    <n v="0"/>
    <s v="procedowana umowa/porozumienie"/>
    <s v="procedowana"/>
    <m/>
    <s v="COI"/>
  </r>
  <r>
    <x v="0"/>
    <x v="0"/>
    <s v="Zamówienie "/>
    <s v="Serwis internetowy SzuKIO"/>
    <n v="45352"/>
    <s v="n/d"/>
    <s v="12 miesięcy"/>
    <n v="4000"/>
    <n v="0"/>
    <s v="22.1.1.1."/>
    <s v="Beneficjent"/>
    <s v="Dostęp do serwisu SzuKIO.pl - autorskiej bazy orzeczeń z zakresu zamówień bez limitu osób"/>
    <s v="Udzielenie zamówienia jest konieczne w celu wsparcia zespołu do spraw zamówień publicznych w bieżącej interpretacji przepisów z zakresu zamówień publicznych.  Portal Zamówień Publicznych umożliwia dostęp do artykułów dotyczących interpretacji przepisów Prawa zamówień publicznych oraz  porad ekspertów, a także wzorów dokumentów i orzeczeń. "/>
    <n v="6"/>
    <n v="6"/>
    <n v="6"/>
    <n v="6"/>
    <n v="7"/>
    <s v="planowane"/>
    <s v="zamówienie"/>
    <m/>
    <s v="Wykonawca zostanie określony po rozstrzygnięciu procedury wyłonienia"/>
  </r>
  <r>
    <x v="0"/>
    <x v="0"/>
    <s v="Zamówienie "/>
    <s v="Serwis internetowy z obszaru Prawa zamówień publicznych"/>
    <s v="Złożony wniosek nr 402/BA/C/23 oraz 15.02.2024"/>
    <s v="n/d"/>
    <s v="12 miesięcy"/>
    <n v="4000"/>
    <n v="0"/>
    <s v="22.1.1.1."/>
    <s v="Beneficjent"/>
    <s v="Dostęp do serwisów z artykułami dotyczącymi obszarów zamówień publicznych"/>
    <s v="Udzielenie zamówienia jest konieczne w celu bieżącej interpretacji przepisów z zakresu zamówień publicznych Zamówienie to będzie znaczącym wsparciem w pracy zespołu do spraw zamówień publicznych z możliwością indywidulanych porad ekspertów. "/>
    <n v="2"/>
    <n v="3"/>
    <n v="3"/>
    <n v="3"/>
    <n v="4"/>
    <s v="planowane"/>
    <s v="zamówienie"/>
    <m/>
    <s v="Wiedza i Praktyka Sp. z o.o. ul Łotewska 9a, 03-918 Warszawa"/>
  </r>
  <r>
    <x v="0"/>
    <x v="0"/>
    <s v="umowa"/>
    <s v="Usługi prawne"/>
    <n v="45352"/>
    <s v="n/d"/>
    <s v="24 miesiące"/>
    <n v="4000"/>
    <n v="0"/>
    <s v="22.1.1.1."/>
    <s v="Beneficjent"/>
    <s v="Umowa ramowa na świadczenie usług w zakresie wsparcia prawnego w obszarze zamówień publicznych (reprezentacja przed KIO, pisanie pism procesowych, opinie prawne)."/>
    <s v="Udzielenie zamówienie ma na celu wyłonienie wykonawcy do zastępstwa procesowego w rozprawach przed Krajową Izbą Odwoławczą oraz do przygotowywania pism procesowych."/>
    <n v="60"/>
    <n v="65"/>
    <n v="65"/>
    <n v="70"/>
    <n v="70"/>
    <s v="planowane"/>
    <s v="umowa"/>
    <m/>
    <s v="Wykonawca zostanie określony po rozstrzygnięciu procedury wyłonienia"/>
  </r>
  <r>
    <x v="0"/>
    <x v="0"/>
    <s v="umowa"/>
    <s v="Platforma zakupowa"/>
    <n v="45352"/>
    <s v="n/d"/>
    <s v="12 miesięcy"/>
    <n v="4000"/>
    <n v="0"/>
    <s v="22.1.1.1."/>
    <s v="Beneficjent"/>
    <s v="Dostęp do platformy zakupowej w celu publikacji postępowań o udzielenie zamówień publicznych"/>
    <s v="Udzielenie zamówienia ma na celu wykorzystanie komercyjnej platformy zakupowej w procesie udzielania zamówień publicznych "/>
    <n v="20"/>
    <n v="20"/>
    <n v="25"/>
    <n v="25"/>
    <n v="30"/>
    <s v="umowa"/>
    <s v="umowa"/>
    <s v="181/BA/24"/>
    <s v="Otwarty Rynek Elektroniczny S.A.  ul. Domaniewska 49, 02-672 Warszawa"/>
  </r>
  <r>
    <x v="0"/>
    <x v="0"/>
    <s v="wniosek otwarty"/>
    <s v="Naprawy, przeglądy, modernizacje, uzupełnienia w systemach bezpieczeństwa MC ul. Królewska 27"/>
    <s v="Wniosek składany corocznie. Nie można określić dokładnych kwot dla poszczególnych paragrafów."/>
    <s v="n/d"/>
    <s v="2024-2029"/>
    <n v="4000"/>
    <n v="0"/>
    <s v="22.1.1.1."/>
    <s v="Beneficjent"/>
    <s v="Naprawy, przeglądy, modernizacje, uzupełnienia w systemach bezpieczeństwa MC ul. Królewska 27"/>
    <s v="Utrzymanie systemów bezpieczeństwa w budynku MC ul. Królewska 27"/>
    <n v="80"/>
    <n v="80"/>
    <n v="80"/>
    <n v="80"/>
    <n v="50"/>
    <s v="Wniosek otwarty"/>
    <s v="Złożono wniosek na rok 2024"/>
    <m/>
    <m/>
  </r>
  <r>
    <x v="0"/>
    <x v="0"/>
    <s v="wniosek otwarty"/>
    <s v="Naprawy, przeglądy, modernizacje, uzupełnienia w systemach bezpieczeństwa MC ul. Królewska 27"/>
    <s v="Wniosek składany corocznie. Nie można określić dokładnych kwot dla poszczególnych paragrafów."/>
    <s v="n/d"/>
    <s v="2024-2029"/>
    <n v="4270"/>
    <n v="0"/>
    <s v="22.1.1.1."/>
    <s v="Beneficjent"/>
    <s v="Naprawy, przeglądy, modernizacje, uzupełnienia w systemach bezpieczeństwa MC ul. Królewska 27"/>
    <s v="Utrzymanie systemów bezpieczeństwa w budynku MC ul. Królewska 27"/>
    <n v="39"/>
    <n v="39"/>
    <n v="39"/>
    <n v="39"/>
    <n v="25"/>
    <s v="Wniosek otwarty"/>
    <s v="Złożono wniosek na rok 2024"/>
    <m/>
    <m/>
  </r>
  <r>
    <x v="0"/>
    <x v="0"/>
    <s v="wniosek otwarty"/>
    <s v="Naprawy, przeglądy, modernizacje, uzupełnienia w systemach bezpieczeństwa MC ul. Królewska 27"/>
    <s v="Wniosek składany corocznie. Nie można określić dokładnych kwot dla poszczególnych paragrafów."/>
    <s v="n/d"/>
    <s v="2024-2029"/>
    <n v="4000"/>
    <n v="0"/>
    <s v="22.1.1.1."/>
    <s v="Beneficjent"/>
    <s v="Naprawy, przeglądy, modernizacje, uzupełnienia w systemach bezpieczeństwa MC ul. Królewska 27"/>
    <s v="Utrzymanie systemów bezpieczeństwa w budynku MC ul. Królewska 27"/>
    <n v="20"/>
    <n v="20"/>
    <n v="20"/>
    <n v="20"/>
    <n v="15"/>
    <s v="Wniosek otwarty"/>
    <s v="Złożono wniosek na rok 2024"/>
    <m/>
    <m/>
  </r>
  <r>
    <x v="0"/>
    <x v="0"/>
    <s v="wniosek otwarty"/>
    <s v="Zakup materiałów do personalizacji identyfikatorów (karty, taśmy do drukarki)"/>
    <s v="Wniosek składany corocznie. Nie można określić kwot dla poszczególnych paragrafów."/>
    <s v="n/d"/>
    <s v="2024-2029"/>
    <n v="4000"/>
    <n v="0"/>
    <s v="22.1.1.1."/>
    <s v="Beneficjent"/>
    <s v="Zakup materiałów do personalizacji identyfikatorów (karty, taśmy do drukarki)"/>
    <s v="Identyfikacja osób oraz kontrola ruchu osobowego w budynku MC ul. Królewska 27"/>
    <n v="5"/>
    <n v="6"/>
    <n v="7"/>
    <n v="8"/>
    <n v="9"/>
    <s v="planowane"/>
    <m/>
    <m/>
    <m/>
  </r>
  <r>
    <x v="0"/>
    <x v="0"/>
    <s v="n/d"/>
    <s v="Usługa ochrony obiektu i obsługi recepcji w budynku MC ul. Królewska 27"/>
    <s v="Bieżąca Umowa z firmą Basma do 30 Listopada 2024._x000a_W latach kolejnych nowe umowy"/>
    <s v="n/d"/>
    <s v="2024-2029 "/>
    <n v="4000"/>
    <n v="0"/>
    <s v="22.1.1.1."/>
    <s v="Beneficjent"/>
    <s v="Usługa ochrony obiektu i obsługi recepcji w budynku MC ul. Królewska 27"/>
    <s v="Zapewnienie bezpieczeństwa budynku i pracowników MC ul. Królewska 27 oraz obsługa recepcji."/>
    <n v="2130"/>
    <n v="1953"/>
    <n v="3000"/>
    <n v="3000"/>
    <n v="3500"/>
    <s v="umowa"/>
    <s v="umowa "/>
    <s v="1155/BDG/22 do 30.11.2024"/>
    <m/>
  </r>
  <r>
    <x v="0"/>
    <x v="0"/>
    <s v="wniosek/umowa"/>
    <s v="Okresowy przegląd podręcznego sprzętu gaśniczego w budynku przy ul. Królewskiej 27 oraz wymiana wyeksploatowanych części._x000a_Aktualizacja IBP"/>
    <s v="Wniosek składany corocznie. Nie można określić kwot dla poszczególnych paragrafów."/>
    <s v="n/d"/>
    <s v="2024-2029"/>
    <n v="4000"/>
    <n v="0"/>
    <s v="22.1.1.1."/>
    <s v="Beneficjent"/>
    <s v="Okresowy przegląd podręcznego sprzętu gaśniczego w budynku przy ul. Królewskiej 27 oraz wymiana wyeksploatowanych części._x000a_Aktualizacja IBP"/>
    <s v="Zapewnienie bezpieczeństwa PPOŻ budynku MC ul. Królewska 27"/>
    <n v="30"/>
    <n v="35"/>
    <n v="40"/>
    <n v="45"/>
    <n v="50"/>
    <s v="planowane"/>
    <s v="nie dotyczy"/>
    <m/>
    <m/>
  </r>
  <r>
    <x v="0"/>
    <x v="0"/>
    <s v="wniosek/umowa"/>
    <s v="Okresowy przegląd podręcznego sprzętu gaśniczego w budynku przy ul. Królewskiej 27 oraz wymiana wyeksploatowanych części._x000a_Aktualizacja IBP"/>
    <s v="Wniosek składany corocznie. Nie można określić kwot dla poszczególnych paragrafów."/>
    <s v="n/d"/>
    <s v="2024-2029"/>
    <n v="4270"/>
    <n v="0"/>
    <s v="22.1.1.1."/>
    <s v="Beneficjent"/>
    <s v="Okresowy przegląd podręcznego sprzętu gaśniczego w budynku przy ul. Królewskiej 27 oraz wymiana wyeksploatowanych części._x000a_Aktualizacja IBP"/>
    <s v="Zapewnienie bezpieczeństwa PPOŻ budynku MC ul. Królewska 27"/>
    <n v="15"/>
    <n v="15"/>
    <n v="20"/>
    <n v="25"/>
    <n v="25"/>
    <s v="planowane"/>
    <s v="nie dotyczy"/>
    <m/>
    <m/>
  </r>
  <r>
    <x v="0"/>
    <x v="0"/>
    <s v="wniosek/umowa"/>
    <s v="Okresowy przegląd podręcznego sprzętu gaśniczego w budynku przy ul. Królewskiej 27 oraz wymiana wyeksploatowanych części._x000a_Aktualizacja IBP"/>
    <s v="Wniosek składany corocznie. Nie można określić kwot dla poszczególnych paragrafów."/>
    <s v="n/d"/>
    <s v="2024-2029"/>
    <n v="4000"/>
    <n v="0"/>
    <s v="22.1.1.1."/>
    <s v="Beneficjent"/>
    <s v="Okresowy przegląd podręcznego sprzętu gaśniczego w budynku przy ul. Królewskiej 27 oraz wymiana wyeksploatowanych części._x000a_Aktualizacja IBP"/>
    <s v="Zapewnienie bezpieczeństwa PPOŻ budynku MC ul. Królewska 27"/>
    <n v="5"/>
    <n v="10"/>
    <n v="10"/>
    <n v="10"/>
    <n v="15"/>
    <s v="planowane"/>
    <s v="nie dotyczy"/>
    <m/>
    <m/>
  </r>
  <r>
    <x v="0"/>
    <x v="0"/>
    <s v="wniosek/umowa"/>
    <s v="Rozbudowy, modernizacje, reorganizacje SKD związana z pracami przy realizacji inwestycji w zakresie ,wentylacji i klimatyzacji oraz PPOŻ i innych. "/>
    <s v="wniosek/umowa IV kwartał 2024 lub kolejne lata "/>
    <s v="n/d"/>
    <s v="W trakcie lub/oraz po zakończeniu inwestycji w zakresie ,wentylacji i klimatyzacji oraz PPOŻ i innych tj. 2024-2026"/>
    <n v="4000"/>
    <n v="0"/>
    <s v="22.1.1.1"/>
    <s v="Beneficjent"/>
    <s v="Rozbudowy, modernizacje, reorganizacje SKD związana z pracami przy realizacji inwestycji w zakresie, wentylacji i klimatyzacji oraz PPOŻ i innych. Zmiany wynikające z planowanych inwestycji mogą spowodować koniczność zmian SKD. rozbudowa o nowe strefy KD, konfiguracja ustawień, integracja nowych i istniejących systemów, zmiany usytuowania elementów SKD, CCTV, itp. "/>
    <s v="Zapewnienie bezpieczeństwa budynku i pracowników MC ul. Królewska 27 oraz obsługa recepcji."/>
    <n v="139"/>
    <n v="139"/>
    <n v="139"/>
    <n v="50"/>
    <n v="50"/>
    <s v="planowane"/>
    <m/>
    <m/>
    <m/>
  </r>
  <r>
    <x v="0"/>
    <x v="0"/>
    <s v="wniosek/umowa "/>
    <s v="Serwis/przeglądy/ naprawy skanera RTG oraz bramki detekcyjnej "/>
    <s v="wniosek/umowa styczeń 2026"/>
    <s v="n/d"/>
    <s v="Po wygaśnięciu gwarancji tj. od marca 2026 roku"/>
    <n v="4000"/>
    <n v="0"/>
    <s v="22.1.1.1"/>
    <s v="Beneficjent"/>
    <s v="Urządzenia RTG oraz bramka detekcyjna wymagają okresowych przeglądów, serwisów oraz ewentualnych napraw w celu zapewnienia prawidłowego oraz bezpiecznego użytkowania. "/>
    <s v="Zapewnienie bezpieczeństwa budynku i pracowników MC ul. Królewska 27 oraz obsługa recepcji."/>
    <n v="0"/>
    <n v="30"/>
    <n v="30"/>
    <n v="40"/>
    <n v="40"/>
    <s v="planowane"/>
    <m/>
    <m/>
    <m/>
  </r>
  <r>
    <x v="0"/>
    <x v="0"/>
    <s v="wniosek/umowa "/>
    <s v="Środowiskowe badania dozymetryczne"/>
    <s v="kolejny wniosek/umowa styczeń 2025"/>
    <s v="n/d"/>
    <s v="Badania wykonywane są kwartalnie od 2024 r."/>
    <n v="4000"/>
    <n v="0"/>
    <s v="22.1.1.1"/>
    <s v="Beneficjent"/>
    <s v="Urządzenia wytwarzające promieniowanie jonizujące wymagają stałej kontroli dozymetrycznej wynikającej z ustawy Prawo Atomowe "/>
    <s v="Zapewnienie bezpieczeństwa budynku i pracowników MC ul. Królewska 27 oraz obsługa recepcji."/>
    <n v="1"/>
    <n v="1"/>
    <n v="2"/>
    <n v="2"/>
    <n v="2"/>
    <s v="wniosek "/>
    <s v="Złożono wniosek na rok 2024"/>
    <m/>
    <m/>
  </r>
  <r>
    <x v="0"/>
    <x v="0"/>
    <s v="wniosek/umowa "/>
    <s v="Tłumaczenia języka migowego "/>
    <s v="kolejny wniosek/umowa 01.01.2026 r."/>
    <s v="n/d"/>
    <s v="Aktualnie umowa obowiązuje do 20.03.2026 r. "/>
    <n v="4000"/>
    <n v="0"/>
    <s v="22.1.1.1"/>
    <s v="Beneficjent"/>
    <s v="Zasady związane z dostępności obiektu MC dla osób z niepełnosprawnościami wymagają umożliwienia komunikacji, w tym celu zapewniona jest możliwość połączenia z tłumaczem języka migowego. "/>
    <s v="Tłumaczenia języka migowego "/>
    <n v="2"/>
    <n v="5"/>
    <n v="5"/>
    <n v="6"/>
    <n v="6"/>
    <s v="umowa"/>
    <m/>
    <s v="79/BA/24"/>
    <s v="POLSKI ZWIĄZEK  GŁUCHYCH - ODDZIAŁ MAZOWIECKI"/>
  </r>
  <r>
    <x v="0"/>
    <x v="0"/>
    <s v="wniosek/umowa "/>
    <s v="centrala do NOMA"/>
    <s v="kolejny wniosek/umowa 01.01.2026 r."/>
    <s v="n/d"/>
    <s v="Aktualnie umowa obowiązuje do 20.03.2026 r. "/>
    <n v="4000"/>
    <n v="0"/>
    <s v="22.1.1.1"/>
    <s v="Beneficjent"/>
    <s v="centrala NOMA"/>
    <s v="podłaczenie central przeciwpożarowych w siedzibie MC do systemu NOMA"/>
    <n v="50"/>
    <n v="15"/>
    <n v="15"/>
    <n v="15"/>
    <n v="15"/>
    <s v="umowa"/>
    <m/>
    <m/>
    <m/>
  </r>
  <r>
    <x v="0"/>
    <x v="0"/>
    <s v="wniosek/umowa"/>
    <s v="Usługa przeglądu dźwigu towarowo-osobowego - nie mamy dźwigu towarowego ale w 2025 już będzie "/>
    <n v="45566"/>
    <s v="n/d"/>
    <s v="36  miesięcy"/>
    <n v="4000"/>
    <n v="0"/>
    <s v="22.1.1.1."/>
    <s v="Beneficjent"/>
    <s v="jak w opisie projektu"/>
    <s v="bieżąca konserwacja urządzenia - wymóg prawny"/>
    <n v="0"/>
    <n v="20"/>
    <n v="20"/>
    <n v="20"/>
    <n v="20"/>
    <s v="planowane"/>
    <s v="wniosek"/>
    <s v=" "/>
    <s v=" "/>
  </r>
  <r>
    <x v="0"/>
    <x v="0"/>
    <s v="umowa"/>
    <s v=" Remonty bieżące budynku związane z  dostosowaniem budynku do potrzeb pracowników"/>
    <n v="45352"/>
    <s v="n/d"/>
    <s v="10 miesięcy"/>
    <n v="4270"/>
    <n v="0"/>
    <s v="22.1.1.1."/>
    <s v="Beneficjent"/>
    <s v="jak w opisie projektu"/>
    <s v="wprowadzenia do budynku odpowiednich standardów dla pracowników"/>
    <n v="2500"/>
    <n v="2500"/>
    <n v="2500"/>
    <n v="2500"/>
    <n v="2500"/>
    <s v="nieplanowane"/>
    <s v=" "/>
    <s v=" "/>
    <s v="6 milionów z pierwotnych założeń (11 217 000)  zwolniono do rezerwy"/>
  </r>
  <r>
    <x v="0"/>
    <x v="0"/>
    <s v="wniosek/umowa"/>
    <s v="Budowa windy osobowo-towarowej w budynku przy ul Królewskiej 27 w Warszawie"/>
    <n v="45323"/>
    <s v="n/d"/>
    <s v="II KW 2025"/>
    <n v="6050"/>
    <n v="0"/>
    <s v="22.1.1.1."/>
    <s v="Beneficjent"/>
    <s v="jak w opisie projektu"/>
    <s v="Udzielenie zamówienie ma na celu dostosowanie Holu B i tej części budynku dla osób z niepełnosprawnością, poprawę warunków pracy."/>
    <n v="1500"/>
    <n v="0"/>
    <n v="0"/>
    <n v="0"/>
    <n v="0"/>
    <s v="nieplanowane"/>
    <s v=" "/>
    <s v=" "/>
    <s v=" "/>
  </r>
  <r>
    <x v="0"/>
    <x v="0"/>
    <s v="umowa"/>
    <s v="Bieżące nieprzewidziane wydatki związane z: remontami oraz  konserwacją i wyposażenia, znajdującego się na ul. Królewskiej 27 "/>
    <s v="w przypadku wystąpienia awarii lub usterki wskazanej w protokołach z przeglądu"/>
    <s v="n/d"/>
    <s v="umowy krótko terminowe"/>
    <n v="4270"/>
    <n v="0"/>
    <s v="22.1.1.1."/>
    <s v="Beneficjent"/>
    <s v="jak w opisie projektu"/>
    <s v="konieczne naprawy bieżących usterek  i reakcja na uwagi odnotowane w przeglądach okresowych budynku"/>
    <n v="160"/>
    <n v="160"/>
    <n v="160"/>
    <n v="160"/>
    <n v="160"/>
    <s v=" kontynuacja"/>
    <s v="wnioski/umowy"/>
    <s v="25/BA/24_x000a_111/BA/24                                                                                    186/BA/24"/>
    <s v="Rezydent S.A"/>
  </r>
  <r>
    <x v="0"/>
    <x v="0"/>
    <s v="umowa"/>
    <s v="Kompleksowa konserwacja i bieżące naprawy instalacji elektrycznej oraz zapewnienie bieżącej wymiany wyeksploatowanego osprzętu elektrycznego oraz źródeł światła wew. i na zew. budynku przy ul. Królewskiej 27 w Warszawie"/>
    <n v="45261"/>
    <s v="n/d"/>
    <s v="12 miesięcy"/>
    <n v="4270"/>
    <n v="0"/>
    <s v="22.1.1.1."/>
    <s v="Beneficjent"/>
    <s v="jak w opisie projektu"/>
    <s v="bieżąca konserwacja urządzenia - wymóg prawny"/>
    <n v="120"/>
    <n v="200"/>
    <n v="200"/>
    <n v="200"/>
    <n v="200"/>
    <s v=" kontynuacja"/>
    <s v="umowa"/>
    <s v="451/BA/C/23 do końca 2024"/>
    <s v=" "/>
  </r>
  <r>
    <x v="0"/>
    <x v="0"/>
    <s v="umowa"/>
    <s v="Kompleksowa konserwacja i bieżące naprawy   instalacji wodno-kanalizacyjnej oraz konserwacja instalacji centralnego ogrzewania budynku  przy ul. Królewskiej 27 w Warszawie"/>
    <s v="umowa bieżąca obowiązuje do końca 2024 _ nowy wniosek w listopadzie 2024"/>
    <s v="n/d"/>
    <s v="24 miesięcy"/>
    <n v="4270"/>
    <n v="0"/>
    <s v="22.1.1.1."/>
    <s v="Beneficjent"/>
    <s v="jak w opisie projektu"/>
    <s v="bieżąca konserwacja urządzenia - wymóg prawny"/>
    <n v="150"/>
    <n v="150"/>
    <n v="200"/>
    <n v="150"/>
    <n v="200"/>
    <s v=" kontynuacja"/>
    <s v="umowa"/>
    <s v="27/BDG/23 do końca 2024"/>
    <s v=" "/>
  </r>
  <r>
    <x v="0"/>
    <x v="0"/>
    <s v="wniosek/umowa"/>
    <s v="Kompleksowa konserwacja i bieżące naprawy drzwi przesuwnych wejściowych budynku  przy ul. Królewskiej 27 w Warszawie"/>
    <s v="230/BGDG 2023 do końca 2025 nowy wniosek styczeń 2025"/>
    <s v="n/d"/>
    <s v="24 miesiąc "/>
    <n v="4270"/>
    <n v="0"/>
    <s v="22.1.1.1."/>
    <s v="Beneficjent"/>
    <s v="jak w opisie projektu"/>
    <s v="bieżąca konserwacja urządzenia - wymóg prawny"/>
    <n v="50"/>
    <n v="50"/>
    <n v="50"/>
    <n v="50"/>
    <n v="50"/>
    <s v=" kontynuacja"/>
    <s v="umowa "/>
    <s v="230/BDG/23 do 04.2025"/>
    <s v=" "/>
  </r>
  <r>
    <x v="0"/>
    <x v="0"/>
    <s v="wniosek/umowa"/>
    <s v="Budowa Systemu Ochrony Przeciwpożarowej w budynku przy ul Królewskiej 27 w Warszawie (zaprojektuj i wybuduj )"/>
    <n v="45323"/>
    <s v="n/d"/>
    <s v="II KW 2025 IKW2026"/>
    <n v="6050"/>
    <n v="0"/>
    <s v="22.1.1.1."/>
    <s v="Beneficjent"/>
    <s v="jak w opisie projektu"/>
    <s v="Udzielenie zamówienie ma na celu spełnienie odpowiednich przepisów ppoż budynku i zapewnienie bezpieczeństwa pracowników."/>
    <n v="6000"/>
    <n v="484"/>
    <n v="0"/>
    <n v="0"/>
    <n v="0"/>
    <s v="planowane"/>
    <s v=" "/>
    <s v=" "/>
    <s v=" "/>
  </r>
  <r>
    <x v="0"/>
    <x v="0"/>
    <s v="wniosek/umowa"/>
    <s v="Przebudowa wentylacji i budowa klimatyzacji w budynku przy ul. Królewskiej 27 w Warszawie"/>
    <n v="45352"/>
    <s v="n/d"/>
    <s v="IV KW 2025 II KW2026"/>
    <n v="6050"/>
    <n v="0"/>
    <s v="22.1.1.1."/>
    <s v="Beneficjent"/>
    <s v="jak w opisie projektu"/>
    <s v="Udzielenie zamówienie ma na celu polepszenie warunków BHP dla pracowników Ministerstwa "/>
    <n v="6000"/>
    <n v="764"/>
    <n v="0"/>
    <n v="0"/>
    <n v="0"/>
    <s v="planowane"/>
    <s v=" "/>
    <s v=" "/>
    <s v=" "/>
  </r>
  <r>
    <x v="0"/>
    <x v="0"/>
    <s v="wniosek/umowa"/>
    <s v="Konserwacja na potrzeby gwarancji nowego systemu klimatyzacji w budynku przy ul. Królewskiej 27 w Warszawie"/>
    <n v="45992"/>
    <s v="n/d"/>
    <s v="24 miesiąc "/>
    <n v="4270"/>
    <n v="0"/>
    <s v="22.1.1.1."/>
    <s v="Beneficjent"/>
    <s v="jak w opisie projektu"/>
    <s v="bieżąca konserwacja urządzenia - wymóg prawny"/>
    <n v="0"/>
    <n v="200"/>
    <n v="200"/>
    <n v="200"/>
    <n v="200"/>
    <s v="planowane"/>
    <s v=" "/>
    <s v=" "/>
    <s v=" "/>
  </r>
  <r>
    <x v="0"/>
    <x v="0"/>
    <s v="umowa"/>
    <s v="Opracowanie ekspertyz technicznych, programówfunkcjonalno-użytkoweych, opinii i  dokumentacji projektowej na potrzeby remontowych w budynku przy ul. Królewskiej 27 w Warszawie"/>
    <s v="w przypadku wystąpienia awarii lub usterki wskazanej w protokołach z przeglądu"/>
    <s v="n/d"/>
    <s v="umowy krótko terminowe"/>
    <n v="4270"/>
    <n v="0"/>
    <s v="22.1.1.1."/>
    <s v="Beneficjent"/>
    <s v="jak w opisie projektu"/>
    <s v="Udzielenie zamówienie ma na celu spełnienia warunków prawa budowlanego."/>
    <n v="250"/>
    <n v="250"/>
    <n v="300"/>
    <n v="350"/>
    <n v="400"/>
    <s v="planowane"/>
    <s v=" "/>
    <s v=" "/>
    <s v=" "/>
  </r>
  <r>
    <x v="0"/>
    <x v="0"/>
    <s v="wniosek/umowa"/>
    <s v="Usługa pełnienia nadzoru inwestorskiego nad zadaniami inwestycyjnymi w budynku przy ul. Królewskiej 27 w Warszawie"/>
    <s v=" październik 2024"/>
    <s v="n/d"/>
    <s v="do końca zakończenia robót na klimatyzacji"/>
    <n v="6050"/>
    <n v="0"/>
    <s v="22.1.1.1."/>
    <s v="Beneficjent"/>
    <s v="jak w opisie projektu"/>
    <s v="Udzielenie zamówienie ma na celu spełnienia warunków prawa budowlanego w zakresie odbioru robót i dokumentacji technicznej dla inwestycji, "/>
    <n v="400"/>
    <n v="50"/>
    <n v="0"/>
    <n v="0"/>
    <n v="0"/>
    <s v="planowane"/>
    <s v=" "/>
    <s v=" "/>
    <s v=" "/>
  </r>
  <r>
    <x v="0"/>
    <x v="0"/>
    <s v="wniosek/umowa"/>
    <s v="Usługa pełnienia nadzoru inwestorskiego nad zadaniem inwestycyjnym w budynku przy ul. Królewskiej 27 w Warszawie "/>
    <n v="45566"/>
    <s v="n/d"/>
    <s v="do końca zakończenia robót na ppoż "/>
    <n v="6050"/>
    <n v="0"/>
    <s v="22.1.1.1."/>
    <s v="Beneficjent"/>
    <s v="jak w opisie projektu"/>
    <s v="Udzielenie zamówienie ma na celu spełnienia warunków prawa budowlanego w zakresie odbioru robót i dokumentacji technicznej dla inwestycji, "/>
    <n v="400"/>
    <n v="50"/>
    <n v="0"/>
    <n v="0"/>
    <n v="0"/>
    <s v="nieplanowane"/>
    <s v=" "/>
    <s v=" "/>
    <s v=" "/>
  </r>
  <r>
    <x v="0"/>
    <x v="0"/>
    <s v="umowa"/>
    <s v="Przeglądy okresowe budynków w zakresie  budowlane elektryczne , budowalne (roczne i 5 letnie)"/>
    <s v="umowa bieżąca obowiązuje do końca 2025 _ nowy wniosek w grudzień 2025"/>
    <s v="n/d"/>
    <s v="IV 2025"/>
    <n v="4000"/>
    <n v="0"/>
    <s v="22.1.1.1."/>
    <s v="Beneficjent"/>
    <s v="jak w opisie projektu"/>
    <s v="wymóg prawa budowlanego "/>
    <n v="5"/>
    <n v="10"/>
    <n v="10"/>
    <n v="35"/>
    <n v="15"/>
    <s v=" kontynuacja"/>
    <s v="umowa"/>
    <s v="284/BDG/23  do 11. 2025"/>
    <s v=" "/>
  </r>
  <r>
    <x v="0"/>
    <x v="0"/>
    <s v="umowa"/>
    <s v="Przegląd wind i platformy dla niepełnosprawnych "/>
    <n v="45323"/>
    <s v="n/d"/>
    <s v="12 miesięcy"/>
    <n v="4000"/>
    <n v="0"/>
    <s v="22.1.1.1."/>
    <s v="Beneficjent"/>
    <s v="jak w opisie projektu"/>
    <s v="bieżąca konserwacja urządzenia - wymóg prawny"/>
    <n v="20"/>
    <n v="25"/>
    <n v="50"/>
    <n v="50"/>
    <n v="50"/>
    <s v="kontynuacja"/>
    <s v="umowa"/>
    <s v="73/BA/24 dotycząca platformy do końca 2024_x000a_w 12.2026 koniec gwarancji na windę"/>
    <s v=" "/>
  </r>
  <r>
    <x v="0"/>
    <x v="0"/>
    <s v="umowa"/>
    <s v="Usługa dezynfekcji, dezynsekcji i deratyzacji w budynku przy ul. Królewskiej 27 w Warszawie"/>
    <s v="umowa bieżąca 392/BA/2023 do grudnia 2025"/>
    <s v="n/d"/>
    <s v="IV 2025"/>
    <n v="4000"/>
    <n v="0"/>
    <s v="22.1.1.1."/>
    <s v="Beneficjent"/>
    <s v="jak w opisie projektu"/>
    <s v="Udzielenie zamówienie ma na celu  wykluczenie  szkodników z budynku "/>
    <n v="24"/>
    <n v="65"/>
    <n v="70"/>
    <n v="75"/>
    <n v="80"/>
    <s v=" kontynuacja"/>
    <s v="umowa"/>
    <s v="392/BA/2023 do 12.2025"/>
    <s v=" "/>
  </r>
  <r>
    <x v="0"/>
    <x v="0"/>
    <m/>
    <s v="dostawa książek, czsopism, wydawnictw specjalistycznych i branżowych"/>
    <m/>
    <s v="n/d"/>
    <s v="I 2025"/>
    <n v="4000"/>
    <n v="0"/>
    <s v="22.1.1.1."/>
    <s v="Beneficjent"/>
    <s v="jak w opisie projektu"/>
    <s v="niezbędne dla uzyskania wiedzy potrzebnej w realizacji inwestycji"/>
    <n v="15"/>
    <n v="15"/>
    <n v="20"/>
    <n v="20"/>
    <n v="20"/>
    <m/>
    <m/>
    <m/>
    <m/>
  </r>
  <r>
    <x v="0"/>
    <x v="0"/>
    <m/>
    <s v="indywidualne środki ochrony osobistej"/>
    <m/>
    <s v="n/d"/>
    <s v="I 2025"/>
    <n v="4000"/>
    <n v="0"/>
    <s v="22.1.1.1."/>
    <s v="Beneficjent"/>
    <s v="jak w opisie projektu"/>
    <s v="niezbędna podczas nadzoru inwestora nad robotami budowlanymi "/>
    <n v="5"/>
    <n v="5"/>
    <n v="5"/>
    <n v="5"/>
    <n v="0"/>
    <m/>
    <m/>
    <m/>
    <m/>
  </r>
  <r>
    <x v="0"/>
    <x v="0"/>
    <s v="zamówienie"/>
    <s v="Asortyment BHP: odzież ochronna, środki ochrony indywidualnej, środki higieny, wyposażenie apteczek, baterie i elektrody do defibrylatorów, znaki bezpieczeństwa, taśmy ostrzegawcze"/>
    <s v="45323"/>
    <s v="n/d"/>
    <s v="12 miesięcy"/>
    <n v="4000"/>
    <n v="0"/>
    <s v="22.1.1.1."/>
    <s v="Beneficjent"/>
    <s v="Zapewnienie pracownikom MC bezpiecznych i higienicznych warunków pracy"/>
    <s v="Udzielenie zamówienia jest konieczne w celu spełnienia wymogów przepisów BHP nałożonych na pracodawcę"/>
    <n v="15"/>
    <n v="15"/>
    <n v="15"/>
    <n v="15"/>
    <n v="15"/>
    <s v="planowane"/>
    <s v="zamówienie"/>
    <s v="wniosek"/>
    <m/>
  </r>
  <r>
    <x v="0"/>
    <x v="0"/>
    <s v="zamówienie"/>
    <s v="Akcesoria BHP poprawiające ergonomię stanowisk pracy: podnóżki, podstawki pod laptop itp."/>
    <n v="45323"/>
    <s v="n/d"/>
    <s v="12 miesięcy"/>
    <n v="4000"/>
    <n v="0"/>
    <s v="22.1.1.1."/>
    <s v="Beneficjent"/>
    <s v="Zapewnienie pracownikom MC ergonomicznych warunków pracy biurowej"/>
    <s v="Udzielenie zamówienia jest konieczne w celu spełnienia wymogów przepisów BHP nałożonych na pracodawcę"/>
    <n v="20"/>
    <n v="20"/>
    <n v="20"/>
    <n v="20"/>
    <n v="20"/>
    <s v="planowane"/>
    <s v="zamówienie"/>
    <s v="wniosek/umowa"/>
    <m/>
  </r>
  <r>
    <x v="0"/>
    <x v="0"/>
    <s v="umowa"/>
    <s v="Najem dystrybutorów wody dla pracowników MC przy Królewskiej 27"/>
    <s v="Umowa Nr 170/C/BA/23 obowiązuje od 01.09.2023 r. do 31.08.2025 r."/>
    <s v="n/d"/>
    <s v="24 miesiące"/>
    <n v="4000"/>
    <n v="0"/>
    <s v="22.1.1.1."/>
    <s v="Beneficjent"/>
    <s v="Zapewnienie pracownikom MC wody pitnej uzdatnionej i filtrowanej "/>
    <s v="Udzielenie zamówienia jest konieczne w celu spełnienia wymogów przepisów BHP nałożonych na pracodawcę"/>
    <n v="37"/>
    <n v="37"/>
    <n v="37"/>
    <n v="37"/>
    <n v="37"/>
    <s v="kontynuacja"/>
    <s v="umowa"/>
    <s v="170/C/BA/23"/>
    <s v="Vera-Vend Sp. z o.o. Warszawa"/>
  </r>
  <r>
    <x v="0"/>
    <x v="0"/>
    <s v="n/d"/>
    <s v="podpis elektroniczny"/>
    <s v="Wniosek składany corocznie. Nie można określić kwoty z uwagi na nieznane zapotrzebowanie"/>
    <s v="n/d"/>
    <s v="2024-2029"/>
    <n v="4000"/>
    <n v="0"/>
    <s v="22.1.1.1."/>
    <s v="Beneficjent"/>
    <s v="podpis elektroniczny dla pracowników/kierownictwa MC"/>
    <s v="podpis elektroniczny niezbędny do elektronizacji spraw załatwianych w urzędzie"/>
    <n v="65"/>
    <n v="65"/>
    <n v="70"/>
    <n v="70"/>
    <n v="70"/>
    <s v="planowane"/>
    <s v="wniosek na część roku 2024, 2 wnioski po 20 tys. brutto, 15/BA/24 i 129/BA/24"/>
    <m/>
    <s v="Wykonawca zostanie określony po rozstrzygnięciu procedury wyłonienia"/>
  </r>
  <r>
    <x v="0"/>
    <x v="0"/>
    <s v="umowa"/>
    <s v="usługi związane z wprowadzeniem EZD RP w MC"/>
    <s v="III 2024"/>
    <m/>
    <m/>
    <n v="4000"/>
    <n v="0"/>
    <s v="22.1.1.1."/>
    <s v="Beneficjent"/>
    <s v="usługi związane z wprowadzeniem EZD RP w MC"/>
    <s v="niezbędne w ramach zmiany oprogramowania służącego do elektronicznego obiegu dokumentów"/>
    <n v="120"/>
    <n v="60"/>
    <n v="0"/>
    <n v="0"/>
    <n v="0"/>
    <s v="planowane"/>
    <s v="umowa"/>
    <m/>
    <m/>
  </r>
  <r>
    <x v="0"/>
    <x v="1"/>
    <s v="-"/>
    <s v="-"/>
    <s v="-"/>
    <s v="-"/>
    <s v="-"/>
    <n v="4010"/>
    <n v="0"/>
    <s v="22.1.1.1."/>
    <s v="budżet państwa (z wyjątkiem GDDKiA)"/>
    <s v="Wynagrodzenia osobowe pracowników_pracownicy nie objęci mnożnikiem"/>
    <s v="Wynagrodzenia osobowe pracowników_pracownicy nie objęci mnożnikiem MC"/>
    <n v="6993"/>
    <n v="6993"/>
    <n v="6993"/>
    <n v="6993"/>
    <n v="0"/>
    <s v="planowane"/>
    <m/>
    <m/>
    <m/>
  </r>
  <r>
    <x v="0"/>
    <x v="1"/>
    <s v="-"/>
    <s v="-"/>
    <s v="-"/>
    <s v="-"/>
    <s v="-"/>
    <n v="4010"/>
    <n v="0"/>
    <s v="22.1.1.1."/>
    <s v="budżet państwa (z wyjątkiem GDDKiA)"/>
    <s v="Wynagrodzenia osobowe pracowników_pracownicy nie objęci mnożnikiem"/>
    <s v="Wynagrodzenia osobowe pracowników_pracownicy nie objęci mnożnikiem _ GovTech przesunięcie z KPRM cz.16"/>
    <m/>
    <m/>
    <m/>
    <m/>
    <n v="0"/>
    <s v="planowane"/>
    <m/>
    <m/>
    <m/>
  </r>
  <r>
    <x v="0"/>
    <x v="1"/>
    <s v="-"/>
    <s v="-"/>
    <s v="-"/>
    <s v="-"/>
    <s v="-"/>
    <n v="4010"/>
    <n v="0"/>
    <s v="22.1.1.1."/>
    <s v="budżet państwa (z wyjątkiem GDDKiA)"/>
    <s v="Wynagrodzenia osobowe pracowników_pracownicy nie objęci mnożnikiem"/>
    <s v="osoby zajmujące kierownicze stanowiska &quot;R&quot;"/>
    <n v="938"/>
    <n v="938"/>
    <n v="938"/>
    <n v="938"/>
    <n v="0"/>
    <s v="planowane"/>
    <m/>
    <m/>
    <m/>
  </r>
  <r>
    <x v="0"/>
    <x v="1"/>
    <s v="-"/>
    <s v="-"/>
    <s v="-"/>
    <s v="-"/>
    <s v="-"/>
    <n v="4020"/>
    <n v="0"/>
    <s v="22.1.1.1."/>
    <s v="budżet państwa (z wyjątkiem GDDKiA)"/>
    <s v="Wynagrodzenia osobowe członków korpusu służby cywilnej"/>
    <s v="Wynagrodzenia osobowe członków korpusu służby cywilnej"/>
    <n v="64551"/>
    <n v="64551"/>
    <n v="64551"/>
    <n v="64551"/>
    <n v="0"/>
    <s v="planowane"/>
    <m/>
    <m/>
    <m/>
  </r>
  <r>
    <x v="0"/>
    <x v="1"/>
    <s v="-"/>
    <s v="-"/>
    <s v="-"/>
    <s v="-"/>
    <s v="-"/>
    <n v="4020"/>
    <n v="0"/>
    <s v="22.1.1.1."/>
    <s v="budżet państwa (z wyjątkiem GDDKiA)"/>
    <s v="Wynagrodzenia osobowe członków korpusu służby cywilnej"/>
    <s v="Wynagrodzenia osobowe członków korpusu służby cywilnej_GovTech przesunięcie z KPRM cz.16"/>
    <m/>
    <m/>
    <m/>
    <m/>
    <n v="0"/>
    <s v="planowane"/>
    <m/>
    <m/>
    <m/>
  </r>
  <r>
    <x v="0"/>
    <x v="1"/>
    <s v="-"/>
    <s v="-"/>
    <s v="-"/>
    <s v="-"/>
    <s v="-"/>
    <n v="4040"/>
    <n v="0"/>
    <s v="22.1.1.1."/>
    <s v="budżet państwa (z wyjątkiem GDDKiA)"/>
    <s v="Dodatkowe wynagrodzenie roczne"/>
    <s v="Dodatkowe wynagrodzenie roczne_ pracownicy nie objęci mnożnikiem"/>
    <n v="577"/>
    <n v="594"/>
    <n v="594"/>
    <n v="594"/>
    <n v="0"/>
    <s v="planowane"/>
    <m/>
    <m/>
    <m/>
  </r>
  <r>
    <x v="0"/>
    <x v="1"/>
    <s v="-"/>
    <s v="-"/>
    <s v="-"/>
    <s v="-"/>
    <s v="-"/>
    <n v="4040"/>
    <n v="0"/>
    <s v="22.1.1.1."/>
    <s v="budżet państwa (z wyjątkiem GDDKiA)"/>
    <s v="Dodatkowe wynagrodzenie roczne"/>
    <s v="Dodatkowe wynagrodzenie roczne_korpus służby cywilnej"/>
    <n v="5271"/>
    <n v="5418"/>
    <n v="5418"/>
    <n v="5418"/>
    <n v="0"/>
    <s v="planowane"/>
    <m/>
    <m/>
    <m/>
  </r>
  <r>
    <x v="0"/>
    <x v="1"/>
    <s v="-"/>
    <s v="-"/>
    <s v="-"/>
    <s v="-"/>
    <s v="-"/>
    <n v="4050"/>
    <n v="0"/>
    <s v="22.1.1.1."/>
    <s v="budżet państwa (z wyjątkiem GDDKiA)"/>
    <s v="Uposażenia żołnierzy zawodowych oraz funkcjonariuszy"/>
    <s v="Uposażenia żołnierzy zawodowych oraz funkcjonariuszy"/>
    <n v="899"/>
    <n v="899"/>
    <n v="899"/>
    <n v="899"/>
    <n v="0"/>
    <s v="planowane"/>
    <m/>
    <m/>
    <m/>
  </r>
  <r>
    <x v="0"/>
    <x v="1"/>
    <s v="-"/>
    <s v="-"/>
    <s v="-"/>
    <s v="-"/>
    <s v="-"/>
    <n v="4070"/>
    <n v="0"/>
    <s v="22.1.1.1."/>
    <s v="budżet państwa (z wyjątkiem GDDKiA)"/>
    <s v="Dodatkowe uposażenie roczne dla żołnierzy zawodowych oraz nagrody roczne dla funkcjonariuszy"/>
    <s v="Dodatkowe uposażenie roczne dla żołnierzy zawodowych oraz nagrody roczne dla funkcjonariuszy"/>
    <n v="72"/>
    <n v="76"/>
    <n v="76"/>
    <n v="76"/>
    <n v="0"/>
    <s v="planowane"/>
    <m/>
    <m/>
    <m/>
  </r>
  <r>
    <x v="0"/>
    <x v="1"/>
    <s v="-"/>
    <s v="-"/>
    <s v="-"/>
    <s v="-"/>
    <s v="-"/>
    <n v="4110"/>
    <n v="0"/>
    <s v="22.1.1.1."/>
    <s v="budżet państwa (z wyjątkiem GDDKiA)"/>
    <s v="Składki na ubezpieczenia społeczne"/>
    <s v="Składki na ubezpieczenia społeczne_ MC"/>
    <n v="13465"/>
    <n v="13493"/>
    <n v="13493"/>
    <n v="13493"/>
    <n v="0"/>
    <s v="planowane"/>
    <m/>
    <m/>
    <m/>
  </r>
  <r>
    <x v="0"/>
    <x v="1"/>
    <s v="-"/>
    <s v="-"/>
    <s v="-"/>
    <s v="-"/>
    <s v="-"/>
    <n v="4110"/>
    <n v="0"/>
    <s v="22.1.1.1."/>
    <s v="budżet państwa (z wyjątkiem GDDKiA)"/>
    <s v="Składki na ubezpieczenia społeczne"/>
    <s v="Składki na ubezpieczenia społeczne_GovTech przesunięcie z KPRM cz.16"/>
    <m/>
    <m/>
    <m/>
    <m/>
    <n v="0"/>
    <s v="planowane"/>
    <m/>
    <m/>
    <m/>
  </r>
  <r>
    <x v="0"/>
    <x v="1"/>
    <s v="-"/>
    <s v="-"/>
    <s v="-"/>
    <s v="-"/>
    <s v="-"/>
    <n v="4120"/>
    <n v="0"/>
    <s v="22.1.1.1."/>
    <s v="budżet państwa (z wyjątkiem GDDKiA)"/>
    <s v="Składki na Fundusz Pracy oraz Fundusz Solidarnościowy"/>
    <s v="Składki na Fundusz Pracy oraz Fundusz Solidarnościowy"/>
    <n v="1919"/>
    <n v="1923"/>
    <n v="1923"/>
    <n v="1923"/>
    <n v="0"/>
    <s v="planowane"/>
    <m/>
    <m/>
    <m/>
  </r>
  <r>
    <x v="0"/>
    <x v="1"/>
    <s v="-"/>
    <s v="-"/>
    <s v="-"/>
    <s v="-"/>
    <s v="-"/>
    <n v="4120"/>
    <n v="0"/>
    <s v="22.1.1.1."/>
    <s v="budżet państwa (z wyjątkiem GDDKiA)"/>
    <s v="Składki na Fundusz Pracy oraz Fundusz Solidarnościowy"/>
    <s v="Składki na Fundusz Pracy oraz Fundusz Solidarnościowy_GovTech przesunięcie z KPRM cz.16"/>
    <m/>
    <m/>
    <m/>
    <m/>
    <n v="0"/>
    <s v="planowane"/>
    <m/>
    <m/>
    <m/>
  </r>
  <r>
    <x v="0"/>
    <x v="1"/>
    <s v="-"/>
    <s v="-"/>
    <s v="-"/>
    <m/>
    <s v="-"/>
    <n v="4610"/>
    <n v="0"/>
    <s v="22.1.1.1."/>
    <m/>
    <s v="opłaty sądowe"/>
    <s v="opłaty sądowe"/>
    <n v="1"/>
    <n v="1"/>
    <n v="1"/>
    <n v="1"/>
    <m/>
    <s v="planowane"/>
    <m/>
    <m/>
    <m/>
  </r>
  <r>
    <x v="0"/>
    <x v="1"/>
    <s v="-"/>
    <s v="-"/>
    <s v="-"/>
    <s v="-"/>
    <s v="-"/>
    <n v="4710"/>
    <n v="0"/>
    <s v="22.1.1.1."/>
    <s v="budżet państwa (z wyjątkiem GDDKiA)"/>
    <s v="Wpłaty na PPK finansowane przez podmiot zatrudniający"/>
    <s v="Wpłaty na PPK finansowane przez podmiot zatrudniający"/>
    <n v="958"/>
    <n v="963"/>
    <n v="963"/>
    <n v="963"/>
    <n v="0"/>
    <s v="planowane"/>
    <m/>
    <m/>
    <m/>
  </r>
  <r>
    <x v="0"/>
    <x v="1"/>
    <s v="-"/>
    <s v="-"/>
    <s v="-"/>
    <s v="-"/>
    <s v="-"/>
    <n v="4140"/>
    <n v="0"/>
    <s v="22.1.1.1."/>
    <s v="budżet państwa (z wyjątkiem GDDKiA)"/>
    <s v="Wpłaty na Państwowy Fundusz Rehabilitacji Osób Niepełnosprawnych*"/>
    <s v="Wpłaty na Państwowy Fundusz Rehabilitacji Osób Niepełnosprawnych"/>
    <m/>
    <m/>
    <m/>
    <m/>
    <n v="0"/>
    <s v="planowane"/>
    <m/>
    <m/>
    <m/>
  </r>
  <r>
    <x v="0"/>
    <x v="1"/>
    <s v="-"/>
    <s v="-"/>
    <s v="-"/>
    <s v="-"/>
    <s v="-"/>
    <n v="4170"/>
    <n v="0"/>
    <s v="22.1.1.1."/>
    <s v="budżet państwa (z wyjątkiem GDDKiA)"/>
    <s v="Wynagrodzenia bezosobowe"/>
    <s v="Wynagrodzenia bezosobowe"/>
    <n v="100"/>
    <n v="100"/>
    <n v="100"/>
    <n v="100"/>
    <n v="0"/>
    <s v="planowane"/>
    <m/>
    <m/>
    <m/>
  </r>
  <r>
    <x v="0"/>
    <x v="1"/>
    <s v="-"/>
    <s v="-"/>
    <s v="-"/>
    <s v="-"/>
    <s v="-"/>
    <n v="4440"/>
    <n v="0"/>
    <s v="22.1.1.1."/>
    <s v="budżet państwa (z wyjątkiem GDDKiA)"/>
    <s v="Odpisy na zakładowy fundusz świadczeń socjalnych"/>
    <s v="Odpisy na zakładowy fundusz świadczeń socjalnych"/>
    <n v="1300"/>
    <n v="1300"/>
    <n v="1300"/>
    <n v="1300"/>
    <n v="0"/>
    <s v="planowane"/>
    <m/>
    <m/>
    <m/>
  </r>
  <r>
    <x v="0"/>
    <x v="1"/>
    <s v="-"/>
    <s v="-"/>
    <s v="-"/>
    <s v="-"/>
    <s v="-"/>
    <n v="4440"/>
    <n v="0"/>
    <s v="22.1.1.1."/>
    <s v="budżet państwa (z wyjątkiem GDDKiA)"/>
    <s v="Odpisy na zakładowy fundusz świadczeń socjalnych"/>
    <s v="Odpisy na zakładowy fundusz świadczeń socjalnych_GovTech przesunięcie z KPRM cz.16 (od 2025 r. w wierszu powyżej)"/>
    <m/>
    <m/>
    <m/>
    <m/>
    <n v="0"/>
    <s v="planowane"/>
    <m/>
    <m/>
    <m/>
  </r>
  <r>
    <x v="0"/>
    <x v="1"/>
    <s v="-"/>
    <s v="-"/>
    <s v="-"/>
    <s v="-"/>
    <s v="-"/>
    <n v="4000"/>
    <n v="0"/>
    <s v="22.1.1.1."/>
    <s v="budżet państwa (z wyjątkiem GDDKiA)"/>
    <s v="dostęp do systemu finansowo-księgowego"/>
    <s v="rozbudowa modułów i modernizacja systemu"/>
    <n v="7305"/>
    <n v="0"/>
    <n v="0"/>
    <n v="0"/>
    <n v="0"/>
    <s v="planowane"/>
    <s v="dostosowanie i rozbudowa systemu z instruktarzem, utrzymanie i wsparcie techniczne "/>
    <s v="266/C/BBF/23"/>
    <s v="QNT Systemy informatyczne"/>
  </r>
  <r>
    <x v="0"/>
    <x v="1"/>
    <s v="-"/>
    <s v="-"/>
    <s v="-"/>
    <s v="-"/>
    <s v="-"/>
    <n v="4000"/>
    <n v="0"/>
    <s v="22.1.1.1."/>
    <s v="budżet państwa (z wyjątkiem GDDKiA)"/>
    <s v="dostęp do systemu finansowo-księgowego"/>
    <s v="przeprowadzenie instruktaży (§4300); Umowa nr 266/C/BBF/23 zawarta w dniu 29.12.2023r.  (MC- QNT Systemy Informatyczne Sp. z.o.o)"/>
    <n v="90"/>
    <n v="90"/>
    <n v="90"/>
    <n v="90"/>
    <n v="0"/>
    <s v="planowane"/>
    <s v="dostosowanie i rozbudowa systemu z instruktarzem, utrzymanie i wsparcie techniczne "/>
    <s v="266/C/BBF/23"/>
    <s v="QNT Systemy informatyczne"/>
  </r>
  <r>
    <x v="0"/>
    <x v="1"/>
    <s v="-"/>
    <s v="-"/>
    <s v="-"/>
    <s v="-"/>
    <s v="-"/>
    <n v="4000"/>
    <n v="0"/>
    <s v="22.1.1.1."/>
    <s v="budżet państwa (z wyjątkiem GDDKiA)"/>
    <s v="dostęp do systemu finansowo-księgowego"/>
    <s v="usługi utrzymania i wsparcia technicznego (§4300); Umowa nr 266/C/BBF/23 zawarta w dniu 29.12.2023r.  (MC- QNT Systemy Informatyczne Sp. z.o.o)"/>
    <n v="80"/>
    <n v="80"/>
    <n v="80"/>
    <n v="80"/>
    <n v="0"/>
    <s v="planowane"/>
    <s v="dostosowanie i rozbudowa systemu z instruktarzem, utrzymanie i wsparcie techniczne "/>
    <s v="266/C/BBF/23"/>
    <s v="QNT Systemy informatyczne"/>
  </r>
  <r>
    <x v="0"/>
    <x v="1"/>
    <s v="-"/>
    <s v="-"/>
    <s v="-"/>
    <s v="-"/>
    <s v="-"/>
    <n v="4000"/>
    <n v="0"/>
    <s v="22.1.1.1."/>
    <s v="budżet państwa (z wyjątkiem GDDKiA)"/>
    <s v="dostęp do systemu finansowo-księgowego"/>
    <s v="asysta merytoryczna, usługi rozbudowy (§4300); Umowa nr 266/C/BBF/23 zawarta w dniu 29.12.2023r.  (MC- QNT Systemy Informatyczne Sp. z.o.o)"/>
    <n v="388"/>
    <n v="388"/>
    <n v="388"/>
    <n v="388"/>
    <n v="0"/>
    <s v="planowane"/>
    <s v="dostosowanie i rozbudowa systemu z instruktarzem, utrzymanie i wsparcie techniczne "/>
    <s v="266/C/BBF/23"/>
    <s v="QNT Systemy informatyczne"/>
  </r>
  <r>
    <x v="0"/>
    <x v="1"/>
    <s v="-"/>
    <s v="-"/>
    <s v="-"/>
    <s v="-"/>
    <s v="-"/>
    <n v="4000"/>
    <n v="0"/>
    <s v="22.1.1.1."/>
    <s v="budżet państwa (z wyjątkiem GDDKiA)"/>
    <s v="dostęp do literatury fachowej - elektroniczny"/>
    <s v="dostęp do literatury fachowej - elektroniczny - aktualizacja wiedzy, monitorowanie zmian"/>
    <n v="10"/>
    <n v="10"/>
    <n v="10"/>
    <n v="10"/>
    <n v="0"/>
    <s v="planowane"/>
    <s v="dostosowanie i rozbudowa systemu z instruktarzem, utrzymanie i wsparcie techniczne "/>
    <s v="266/C/BBF/23"/>
    <s v="QNT Systemy informatyczne"/>
  </r>
  <r>
    <x v="0"/>
    <x v="1"/>
    <s v="-"/>
    <s v="-"/>
    <s v="-"/>
    <s v="-"/>
    <m/>
    <n v="3070"/>
    <n v="0"/>
    <s v="22.1.1.1."/>
    <n v="30"/>
    <s v="Różne wydatki na rzecz osób fizycznych"/>
    <s v="na rzecz żołnierzy i funkcjonariuszy"/>
    <m/>
    <m/>
    <m/>
    <m/>
    <m/>
    <s v="planowane"/>
    <m/>
    <m/>
    <m/>
  </r>
  <r>
    <x v="0"/>
    <x v="1"/>
    <s v="-"/>
    <s v="-"/>
    <s v="-"/>
    <s v="-"/>
    <s v="-"/>
    <n v="3030"/>
    <n v="0"/>
    <s v="22.1.1.1."/>
    <s v="budżet państwa (z wyjątkiem GDDKiA)"/>
    <s v="Różne wydatki na rzecz osób fizycznych"/>
    <s v="Praktyki studenckie"/>
    <n v="0"/>
    <n v="0"/>
    <n v="0"/>
    <n v="0"/>
    <n v="0"/>
    <s v="planowane"/>
    <m/>
    <m/>
    <m/>
  </r>
  <r>
    <x v="0"/>
    <x v="2"/>
    <s v="nd"/>
    <s v="nd"/>
    <s v="nd"/>
    <s v="nd"/>
    <s v="nd"/>
    <n v="3020"/>
    <n v="0"/>
    <s v="22.1.1.1."/>
    <s v="nd"/>
    <s v="Refundacja kosztów zakupu okularów i soczewek kontaktowych dla pracowników MC "/>
    <s v="Pracownikom MC zatrudnionym na stanowiskach pracy wyposażonych w monitory ekranowe, którzy w czasie pracy obsługują monitor ekranowy co najmniej przez połowę dobowego wymiaru czasu pracy, przysługuje refundacja kosztówzakupu okularów lub soczewek kontaktowych korygujących wzrok, używanych do pracy przy monitorze ekranowym na podstawie zarządzenia Nr 2 DG MC z 16.08.2023 r. "/>
    <n v="130"/>
    <n v="130"/>
    <n v="130"/>
    <n v="130"/>
    <n v="130"/>
    <s v="kontynuacja"/>
    <s v="nd"/>
    <s v="zarządzenie DG MC nr 2 z dnia 16.08.2023 r."/>
    <s v="nd"/>
  </r>
  <r>
    <x v="0"/>
    <x v="2"/>
    <s v="nd"/>
    <s v="nd"/>
    <s v="nd"/>
    <s v="nd"/>
    <s v="nd"/>
    <n v="3020"/>
    <n v="0"/>
    <s v="22.1.1.1."/>
    <s v="nd"/>
    <s v="Ryczałty - praca zdalna"/>
    <s v="Pokrycie w formie ryczałtu kosztów energii elektrycznej oraz usługi Internetu niezbędnych do wykonywania pracy zdalnej przez pracowników"/>
    <n v="130"/>
    <n v="130"/>
    <n v="130"/>
    <n v="130"/>
    <n v="130"/>
    <s v="kontynuacja"/>
    <s v="nd"/>
    <s v="nd"/>
    <s v="nd"/>
  </r>
  <r>
    <x v="0"/>
    <x v="2"/>
    <s v="nd"/>
    <s v="nd"/>
    <s v="nd"/>
    <s v="nd"/>
    <s v="nd"/>
    <n v="3020"/>
    <n v="0"/>
    <s v="22.1.1.1."/>
    <s v="nd"/>
    <s v="Odszkodowania z tyt. spraw pracowniczych"/>
    <s v="Odszkodowania - wyroki sądowe spr. pracownicze"/>
    <n v="30"/>
    <n v="30"/>
    <n v="30"/>
    <n v="30"/>
    <n v="30"/>
    <s v="kontynuacja"/>
    <s v="nd"/>
    <s v="nd"/>
    <s v="cnd"/>
  </r>
  <r>
    <x v="0"/>
    <x v="2"/>
    <s v="nd"/>
    <s v="nd"/>
    <s v="nd"/>
    <s v="nd"/>
    <s v="nd"/>
    <n v="4000"/>
    <n v="0"/>
    <s v="22.1.1.1."/>
    <s v="nd"/>
    <s v="Świadczenie usług medycznych z zakresu medycyny pracy dla kandydatów do pracy i pracowników Ministerstwa Cyfryzacji"/>
    <s v="Zapewnienie kandydatom do pracy i pracownikom Ministerstwa Cyfryzacji wstępnych, kontrolnych i okresowych badań medycyny pracy "/>
    <n v="90"/>
    <n v="100"/>
    <n v="100"/>
    <n v="100"/>
    <n v="100"/>
    <s v="kontynuacja"/>
    <s v="umowa "/>
    <s v="nd"/>
    <s v="Placówka medycyny pracy"/>
  </r>
  <r>
    <x v="0"/>
    <x v="2"/>
    <s v="nd"/>
    <s v="nd"/>
    <s v="nd"/>
    <s v="nd"/>
    <s v="nd"/>
    <n v="4170"/>
    <n v="0"/>
    <s v="22.1.1.1."/>
    <s v="nd"/>
    <s v="Wynagrodzenia bezosobowe, w tym członków Komisji Dyscyplinarnej"/>
    <s v="Zapewnienie środków na umowy cywilnoprawnej i wynagrodzenia składów orzekających Komisji Dyscyplinarnej Ministerstwa Cyfryzacji"/>
    <n v="100"/>
    <n v="100"/>
    <n v="100"/>
    <n v="100"/>
    <n v="100"/>
    <s v="kontynuacja"/>
    <s v="nd"/>
    <s v="nd"/>
    <s v="nd"/>
  </r>
  <r>
    <x v="0"/>
    <x v="2"/>
    <s v="nd"/>
    <s v="nd"/>
    <s v="nd"/>
    <s v="nd"/>
    <s v="nd"/>
    <n v="3030"/>
    <n v="0"/>
    <s v="22.1.1.1."/>
    <s v="nd"/>
    <s v="Organizacja płatnych staży absolwenckich "/>
    <s v="Zapewnienie możliwości organizacji w MC płatnych staży absolwenckich "/>
    <n v="470"/>
    <n v="470"/>
    <n v="470"/>
    <n v="470"/>
    <n v="470"/>
    <s v="planowane"/>
    <s v="nd"/>
    <s v="nd"/>
    <s v="nd"/>
  </r>
  <r>
    <x v="0"/>
    <x v="2"/>
    <s v="nd"/>
    <s v="nd"/>
    <s v="nd"/>
    <s v="nd"/>
    <s v="2024/2025"/>
    <n v="4000"/>
    <n v="0"/>
    <s v="22.1.1.1."/>
    <s v="nd"/>
    <s v="Zapewnienie usług wspracia psychologicznego dla pracowników MC"/>
    <s v="Działania prewencyjne w zakresie work life balance"/>
    <n v="35"/>
    <n v="0"/>
    <n v="0"/>
    <n v="0"/>
    <n v="0"/>
    <s v="planowane"/>
    <s v="wniosek nr 180/BDG/24"/>
    <s v="nd"/>
    <s v="nd"/>
  </r>
  <r>
    <x v="0"/>
    <x v="2"/>
    <s v="nd"/>
    <s v="nd"/>
    <s v="nd"/>
    <s v="nd"/>
    <s v="nd"/>
    <n v="4000"/>
    <n v="0"/>
    <s v="22.1.1.1."/>
    <s v="nd"/>
    <s v="Udział pracowników MC w konferencjach, refundacja studiów"/>
    <s v="Zapewnienie możliwości udział pracowników MC w konferencjach, refundacji studiów"/>
    <n v="237"/>
    <n v="245"/>
    <n v="251"/>
    <n v="257"/>
    <n v="266"/>
    <s v="planowane"/>
    <s v="nd"/>
    <s v="nd"/>
    <s v="nd"/>
  </r>
  <r>
    <x v="0"/>
    <x v="2"/>
    <s v="nd"/>
    <s v="nd"/>
    <s v="nd"/>
    <s v="nd"/>
    <s v="nd"/>
    <n v="4000"/>
    <n v="0"/>
    <s v="22.1.1.1."/>
    <s v="nd"/>
    <s v="Testy kompetencyjne z PTP w wersji papierowej"/>
    <s v="Zapewnienie możliwości stosowania testów kompetencyjnych z PTP w wersji papierowej"/>
    <n v="3"/>
    <n v="3"/>
    <n v="3"/>
    <n v="3"/>
    <n v="3"/>
    <s v="planowane"/>
    <s v="nd"/>
    <s v="nd"/>
    <s v="nd"/>
  </r>
  <r>
    <x v="0"/>
    <x v="2"/>
    <s v="nd"/>
    <s v="nd"/>
    <s v="nd"/>
    <s v="nd"/>
    <s v="nd"/>
    <n v="4000"/>
    <n v="0"/>
    <s v="22.1.1.1."/>
    <s v="nd"/>
    <s v="Literatura branżowa z zakresu zarządzania kapitałem ludzkim"/>
    <s v="Zwiększenie wiedzy  z zakresu zzl poprzez literatura branżową "/>
    <n v="3"/>
    <n v="3"/>
    <n v="3"/>
    <n v="3"/>
    <n v="3"/>
    <s v="planowane"/>
    <s v="nd"/>
    <s v="nd"/>
    <s v="nd"/>
  </r>
  <r>
    <x v="0"/>
    <x v="2"/>
    <s v="nd"/>
    <s v="nd"/>
    <s v="nd"/>
    <s v="nd"/>
    <s v="nd"/>
    <n v="4550"/>
    <n v="0"/>
    <s v="22.1.1.1."/>
    <s v="nd"/>
    <s v="Podnoszenie kwalifikacji zawodowych pracowników MC zatrudnionych w ksc "/>
    <s v="Zapewnienie możliwości podnoszenia kwalifikacji zawodowych pracowników MC zatrudnionych w ksc "/>
    <n v="1680"/>
    <n v="1735"/>
    <n v="1779"/>
    <n v="1823"/>
    <n v="1869"/>
    <s v="planowane"/>
    <s v="nd"/>
    <s v="nd"/>
    <s v="nd"/>
  </r>
  <r>
    <x v="0"/>
    <x v="2"/>
    <s v="nd"/>
    <s v="nd"/>
    <s v="nd"/>
    <s v="nd"/>
    <s v="nd"/>
    <n v="4700"/>
    <n v="0"/>
    <s v="22.1.1.1."/>
    <s v="nd"/>
    <s v="Podnoszenie kwalifikacji zawodowych pracowników MC zatrudnionych poza ksc"/>
    <s v="Zapewnienie możliwości podnoszenia kwalifikacji zawodowych pracowników MC zatrudnionych poza ksc"/>
    <n v="186"/>
    <n v="192"/>
    <n v="197"/>
    <n v="202"/>
    <n v="207"/>
    <s v="planowane"/>
    <s v="nd"/>
    <s v="nd"/>
    <s v="nd"/>
  </r>
  <r>
    <x v="0"/>
    <x v="2"/>
    <s v="nd"/>
    <s v="usługa pocztowa"/>
    <s v="   luty  2023"/>
    <s v="nd"/>
    <s v="24 miesiące lub do wyczerpania środków"/>
    <n v="4000"/>
    <n v="0"/>
    <s v="22.1.1.1."/>
    <s v="nd"/>
    <s v="Świadczenie przez Wykonawcę na rzecz Zamawiającego usług pocztowych w obrocie krajowym i zagranicznym w zakresie przyjmowania, przemieszczania i doręczania przesyłek listowych oraz ich ewentualnych zwrotów"/>
    <s v="na podstawie art. 2 ust. 1 pkt 1 ustawy z 11 września 2019 r. Prawo Zamówień Publicznych zawarta na okres od 16.05.2023 r. do 16.05.2025r."/>
    <n v="73"/>
    <n v="0"/>
    <n v="0"/>
    <n v="0"/>
    <n v="0"/>
    <s v="umowa"/>
    <s v="Umowa nr 211/BDG/23 "/>
    <s v="Umowa nr 211/BDG/24"/>
    <s v="Poczta Polska S.A "/>
  </r>
  <r>
    <x v="0"/>
    <x v="2"/>
    <s v="nd"/>
    <s v="usługa pocztowa"/>
    <s v="                luty  2025"/>
    <s v="nd"/>
    <s v="2025-2029"/>
    <n v="4000"/>
    <n v="0"/>
    <s v="22.1.1.1."/>
    <s v="nd"/>
    <s v="Świadczenie przez Wykonawcę na rzecz Zamawiającego usług pocztowych w obrocie krajowym i zagranicznym w zakresie przyjmowania, przemieszczania i doręczania przesyłek listowych oraz ich ewentualnych zwrotów"/>
    <s v="świadczenia usług pocztowych na kolejny okres t.j od 17.05.2025 (uwaga zmiana systemu - e-doręczenia)"/>
    <n v="70"/>
    <n v="130"/>
    <n v="130"/>
    <n v="130"/>
    <n v="130"/>
    <s v="planowane"/>
    <s v="umowa "/>
    <s v="nd"/>
    <s v="Poczta Polska S.A"/>
  </r>
  <r>
    <x v="0"/>
    <x v="2"/>
    <s v="nd"/>
    <s v="usługa kurierska"/>
    <s v="      styczeń 2025"/>
    <s v="nd"/>
    <s v="2025-2029"/>
    <n v="4000"/>
    <n v="0"/>
    <s v="22.1.1.1."/>
    <s v="nd"/>
    <s v="Świadczenie przez Wykonawcę zagranicznych, krajowych, miejskich usług kurierskich w zakresie przyjmowania, przemieszczania i doręczania przesyłek dla Zamawiającego"/>
    <s v="świadczenie usług kurierskich od stycznia 2025 r. na okres 12 mies., następne umowy/wnioski podpisywane z kurierem "/>
    <n v="10"/>
    <n v="10"/>
    <n v="10"/>
    <n v="10"/>
    <n v="10"/>
    <s v="planowane"/>
    <s v="wniosek "/>
    <s v="nd"/>
    <s v="Firma kurierska"/>
  </r>
  <r>
    <x v="0"/>
    <x v="2"/>
    <s v="nd"/>
    <s v="e-Doręczenia "/>
    <s v="      wrzesień   2024"/>
    <s v="nd"/>
    <s v="2024-2029"/>
    <n v="4000"/>
    <n v="0"/>
    <s v="22.1.1.1."/>
    <s v="nd"/>
    <s v="Świadczenie przez Wykonawcę na rzecz Zamawiającego usług pocztowych w obrocie krajowym i zagranicznym w zakresie przyjmowania, przemieszczania i doręczania przesyłek listowych oraz ich ewentualnych zwrotów"/>
    <s v="świadczenie usług z operatorem wyznaczonym do e-Doręczenia"/>
    <n v="80"/>
    <n v="90"/>
    <n v="100"/>
    <n v="110"/>
    <n v="110"/>
    <s v="planowane "/>
    <s v="umowa"/>
    <s v="nd"/>
    <s v="Poczta Polska"/>
  </r>
  <r>
    <x v="0"/>
    <x v="2"/>
    <s v="nd"/>
    <s v="nd"/>
    <s v="nd"/>
    <s v="nd"/>
    <s v="nd"/>
    <n v="4000"/>
    <n v="0"/>
    <s v="22.1.1.1."/>
    <s v="nd"/>
    <s v="zakup usług "/>
    <s v="zakup usług związanych z realizacją zadań BDG"/>
    <n v="100"/>
    <n v="100"/>
    <n v="100"/>
    <n v="100"/>
    <n v="100"/>
    <s v="planowane"/>
    <s v="nd"/>
    <s v="nd"/>
    <s v="nd"/>
  </r>
  <r>
    <x v="0"/>
    <x v="2"/>
    <s v="nd"/>
    <s v="nd"/>
    <s v="nd"/>
    <s v="nd"/>
    <s v="nd"/>
    <n v="4410"/>
    <n v="0"/>
    <s v="22.1.1.1."/>
    <s v="nd"/>
    <s v="Delegacje krajowe"/>
    <s v="Zabezpieczenie potrzeb w zakresie delegacji krajowych pracowników MC w związku z realizowanymi zadaniami."/>
    <n v="610"/>
    <n v="610"/>
    <n v="610"/>
    <n v="610"/>
    <n v="610"/>
    <s v="planowane"/>
    <s v="nd"/>
    <s v="nd"/>
    <s v="nd"/>
  </r>
  <r>
    <x v="0"/>
    <x v="3"/>
    <s v="nie dotyczy"/>
    <s v="nie dotyczy"/>
    <s v="nie dotyczy"/>
    <s v="nie dotyczy"/>
    <s v="nie dotyczy"/>
    <n v="3030"/>
    <n v="0"/>
    <s v="22.1.1.1."/>
    <s v="nie dotyczy"/>
    <s v="Rada do Spraw Cyfryzacji - koszty dojazdu"/>
    <s v="Zwrot kosztów podróży dla członków Rady do Spraw Cyfryzacji reguluje art. 17 ust. 18 ustawy o informatyzacji działalności podmiotów realizujących zadania publiczne (Dz.U. 2017 poz. 570, z późn. zm.)_x000a_Rada ds. Cyfryzacji kadencji 2023-2025 spotyka się średnio na dwóch posiedzeniach miesięcznie. W połowie przyszłego roku nastąpi jednak zakończenie bieżącej kadencji RdC - nie ma możliwości przewidzenia, z jaką częstotliwością spotykać się będzie RdC kolejnej kadencji, kwoty na kolejne lata szacowane są więc na podstawie działań RdC obecnej kadencji."/>
    <n v="25"/>
    <n v="25"/>
    <n v="25"/>
    <n v="0"/>
    <n v="0"/>
    <s v="planowane"/>
    <s v="nie dotyczy"/>
    <s v="nie dotyczy"/>
    <s v="nie dotyczy"/>
  </r>
  <r>
    <x v="0"/>
    <x v="3"/>
    <s v="nie dotyczy"/>
    <s v="nie dotyczy"/>
    <s v="nie dotyczy"/>
    <s v="nie dotyczy"/>
    <s v="nie dotyczy"/>
    <n v="4170"/>
    <n v="0"/>
    <s v="22.1.1.1."/>
    <s v="nie dotyczy"/>
    <s v="Rada do Spraw Cyfryzacji - wynagrodzenia"/>
    <s v="Kwestie wynagrodzenia dla członków RdC reguluje aktualnie Rozporządzenie Ministra Administracji i Cyfryzacji z dnia 20 czerwca 2014 r. w sprawie wysokości wynagrodzenia członków Rady do Spraw Cyfryzacji (Dz.U. 2014 poz. 819).  _x000a_Rada ds. Cyfryzacji kadencji 2023-2025 spotyka się średnio na dwóch posiedzeniach miesięcznie. W połowie przyszłego roku nastąpi jednak zakończenie bieżącej kadencji RdC - nie ma możliwości przewidzenia, z jaką częstotliwością spotykać się będzie RdC kolejnej kadencji, kwoty na kolejne lata szacowane są więc na podstawie działań RdC obecnej kadencji."/>
    <n v="150"/>
    <n v="150"/>
    <n v="150"/>
    <n v="0"/>
    <n v="0"/>
    <s v="planowane"/>
    <s v="nie dotyczy"/>
    <s v="nie dotyczy"/>
    <s v="nie dotyczy"/>
  </r>
  <r>
    <x v="0"/>
    <x v="3"/>
    <s v="nie dotyczy"/>
    <s v="nie dotyczy"/>
    <s v="nie dotyczy"/>
    <s v="nie dotyczy"/>
    <s v="nie dotyczy"/>
    <n v="4000"/>
    <n v="0"/>
    <s v="22.1.1.1."/>
    <s v="nie dotyczy"/>
    <s v="Wydatki związane z obsługą organizacyjną Ministra Cyfryzacji, wydatki związane z funkcjonowaniem magazynku upominków, Zakup książek, e-booków, publikacji i pomocy dydaktycznych potrzebych do realizacji zadań i poszerzania wiedzy pracowników BM"/>
    <s v="Np.organizacja spotkań Ministra Cyfryzacji, zakup kwiatów itp._x000a_Decyzja o ew.wydatkach zależna od bieżących potrzeb członków Kierownictwa "/>
    <n v="40"/>
    <n v="40"/>
    <n v="40"/>
    <n v="0"/>
    <n v="0"/>
    <s v="planowane"/>
    <s v="nie dotyczy"/>
    <s v="nie dotyczy"/>
    <s v="nie dotyczy"/>
  </r>
  <r>
    <x v="0"/>
    <x v="3"/>
    <s v="nie dotyczy"/>
    <s v="nie dotyczy"/>
    <s v="nie dotyczy"/>
    <s v="nie dotyczy"/>
    <s v="nie dotyczy"/>
    <n v="4000"/>
    <n v="0"/>
    <s v="22.1.1.1."/>
    <s v="nie dotyczy"/>
    <s v="Wydatki związane z funkcjonowaniem magazynku upominków"/>
    <s v="Zarządzenie nr 13 Dyrektora Generalnego Ministerstwa Cyfryzacji z dnia 06.12.2023 r. "/>
    <n v="50"/>
    <n v="50"/>
    <n v="50"/>
    <n v="0"/>
    <n v="0"/>
    <s v="planowane"/>
    <s v="planowane"/>
    <s v="planowane"/>
    <s v="planowane"/>
  </r>
  <r>
    <x v="0"/>
    <x v="3"/>
    <s v="nie dotyczy"/>
    <s v="nie dotyczy"/>
    <s v="nie dotyczy"/>
    <s v="nie dotyczy"/>
    <s v="nie dotyczy"/>
    <n v="4000"/>
    <n v="0"/>
    <s v="22.1.1.1."/>
    <s v="nie dotyczy"/>
    <s v="Organizacja Dnia Dziecka"/>
    <s v="Wydarzenie wewnętrzne dla dzieci pracowników"/>
    <n v="150"/>
    <n v="150"/>
    <n v="150"/>
    <n v="0"/>
    <n v="0"/>
    <s v="planowane"/>
    <s v="planowane"/>
    <s v="planowane"/>
    <s v="planowane"/>
  </r>
  <r>
    <x v="0"/>
    <x v="3"/>
    <s v="nie dotyczy"/>
    <s v="nie dotyczy"/>
    <s v="nie dotyczy"/>
    <s v="nie dotyczy"/>
    <s v="nie dotyczy"/>
    <n v="4000"/>
    <n v="0"/>
    <s v="22.1.1.1."/>
    <s v="nie dotyczy"/>
    <s v="Koszty sądowe związane ze skargami na bezczynność dot. Wniosków o udostępnienie informacji publicznej (sprawy administracyjne)"/>
    <s v="Planowane na podstawie pisma znak: DP.MC.SSPO.0333.1.2024 z 4 czerwca 2024 r. "/>
    <n v="1"/>
    <n v="1"/>
    <n v="1"/>
    <n v="0"/>
    <n v="0"/>
    <s v="planowane"/>
    <s v="nie dotyczy"/>
    <s v="nie dotyczy"/>
    <s v="nie dotyczy"/>
  </r>
  <r>
    <x v="0"/>
    <x v="3"/>
    <s v="nie dotyczy"/>
    <s v="nie dotyczy"/>
    <s v="nie dotyczy"/>
    <s v="nie dotyczy"/>
    <s v="nie dotyczy"/>
    <n v="4000"/>
    <n v="0"/>
    <s v="22.1.1.1."/>
    <s v="nie dotyczy"/>
    <s v="Zakup książek, e-booków, publikacji i pomocy dydaktycznych potrzebych do realizacji zadań i poszerzania wiedzy pracowników "/>
    <s v="Szybko zmieniające się przepisy, rozwój technologii informatycznych, pojawiające się nowe zagrożenia dotyczące bezpieczeństwa informacji wymuszają aktualizację wiedzy na powyższe zagadnienia."/>
    <n v="7"/>
    <n v="7"/>
    <n v="7"/>
    <n v="0"/>
    <n v="0"/>
    <s v="planowane"/>
    <s v="nie dotyczy"/>
    <s v="nie dotyczy"/>
    <s v="nie dotyczy"/>
  </r>
  <r>
    <x v="0"/>
    <x v="3"/>
    <s v="nie dotyczy"/>
    <s v="nie dotyczy"/>
    <s v="nie dotyczy"/>
    <s v="nie dotyczy"/>
    <s v="nie dotyczy"/>
    <n v="4170"/>
    <n v="0"/>
    <s v="22.1.1.1."/>
    <s v="nie dotyczy"/>
    <s v="Komitet Audytu - wynagrodzenia członków niezależnych"/>
    <s v="Na podstawie art. 288. ust. 1. ustawy o finansach publicznych Minister Cyfryzacji zobowiązany jest do powołania Komitetu Audytu. Zgodnie z przyjętym założeniem w skład KA powołanych będzie trzech członków niezależnych. Zgodnie z art. 290 ustawy członek niezależny komitetu audytu wykonuje swoje zadania za wynagrodzeniem. _x000a_Z uwagi na możliwą zmianę wysokości przeciętnego wynagrodzenia w gospodarce narodowej, wg którego naliczane jest wynagrodzenie członków KA, szacowana kwota została podana w zaokrągleniu. Przyjęto przy tym przeciętne wynagrodzenia w gospodarce narodowej z roku 2022 r. które wynisi 6 346,15 zł (wzór do wyliczenia wynagrodzenia: https://sip.legalis.pl/document-full.seam?documentId=mfrxilrrge2tgnjvhaytqltwmvzc4mjxge2tc&amp;refSource=guide )_x000a_"/>
    <n v="31"/>
    <n v="35"/>
    <n v="41"/>
    <n v="0"/>
    <n v="0"/>
    <s v="planowane"/>
    <s v="nie dotyczy"/>
    <s v="nie dotyczy"/>
    <s v="nie dotyczy"/>
  </r>
  <r>
    <x v="0"/>
    <x v="3"/>
    <s v="nie dotyczy"/>
    <s v="nie dotyczy"/>
    <s v="nie dotyczy"/>
    <s v="nie dotyczy"/>
    <s v="nie dotyczy"/>
    <n v="4000"/>
    <n v="0"/>
    <s v="22.1.1.1."/>
    <s v="nie dotyczy"/>
    <s v="Zakup usług obejmujących wykonanie ekspertyz, analiz i opinii niezbędnych do realizacji zadań."/>
    <s v="Realizowane zadania często mają charakter wysokospecjalistyczny i konieczne jest wsparcie ze strony ekspertów zewnętrznych, czy też zlecenie analizy. Możliwość skorzystania z pomocy ekserta przewiduje m. in. ustawa o kontroli w administracji rządowej."/>
    <n v="30"/>
    <n v="0"/>
    <n v="40"/>
    <n v="0"/>
    <n v="0"/>
    <s v="planowane"/>
    <s v="planowane"/>
    <s v="planowane"/>
    <s v="planowane"/>
  </r>
  <r>
    <x v="0"/>
    <x v="3"/>
    <s v="nie dotyczy"/>
    <s v="nie dotyczy"/>
    <s v="nie dotyczy"/>
    <s v="nie dotyczy"/>
    <s v="nie dotyczy"/>
    <n v="4000"/>
    <n v="0"/>
    <s v="22.1.1.1."/>
    <s v="nie dotyczy"/>
    <s v="Ocena zewnętrzna audytu wewnętrznego"/>
    <s v="Obowiązek prowadzenia oceny zewnętrznej przynajmniej raz na pięć lat przez wykwalifikowaną, niezależną osobę lub zespół spoza organizacji - wynika z Międzynarodowych standardów praktyki zawodowej audytu wewnętrznego (standard 1312), wskazanych przez Ministra Finansów jako obowiązujące w Komunikacie Nr 4 Ministra Finansów z dnia 20 maja 2011 r. w sprawie standardów audytu wewnętrznego w jednostkach sektora finansów publicznych (Dz. Urz. Min. Fin. Nr 5, poz. 23)."/>
    <n v="0"/>
    <n v="40"/>
    <n v="0"/>
    <n v="0"/>
    <n v="0"/>
    <s v="planowane"/>
    <s v="planowane"/>
    <s v="planowane"/>
    <s v="planowane"/>
  </r>
  <r>
    <x v="0"/>
    <x v="3"/>
    <s v="nie dotyczy"/>
    <s v="nie dotyczy"/>
    <s v="nie dotyczy"/>
    <s v="nie dotyczy"/>
    <s v="nie dotyczy"/>
    <n v="4420"/>
    <n v="0"/>
    <s v="22.1.1.1."/>
    <s v="nie dotyczy"/>
    <s v="Podróże służbowe zagraniczne - pracowników BM"/>
    <s v="Podróże służbowe zagraniczne pracowników BM  - w zależności od bieżących potrzeb"/>
    <n v="20"/>
    <n v="20"/>
    <n v="20"/>
    <n v="0"/>
    <n v="0"/>
    <s v="nie dotyczy"/>
    <s v="nie dotyczy"/>
    <s v="nie dotyczy"/>
    <s v="nie dotyczy"/>
  </r>
  <r>
    <x v="0"/>
    <x v="4"/>
    <s v="-"/>
    <s v="-"/>
    <s v="-"/>
    <s v="-"/>
    <s v="-"/>
    <n v="4000"/>
    <n v="0"/>
    <s v="22.1.1.1."/>
    <m/>
    <s v="Zakup materiałów i wyposażenia "/>
    <s v="Zakup materiałów promocyjnych (materiały edukacyjne, książki) "/>
    <n v="70"/>
    <n v="0"/>
    <n v="0"/>
    <n v="0"/>
    <n v="0"/>
    <s v="planowane"/>
    <s v="-"/>
    <m/>
    <s v="-"/>
  </r>
  <r>
    <x v="0"/>
    <x v="4"/>
    <s v="-"/>
    <s v="-"/>
    <s v="-"/>
    <s v="-"/>
    <s v="-"/>
    <n v="4000"/>
    <n v="0"/>
    <s v="22.1.1.1."/>
    <m/>
    <s v="Zakup materiałów promocyjnych "/>
    <s v="Gażdżety z logo MC "/>
    <n v="450"/>
    <n v="0"/>
    <n v="0"/>
    <n v="0"/>
    <n v="0"/>
    <s v="planowane"/>
    <s v="-"/>
    <m/>
    <s v="-"/>
  </r>
  <r>
    <x v="0"/>
    <x v="4"/>
    <s v="-"/>
    <s v="-"/>
    <s v="-"/>
    <s v="-"/>
    <s v="-"/>
    <n v="4000"/>
    <n v="0"/>
    <s v="22.1.1.1."/>
    <m/>
    <s v="Zakup materiałów i wyposażenia "/>
    <s v="Obrandowanie MC (ścianki, roll up'y z logo MC) "/>
    <n v="100"/>
    <n v="0"/>
    <n v="0"/>
    <n v="0"/>
    <n v="0"/>
    <s v="planowane"/>
    <s v="-"/>
    <m/>
    <s v="-"/>
  </r>
  <r>
    <x v="0"/>
    <x v="4"/>
    <s v="-"/>
    <s v="-"/>
    <s v="-"/>
    <s v="-"/>
    <s v="-"/>
    <n v="4000"/>
    <n v="0"/>
    <s v="22.1.1.1."/>
    <m/>
    <s v="Zakup materiałów promocyjnych "/>
    <s v="Usługi poligraficzne (druk ulotek, broszur)"/>
    <n v="70"/>
    <n v="0"/>
    <n v="0"/>
    <n v="0"/>
    <n v="0"/>
    <s v="planowane"/>
    <s v="-"/>
    <m/>
    <s v="-"/>
  </r>
  <r>
    <x v="0"/>
    <x v="4"/>
    <s v="-"/>
    <s v="-"/>
    <s v="-"/>
    <s v="-"/>
    <s v="-"/>
    <n v="4000"/>
    <n v="0"/>
    <s v="22.1.1.1."/>
    <m/>
    <s v="Zakup usług "/>
    <s v="Monitoring mediow "/>
    <n v="150"/>
    <n v="0"/>
    <n v="0"/>
    <n v="0"/>
    <n v="0"/>
    <s v="procedowana umowa/porozumienie"/>
    <s v="-"/>
    <m/>
    <s v="-"/>
  </r>
  <r>
    <x v="0"/>
    <x v="4"/>
    <s v="-"/>
    <s v="-"/>
    <s v="-"/>
    <s v="-"/>
    <s v="-"/>
    <n v="4170"/>
    <n v="0"/>
    <s v="22.1.1.1."/>
    <m/>
    <s v="Zakup usług - wynagrodzenia bezosobowe "/>
    <s v="Obsługa fotograficzna i video"/>
    <n v="300"/>
    <n v="0"/>
    <n v="0"/>
    <n v="0"/>
    <n v="0"/>
    <s v="procedowana umowa/porozumienie"/>
    <s v="-"/>
    <m/>
    <s v="-"/>
  </r>
  <r>
    <x v="0"/>
    <x v="4"/>
    <s v="-"/>
    <s v="-"/>
    <s v="-"/>
    <s v="-"/>
    <s v="-"/>
    <n v="4000"/>
    <n v="0"/>
    <s v="22.1.1.1."/>
    <m/>
    <s v="Zakup materiałów i wyposażenia "/>
    <s v="Sprzęt AV (gimbale, mikrofony do nagrań) "/>
    <n v="40"/>
    <n v="0"/>
    <n v="0"/>
    <n v="0"/>
    <n v="0"/>
    <s v="planowane"/>
    <s v="-"/>
    <m/>
    <s v="-"/>
  </r>
  <r>
    <x v="0"/>
    <x v="4"/>
    <s v="-"/>
    <s v="-"/>
    <s v="-"/>
    <s v="-"/>
    <s v="-"/>
    <n v="4000"/>
    <n v="0"/>
    <s v="22.1.1.1."/>
    <m/>
    <s v="Zakup usług "/>
    <s v="Licencje, subskrypcje roczne (wersje Premium, programy graficzne) "/>
    <n v="60"/>
    <n v="0"/>
    <n v="0"/>
    <n v="0"/>
    <n v="0"/>
    <s v="planowane"/>
    <s v="-"/>
    <m/>
    <s v="-"/>
  </r>
  <r>
    <x v="0"/>
    <x v="4"/>
    <s v="-"/>
    <s v="-"/>
    <s v="-"/>
    <s v="-"/>
    <s v="-"/>
    <n v="4000"/>
    <n v="0"/>
    <s v="22.1.1.1."/>
    <m/>
    <s v="Zakup materiałów promocyjnych "/>
    <s v="Konkursy tematyczne i nagrody "/>
    <n v="150"/>
    <n v="0"/>
    <n v="0"/>
    <n v="0"/>
    <n v="0"/>
    <s v="planowane"/>
    <s v="-"/>
    <m/>
    <s v="-"/>
  </r>
  <r>
    <x v="0"/>
    <x v="4"/>
    <s v="-"/>
    <s v="-"/>
    <s v="-"/>
    <s v="-"/>
    <s v="-"/>
    <n v="4000"/>
    <n v="0"/>
    <s v="22.1.1.1."/>
    <m/>
    <s v="Wynagrodzenie agencyjno-prowizyjne "/>
    <s v=" Produkcja i emisja kampanii info-promo (prezydencja Polski w UE) - zamówienie na agencje reklamowe"/>
    <n v="100"/>
    <n v="0"/>
    <n v="0"/>
    <n v="0"/>
    <n v="0"/>
    <s v="planowane"/>
    <s v="-"/>
    <m/>
    <s v="-"/>
  </r>
  <r>
    <x v="0"/>
    <x v="4"/>
    <s v="-"/>
    <s v="-"/>
    <s v="-"/>
    <s v="-"/>
    <s v="-"/>
    <n v="4000"/>
    <n v="0"/>
    <s v="22.1.1.1."/>
    <m/>
    <s v="Zakup usług "/>
    <s v="Eventy, konferencje, DD w KPRM itp. - budżet nowego Wydziału ds. Koordynacji Wydarzeń "/>
    <n v="2500"/>
    <n v="0"/>
    <n v="0"/>
    <n v="0"/>
    <n v="0"/>
    <s v="planowane"/>
    <s v="-"/>
    <m/>
    <s v="-"/>
  </r>
  <r>
    <x v="0"/>
    <x v="4"/>
    <s v="-"/>
    <s v="-"/>
    <s v="-"/>
    <s v="-"/>
    <s v="-"/>
    <n v="4000"/>
    <n v="0"/>
    <s v="22.1.1.1."/>
    <m/>
    <s v="Zakup usług "/>
    <s v="Dodatkowe kampanie medialne (poza KEI) i niezaplanowane potrzeby innych departamentów dot. działań komunikacyjnych"/>
    <n v="2000"/>
    <n v="0"/>
    <n v="0"/>
    <n v="0"/>
    <n v="0"/>
    <s v="planowane"/>
    <s v="-"/>
    <m/>
    <s v="-"/>
  </r>
  <r>
    <x v="0"/>
    <x v="5"/>
    <m/>
    <m/>
    <m/>
    <m/>
    <m/>
    <n v="4000"/>
    <n v="0"/>
    <s v="16.5.2.2"/>
    <m/>
    <s v="Dogłębne audyty dostepności cyfrowej stron internetowych podmiotów publicznych zgodnie z realizacją zadań nałożonych przez Ustawę z dnia 4 kwietnia 2019 r. o dostępności cyfrowej stron internetowych i aplikacji mobilnych podmiotów publicznych (art. 12 pkt 2)"/>
    <s v="Dogłębne audyty dostepności cyfrowej stron internetowych podmiotów publicznych zgodnie z realizacją zadań nałożonych przez Ustawę z dnia 4 kwietnia 2019 r. o dostępności cyfrowej stron internetowych i aplikacji mobilnych podmiotów publicznych (art. 12 pkt 2)"/>
    <n v="500"/>
    <n v="600"/>
    <n v="600"/>
    <n v="600"/>
    <n v="600"/>
    <s v="planowane"/>
    <m/>
    <m/>
    <m/>
  </r>
  <r>
    <x v="0"/>
    <x v="5"/>
    <m/>
    <m/>
    <m/>
    <m/>
    <m/>
    <n v="4000"/>
    <n v="0"/>
    <s v="16.5.2.2"/>
    <m/>
    <s v="Dogłębne audyty dostepności cyfrowej aplikacji mobilnych podmiotów publicznych zgodne z realizacją zadań nałożonych przez Ustawę z dnia 4 kwietnia 2019 r. o dostępności cyfrowej stron internetowych i aplikacji mobilnych podmiotów publicznych (art. 12 pkt 2)"/>
    <s v="Dogłębne audyty dostepności cyfrowej aplikacji mobilnych podmiotów publicznych zgodne z realizacją zadań nałożonych przez Ustawę z dnia 4 kwietnia 2019 r. o dostępności cyfrowej stron internetowych i aplikacji mobilnych podmiotów publicznych (art. 12 pkt 2)"/>
    <n v="300"/>
    <n v="400"/>
    <n v="400"/>
    <n v="400"/>
    <n v="400"/>
    <s v="planowane"/>
    <m/>
    <m/>
    <m/>
  </r>
  <r>
    <x v="0"/>
    <x v="5"/>
    <m/>
    <m/>
    <m/>
    <m/>
    <m/>
    <n v="4000"/>
    <n v="0"/>
    <s v="16.5.2.2"/>
    <m/>
    <s v="Utrzymanie programu do badania dostepności cyfrowej stron internetowych "/>
    <s v="Utrzymanie programu do badania dostepności cyfrowej stron internetowych "/>
    <n v="300"/>
    <n v="300"/>
    <n v="300"/>
    <n v="300"/>
    <n v="300"/>
    <s v="planowane"/>
    <m/>
    <m/>
    <m/>
  </r>
  <r>
    <x v="0"/>
    <x v="5"/>
    <m/>
    <m/>
    <m/>
    <m/>
    <m/>
    <n v="4000"/>
    <n v="0"/>
    <s v="16.5.2.2"/>
    <m/>
    <s v="Tłumaczenie dokumentów dot. dostępności cyfrowej (normy, WCAG)"/>
    <s v="Tłumaczenie dokumentów dot. dostępności cyfrowej (normy, WCAG)"/>
    <n v="20"/>
    <n v="20"/>
    <n v="20"/>
    <n v="20"/>
    <n v="20"/>
    <s v="planowane"/>
    <m/>
    <m/>
    <m/>
  </r>
  <r>
    <x v="0"/>
    <x v="5"/>
    <m/>
    <m/>
    <m/>
    <m/>
    <m/>
    <n v="4000"/>
    <n v="0"/>
    <s v="16.5.2.2"/>
    <m/>
    <s v="Organizacja spotkań i konferencji (w tym koszty usług tłumacza) oraz konferencje organizpwane w ramach prezydencji Polski w UE"/>
    <s v="Organizacja spotkań i konferencji (w tym koszty usług tłumacza)"/>
    <m/>
    <m/>
    <m/>
    <m/>
    <m/>
    <s v="Prezydencja"/>
    <m/>
    <m/>
    <m/>
  </r>
  <r>
    <x v="0"/>
    <x v="5"/>
    <m/>
    <m/>
    <m/>
    <m/>
    <m/>
    <n v="4000"/>
    <n v="0"/>
    <s v="16.5.2.2"/>
    <m/>
    <s v="Badania i analizy"/>
    <s v="Realizacja badań i analiz w zakresie kompetencji cyfrowych wynika z regulaminu organizacyjnego CRKC"/>
    <n v="2000"/>
    <n v="2000"/>
    <n v="2000"/>
    <n v="2000"/>
    <n v="2000"/>
    <s v="planowane"/>
    <m/>
    <m/>
    <m/>
  </r>
  <r>
    <x v="0"/>
    <x v="5"/>
    <m/>
    <m/>
    <m/>
    <m/>
    <m/>
    <n v="4000"/>
    <n v="0"/>
    <s v="16.5.2.2"/>
    <m/>
    <s v="Zakup narzędzia do tworzenia ankiet onlinie"/>
    <s v="Narzędzie jest niezbędne do realizacji niektórych badań własnymi zasobami CRKC."/>
    <n v="15"/>
    <n v="15"/>
    <n v="15"/>
    <n v="15"/>
    <n v="15"/>
    <s v="umowa"/>
    <s v="184/CRKC/24 (na rok 2024/2025)"/>
    <m/>
    <m/>
  </r>
  <r>
    <x v="0"/>
    <x v="5"/>
    <m/>
    <m/>
    <m/>
    <m/>
    <m/>
    <n v="2830"/>
    <n v="0"/>
    <s v="16.5.2.2"/>
    <m/>
    <s v="Dotacja dla NASK na utrzymanie realizacja umów wykonawczych, system IT do relokacji i dystrybucji,  wsparcia informacyjno-technicznego na potrzeby komputerów dla uczniów i realizacja konkursów na nadmiarowe laptopy. "/>
    <s v="Realizacja zadania wynika z ustawy o  wsparciu rozwoju kompetencji cyfrowych uczniów i nauczycieli."/>
    <n v="2903"/>
    <n v="2350"/>
    <n v="0"/>
    <n v="0"/>
    <n v="0"/>
    <s v="realizowane"/>
    <s v="umowa"/>
    <s v="113/CRKC/24"/>
    <s v="Naukowa i Akademicka Sieć Komputerowa – Państwowy Instytut Badawczy"/>
  </r>
  <r>
    <x v="0"/>
    <x v="5"/>
    <m/>
    <m/>
    <m/>
    <m/>
    <m/>
    <n v="4000"/>
    <n v="0"/>
    <s v="16.5.2.2"/>
    <s v="podmioty pozostałe (z wyjątkiem PKP PLK S.A.)"/>
    <s v="Pełnienie funkcji Podmiotu Zewnętrznego Zapewnienia Jakości "/>
    <s v="Pełnienie funkcji Podmiotu Zewnętrznego Zapewnienia Jakości przez Siecią Badawczą Łukasiewicz - Instytutem Technologii Eksploatacji oraz Grupę Gumułkę - Euroedukacja, w stosunku do Intytucji Certyfikujących"/>
    <n v="400"/>
    <n v="550"/>
    <n v="600"/>
    <n v="600"/>
    <n v="0"/>
    <s v="procedowana umowa/porozumienie"/>
    <m/>
    <m/>
    <m/>
  </r>
  <r>
    <x v="0"/>
    <x v="5"/>
    <m/>
    <m/>
    <m/>
    <m/>
    <m/>
    <n v="4170"/>
    <n v="0"/>
    <s v="16.5.2.3"/>
    <s v="podmioty pozostałe (z wyjątkiem PKP PLK S.A.)"/>
    <s v="Pełnienie funkcji Specjalisty bądź Eksperta"/>
    <s v="Wykonawca przyjmując do wykonania Zadanie działa jako specjalista  bądź ekspert powołany do zespołu ekspertów, o którym mowa w ustawie o ZSK i rozporządzeniu MEN."/>
    <n v="50"/>
    <n v="100"/>
    <n v="100"/>
    <n v="100"/>
    <n v="100"/>
    <s v="planowane"/>
    <m/>
    <m/>
    <m/>
  </r>
  <r>
    <x v="0"/>
    <x v="5"/>
    <m/>
    <m/>
    <m/>
    <m/>
    <m/>
    <n v="2830"/>
    <n v="0"/>
    <s v="16.5.2.2"/>
    <s v="pozostałe jednostki sektora finansów publicznych"/>
    <s v="Przeciwdziałanie dezinformacji "/>
    <s v="Dotacja celowa na wydatki bieżące z przeznaczeniem na realizację zadania pn. „Monitoring treści o potencjale dezinformacyjnym w mediach społecznościowych oraz prace rozwojowe nad usprawnieniem narzędzi wspierających budowanie odporności administracji publicznej oraz społeczeństwa wobec zjawiska dezinformacji poprzez działania naukowe i edukacyjne” na podstawie art. 37 ust. 1 i 2 ustawy z dnia 30 kwietnia 2010 r. o instytutach badawczych (Dz. U. z 2022 r. poz. 498) w wys. 11.916.503,52 zł. W ramach zadania  planowanego do kontynuacji  w 2024 roku  Naukowa i Akademicka Sieć Komputerowa – Państwowy Instytut Badawczy planuje zrealizować wydatki bieżące z przeznaczeniem na realizację m.in. następujących działań: _x000a_-ciągły, bardziej precyzyjny monitoring infosfery;_x000a_rozwijanie dodatkowych funkcjonalności narzędzia do monitorowania dezinformacji;_x000a_- analiza narracji dezinformujących oraz wypracowanie predykcji sytuacji;_x000a_- edukacja interesariuszy z administracji publicznej w zakresie przeciwdziałania dezinformacji;_x000a_- ekspercki udział w konferencjach i wydarzeniach;_x000a_- kampanie informacyjne dla całego społeczeństwa."/>
    <n v="0"/>
    <n v="0"/>
    <n v="0"/>
    <n v="0"/>
    <n v="0"/>
    <s v="umowa"/>
    <s v="umowa"/>
    <s v="364/C/CRKC/2023 na kwotę 11.999.978,52 zł"/>
    <s v="Naukowa i Akademicka Sieć Komputerowa – Państwowy Instytut Badawczy"/>
  </r>
  <r>
    <x v="0"/>
    <x v="5"/>
    <m/>
    <m/>
    <m/>
    <m/>
    <m/>
    <n v="6230"/>
    <n v="0"/>
    <s v="16.5.2.2"/>
    <s v="pozostałe jednostki sektora finansów publicznych"/>
    <s v="Przeciwdziałanie dezinformacji "/>
    <s v="Dotacja celowa na wydatki majątkowe na zadanie &quot;Monitoring treści o potencjale dezinformacyjnym w mediach społecznościowych oraz prace rozwojowe nad usprawnieniem narzędzi wspierających budowanie odporności administracji publicznej oraz społeczeństwa wobec zjawiska dezinformacji poprzez działania naukowe i edukacyjne” na podstawie art. 37 ust. 1 i 2 ustawy z dnia 30 kwietnia 2010 r. o instytutach badawczych (Dz. U. z 2022 r. poz. 498 w wys. 83.475,00 zł. W ramach zadania  planowanego do kontynuacji  w 2024 roku Naukowa i Akademicka Sieć Komputerowa – Państwowy Instytut Badawczy planuje zrealizować wydatki majątkowe na zakup rozwiązań z zakresu bezpieczeństwa. W ramach powyższej kwoty planuje się opłaty za licencje dla architektów i programistów utrzymujących aplikacje, licencji dla rozwiązań podnoszących efektywność i możliwości analityczne systemu oraz zakupy realizowane w celu rozbudowy platformy sprzętowej."/>
    <n v="0"/>
    <n v="0"/>
    <n v="0"/>
    <n v="0"/>
    <n v="0"/>
    <s v="umowa"/>
    <s v="umowa"/>
    <s v="364/C/CRKC/2023 na kwotę 11.999.978,52 zł"/>
    <s v="Naukowa i Akademicka Sieć Komputerowa – Państwowy Instytut Badawczy"/>
  </r>
  <r>
    <x v="0"/>
    <x v="5"/>
    <s v="nd"/>
    <s v="Program wieloletni &quot;Program Rozwoju Talentów Informatycznych na lata 2019-2029&quot;   - Uchwała nr 43 Rady Ministrów z dnia 28 maja 2019 r. w sprawie ustanowienia programu wieloletniego &quot;Program Rozwoju Talentów Informatycznych na lata 2019-2029&quot;, zmieniona uchwałą nr 134 Rady Ministrów z dnia 25 września 2020 r. oraz uchwałą nr 138 Rady Ministrów z dnia 25 października 2021 r. zmieniająca uchwałę w sprawie ustanowienia programu wieloletniego &quot;Program Rozwoju Talentów Informatycznych na lata 2019-2029 "/>
    <s v="nd"/>
    <s v="nd"/>
    <s v="nd"/>
    <n v="2810"/>
    <n v="0"/>
    <s v="16.5.2.2"/>
    <s v="podmioty pozostałe (z wyjątkiem PKP PLK S.A.)"/>
    <s v="Program wieloletni &quot;Program Rozwoju Talentów Informatycznych na lata 2019-2029&quot;"/>
    <s v="Uchwała nr 43 Rady Ministrów z dnia 28 maja 2019 r. w sprawie ustanowienia programu wieloletniego &quot;Program Rozwoju Talentów Informatycznych na lata 2019-2029&quot;, zmienioną uchwałą nr 134 Rady Ministrów z dnia 25 września 2020 r. oraz uchwałą nr 138 Rady Ministrów z dnia 25 października 2021 r. zmieniającą uchwałę w sprawie ustanowienia programu wieloletniego &quot;Program Rozwoju Talentów Informatycznych na lata 2019-2029&quot;. Planowane jest ogłoszenie konkursów Ministra Cyfryzacji na przeprowadzenie konkursów: Mistrzostwa w Algorytmice i Programowaniu, Mistrzostwa w Projektowaniu Gier Komputerowych. "/>
    <n v="9000"/>
    <n v="9000"/>
    <n v="9000"/>
    <n v="9000"/>
    <n v="6200"/>
    <s v="planowane"/>
    <s v="planowane"/>
    <m/>
    <m/>
  </r>
  <r>
    <x v="0"/>
    <x v="5"/>
    <s v="nd"/>
    <s v="Art 5a ust.1   ustawy o działalności pożytku publicznego i o wolontariacie - podstawa prawna uchwalenia Programu współpracy.Obecnie procedowany jest projekt Programu współpracy Ministra Cyfryzacji z organizacjami pozarządowymi oraz podmiotami wymienionymi w art. 3 ust. 3  ustawy o działalności pożytku publicznego i o wolontariacie na lata 2025-2027 , w projekcie tym przewidziano  kwotę  po 35.000 tys.  zł na 2025 rok i  kolejne lata ._x000a_Planowane jest udzielenie dotacji celowych przez Ministra Cyfryzacji  na podstawie  art. 11 ust. 2 oraz art. 13  ustawy z dnia 24 kwietnia 2003 r. o działalności pożytku publicznego i o wolontariacie (tj. Dz. U. z 2023 r. poz. 571) organizacjom pozarządowym oraz podmiotom wymienionym w art. 3 ust. 3 ustawy o działalności pożytku publicznego i o wolontariacie stosownie do zapisów zawartych w Programie współpracy Ministra Cyfryzacji. Jednym z celów Programu jest zaangażowanie organizacji pozarządowych w realizację zadań na rzecz rozwoju kompetencji cyfrowych obywateli rozwoju cyfrowej gospodarki; wspieranie i rozwijanie potencjału organizacji pozarządowych, aktywności obywatelskiej oraz nieformalnych inicjatyw. Planowane jest ogłoszenie otwartych  konkursów na realizację zadań ujętych w  ww. Programie."/>
    <s v="nd"/>
    <s v="nd"/>
    <s v="nd"/>
    <n v="2810"/>
    <n v="0"/>
    <s v="16.5.2.2"/>
    <s v="podmioty pozostałe (z wyjątkiem PKP PLK S.A.)"/>
    <s v="Program współpracy Ministra Cyfryzacji z organizacjami pozarządowymi oraz podmiotami wymienionymi w art. 3 ust. 3 ustawy o działalności pożytku publicznego i o wolontariacie na lata 2022-2024"/>
    <s v="Program współpracy Ministra Cyfryzacji z organizacjami pozarządowymi oraz podmiotami wymienionymi w art. 3 ust. 3 ustawy o działalności pożytku publicznego i o wolontariacie na lata 2022-2024 na kwotę 35.000.000 zł. Podstawa prawna  -  art. 5b ust. 1 ustawy z dnia 24 kwietnia 2003 r. o działalności pożytku publicznego i o wolontariacie (Dz. U. z 2020 r. poz. 1057 oraz z 2021 r. poz. 1038, 1243 i 1535). Z uwagi że, w tym roku realizacja Programu się kończy,  przygotowywany jest projekt Programu na kolejne lata. W ramach aktualnie obowiązującego Programu planowane jest ogłoszenie konkursów skierowanych do NGO m.in. w przedmocie szkoleń z zaawansowanych kompetancji cyfrowych dla kobiet oraz innych grup odbiorców."/>
    <n v="35000"/>
    <n v="35000"/>
    <n v="35000"/>
    <n v="35000"/>
    <n v="35000"/>
    <s v="planowane"/>
    <s v="planowane"/>
    <m/>
    <m/>
  </r>
  <r>
    <x v="0"/>
    <x v="5"/>
    <s v="nd"/>
    <s v=" Przeciwdziałanie dezinformacji w wys. 5.000 tys. zł._x000a_W ramach zadania planowane są na 2025 rok działania związane z dezinformacją m.in. szkolenia, działania informacyjno – promocyjne."/>
    <s v="nd"/>
    <s v="nd"/>
    <s v="nd"/>
    <n v="4000"/>
    <n v="0"/>
    <s v="16.5.2.2"/>
    <s v="podmioty pozostałe (z wyjątkiem PKP PLK S.A.)"/>
    <s v="Przeciwdziałanie dezinformacji "/>
    <s v=" Przeciwdziałanie dezinformacji w wys. 5.000.000 zł._x000a_W ramach zadania planowane są na 2025 rok działania związane z dezinformacją m.in. szkolenia, działania informacyjno – promocyjne ( w tym m.in. szkolenia, informacja oraz promocja w radiu i telewizji, internecie ). "/>
    <n v="2887"/>
    <n v="5000"/>
    <n v="5000"/>
    <n v="5000"/>
    <n v="5000"/>
    <s v="planowane"/>
    <s v="planowane"/>
    <m/>
    <m/>
  </r>
  <r>
    <x v="0"/>
    <x v="5"/>
    <s v="nd"/>
    <s v="Dotacja celowa na wydatki bieżące  dla Instytutu Chemii Bioorganicznej PAN Poznańskie Centrum Superkomputerowo-Sieciowe w Poznaniu z przeznaczeniem na realizację projektu &quot;Rozwój kompetencji cyfrowych w zakresie inżynierii kwantowej &quot;-  na  podstawie   art. 10c ust 1,2 i 6  ustawy z dnia 8 sierpnia 1996 r. o Radzie Ministrów planowane jest wydanie decyzji Prezesa Rady Minsitrów  powierzającej Instytutowi realizację ww. projektu . Przewiduje się wydtaki min. na, wsparcie w zakresie wykorzystania mocy obliczeniowych komputera kwantowego IBM Quantum,Opracowanie wytycznych/założeń do programów studiów w zakresie inżynierii kwantowej, Przeprowadzenie pilotażu szkoleń dla kadry akademickiej z zakresu tematyki inżynierii kwantowej"/>
    <s v="nd"/>
    <s v="nd"/>
    <s v="nd"/>
    <n v="2800"/>
    <n v="0"/>
    <s v="16.5.2.2"/>
    <m/>
    <s v="Rozwój kompetencji cyfrowych w zakresie inżynierii kwantowej "/>
    <s v="Dotacja celowa na wydatki bieżące  dla Instytutu Chemii Bioorganicznej PAN Poznańskie Centrum Superkomputerowo-Sieciowe w Poznaniu z przeznaczeniem na realizację projektu &quot;Rozwój kompetencji cyfrowych w zakresie inżynierii kwantowej &quot;-  na  podstawie   art. 10c ust 1,2 i 6  ustawy z dnia 8 sierpnia 1996 r. o Radzie Ministrów planowane jest wydanie decyzji Prezesa Rady Minsitrów  powierzającej Instytutowi realizację ww. projektu . Przewiduje się wydtaki min. na, wsparcie w zakresie wykorzystania mocy obliczeniowych komputera kwantowego IBM Quantum,Opracowanie wytycznych/założeń do programów studiów w zakresie inżynierii kwantowej, Przeprowadzenie pilotażu szkoleń dla kadry akademickiej z zakresu tematyki inżynierii kwantowej"/>
    <n v="7335"/>
    <n v="0"/>
    <n v="0"/>
    <n v="0"/>
    <n v="0"/>
    <s v="planowane"/>
    <s v="planowane "/>
    <m/>
    <m/>
  </r>
  <r>
    <x v="0"/>
    <x v="5"/>
    <s v="nd"/>
    <s v="Dotacja celowa na wydatki bieżące dla NASK-PIB  z przeznaczeniem na realizację zadania pn. „Monitoring treści o_x000a_potencjale dezinformacyjnym w mediach społecznościowych oraz prace rozwojowe nad_x000a_usprawnieniem narzędzi wspierających budowanie odporności administracji publicznej_x000a_oraz społeczeństwa wobec zjawiska dezinformacji poprzez działania naukowe i_x000a_edukacyjne&quot;,” na podstawie art. 37 ust. 1 i 2 ustawy z dnia 30 kwietnia 2010 r. o instytutach badawczych (Dz. U. z 2022 r. poz. 498). _x000a_W ramach zadania  przewidziano realizację  m.in. działań:_x000a_-Szybkie wykrywanie i reagowanie na dezinformację _x000a_(Częściowe utrzymanie systemu szybkiego reagowania, opracowanie strategii reagowania na dezinformację przez instytucje publiczne);_x000a_-Pogłębiona analiza i analiza trendów (ogólnodostępne raporty)._x000a_- Analiza trendów narracyjnych (ogólnodostępne raporty),_x000a_- Analiza kampanii dezinformacyjnych,_x000a_-Prowadzenie działań na rzecz edukacji społecznej oraz prowadzenie celowych kampanii, informacyjnych przy wykorzystaniu kanałów NASK._x000a_-Opracowanie strategii komunikacji reakcji na dezinformacje instytucji publicznych."/>
    <s v="nd"/>
    <s v="nd"/>
    <s v="nd"/>
    <n v="2830"/>
    <n v="0"/>
    <s v="16.5.2.2"/>
    <m/>
    <s v="„Monitoring treści o potencjale dezinformacyjnym w mediach społecznościowych oraz prace rozwojowe nad_x000a_usprawnieniem narzędzi wspierających budowanie odporności administracji publicznej oraz społeczeństwa wobec zjawiska dezinformacji poprzez działania naukowe i edukacyjne"/>
    <s v="Dotacja celowa na wydatki bieżące dla NASK-PIB  z przeznaczeniem na realizację zadania pn. „Monitoring treści o_x000a_potencjale dezinformacyjnym w mediach społecznościowych oraz prace rozwojowe nad_x000a_usprawnieniem narzędzi wspierających budowanie odporności administracji publicznej_x000a_oraz społeczeństwa wobec zjawiska dezinformacji poprzez działania naukowe i_x000a_edukacyjne&quot;,” na podstawie art. 37 ust. 1 i 2 ustawy z dnia 30 kwietnia 2010 r. o instytutach badawczych (Dz. U. z 2022 r. poz. 498). _x000a_W ramach zadania  przewidziano realizację  m.in. działań:_x000a_-Szybkie wykrywanie i reagowanie na dezinformację _x000a_(Częściowe utrzymanie systemu szybkiego reagowania, opracowanie strategii reagowania na dezinformację przez instytucje publiczne);_x000a_-Pogłębiona analiza i analiza trendów (ogólnodostępne raporty)._x000a_- Analiza trendów narracyjnych (ogólnodostępne raporty),_x000a_- Analiza kampanii dezinformacyjnych,_x000a_-Prowadzenie działań na rzecz edukacji społecznej oraz prowadzenie celowych kampanii, informacyjnych przy wykorzystaniu kanałów NASK._x000a_-Opracowanie strategii komunikacji reakcji na dezinformacje instytucji publicznych."/>
    <n v="14410"/>
    <n v="0"/>
    <n v="0"/>
    <n v="0"/>
    <n v="0"/>
    <s v="planowane"/>
    <s v="planowane "/>
    <m/>
    <m/>
  </r>
  <r>
    <x v="0"/>
    <x v="5"/>
    <s v="nd"/>
    <m/>
    <s v="nd"/>
    <s v="nd"/>
    <s v="nd"/>
    <n v="2830"/>
    <n v="0"/>
    <s v="16.5.2.2"/>
    <m/>
    <s v="Dotacja celowa dla NASK-PIB na wdrożenie przez NASK-PIB portalu o kompetencjach cyfrowych  oraz organizacji konferencji „Digital Skills Summit” realizowanych w ramach „Programu Rozwoju Kompetencji Cyfrowych”"/>
    <s v="Realizacja działań wynikających z  Programu Rozwoju Kompetencji Cyfrowych"/>
    <n v="1300"/>
    <n v="1300"/>
    <n v="1300"/>
    <n v="1300"/>
    <n v="1300"/>
    <s v="planowane"/>
    <s v="planowane"/>
    <m/>
    <s v="Naukowa i Akademicka Sieć Komputerowa – Państwowy Instytut Badawczy"/>
  </r>
  <r>
    <x v="0"/>
    <x v="5"/>
    <s v="nd"/>
    <m/>
    <s v="nd"/>
    <s v="nd"/>
    <s v="nd"/>
    <n v="2830"/>
    <n v="0"/>
    <s v="16.5.2.2"/>
    <m/>
    <s v="Dotacja celowa dla NASK-PIB na realizację projektu szkoleniowego dla seniorów i uczniów pn. Szkoła międzypokoleniowa"/>
    <s v="Realizacja działań wynikających z  Programu Rozwoju Kompetencji Cyfrowych"/>
    <n v="3000"/>
    <n v="0"/>
    <n v="0"/>
    <n v="0"/>
    <n v="0"/>
    <s v="planowane"/>
    <s v="planowane"/>
    <m/>
    <s v="Naukowa i Akademicka Sieć Komputerowa – Państwowy Instytut Badawczy"/>
  </r>
  <r>
    <x v="0"/>
    <x v="5"/>
    <s v="nd"/>
    <s v="delegacje służbowe krajowe dla pracowników CRKC"/>
    <s v="nd"/>
    <s v="nd"/>
    <s v="nd"/>
    <n v="4410"/>
    <n v="0"/>
    <s v="16.5.2.2"/>
    <m/>
    <s v="delegacje służbowe krajowe"/>
    <s v="delegacje służbowe krajowe"/>
    <m/>
    <m/>
    <m/>
    <m/>
    <m/>
    <s v="planowane"/>
    <s v="planowane "/>
    <m/>
    <m/>
  </r>
  <r>
    <x v="0"/>
    <x v="5"/>
    <s v="nd"/>
    <s v="delegacje służbowe zagraniczne dla pracowników CRKC"/>
    <s v="nd"/>
    <s v="nd"/>
    <s v="nd"/>
    <n v="4420"/>
    <n v="0"/>
    <s v="16.5.2.2"/>
    <m/>
    <s v="delegacje służbowe zagraniczne"/>
    <s v="delegacje służbowe zagraniczne"/>
    <m/>
    <m/>
    <m/>
    <n v="0"/>
    <n v="0"/>
    <s v="planowane"/>
    <s v="planowane "/>
    <m/>
    <m/>
  </r>
  <r>
    <x v="0"/>
    <x v="5"/>
    <s v="nd"/>
    <s v="Catering okazjonalny "/>
    <s v="nd"/>
    <s v="nd"/>
    <s v="nd"/>
    <n v="4000"/>
    <n v="0"/>
    <s v="16.5.2.2"/>
    <m/>
    <s v="Catering okazjonalny"/>
    <s v="Catering okazjonalny niezbędny do prowadzonych spotkań i wydarzeń organizowanych przez CRKC, w tym np. Okrągły stół dla kobiet czy seniorów."/>
    <n v="30"/>
    <n v="30"/>
    <n v="30"/>
    <n v="0"/>
    <n v="0"/>
    <s v="planowane"/>
    <s v="planowane "/>
    <m/>
    <m/>
  </r>
  <r>
    <x v="0"/>
    <x v="5"/>
    <s v="nd"/>
    <s v="Tłumaczenia"/>
    <s v="nd"/>
    <s v="nd"/>
    <s v="nd"/>
    <n v="4000"/>
    <n v="0"/>
    <s v="16.5.2.2"/>
    <m/>
    <s v="tłumaczenia"/>
    <s v="tłumaczenia"/>
    <n v="0"/>
    <n v="0"/>
    <n v="0"/>
    <n v="0"/>
    <n v="0"/>
    <s v="planowane"/>
    <s v="planowane "/>
    <m/>
    <m/>
  </r>
  <r>
    <x v="0"/>
    <x v="5"/>
    <s v="nd"/>
    <s v="szkolenia dla pracowników CRKC"/>
    <s v="nd"/>
    <s v="nd"/>
    <s v="nd"/>
    <n v="4550"/>
    <n v="0"/>
    <s v="16.5.2.2"/>
    <m/>
    <s v="szkolenia"/>
    <s v="szkolenia"/>
    <n v="50"/>
    <n v="50"/>
    <n v="50"/>
    <n v="0"/>
    <n v="0"/>
    <s v="planowane"/>
    <s v="planowane "/>
    <m/>
    <m/>
  </r>
  <r>
    <x v="0"/>
    <x v="6"/>
    <s v="Inny"/>
    <s v="EBSI"/>
    <s v="III kwartał 2024"/>
    <s v="n/d"/>
    <s v="2024-2027"/>
    <n v="2832"/>
    <n v="0"/>
    <s v="16.5.2.2"/>
    <s v="podmioty pozostałe (z wyjątkiem PKP PLK S.A.)"/>
    <s v="Dotacja dla NASK - system EBSI - wydatki bieżące"/>
    <s v="Realizacja zadania pn. „Pełnienie roli operatora węzła EBSI POLSKA” zakłada dofinansowanie działań Naukowej i Akademickiej Sieci Komputerowej – Państwowego Instytutu Badawczego (NASK – PIB), których celem jest realizacja działań związanych z rozwojem EBSI, budową, utrzymaniem i obsługą węzłów EBSI wg wymagań określanych przez grupę techniczną EBP, polskiej infrastruktury sieci EBSI i obsługiwanych z jej użyciem przypadków użycia wybranych w ramach EBP (Europejskie Porozumienie Blockchain) i podjętych do realizacji i świadczenia usług publicznych przez stosowne instytucje lub inne podmioty w Polsce."/>
    <n v="4310"/>
    <n v="4310"/>
    <n v="0"/>
    <n v="0"/>
    <n v="0"/>
    <s v="procedowana umowa/porozumienie"/>
    <m/>
    <m/>
    <s v="NASK"/>
  </r>
  <r>
    <x v="0"/>
    <x v="6"/>
    <s v="Inny"/>
    <s v="EBSI"/>
    <s v="III kwartał 2024"/>
    <s v="n/d"/>
    <n v="2024"/>
    <n v="6232"/>
    <n v="0"/>
    <s v="16.5.2.2"/>
    <s v="podmioty pozostałe (z wyjątkiem PKP PLK S.A.)"/>
    <s v="Dotacja dla NASK - system EBSI - wydatki majątkowe"/>
    <s v="Realizacja zadania pn. „Pełnienie roli operatora węzła EBSI POLSKA” zakłada dofinansowanie działań Naukowej i Akademickiej Sieci Komputerowej – Państwowego Instytutu Badawczego (NASK – PIB), których celem jest realizacja działań związanych z rozwojem EBSI, budową, utrzymaniem i obsługą węzłów EBSI wg wymagań określanych przez grupę techniczną EBP, polskiej infrastruktury sieci EBSI i obsługiwanych z jej użyciem przypadków użycia wybranych w ramach EBP (Europejskie Porozumienie Blockchain) i podjętych do realizacji i świadczenia usług publicznych przez stosowne instytucje lub inne podmioty w Polsce."/>
    <n v="0"/>
    <n v="0"/>
    <n v="0"/>
    <n v="0"/>
    <n v="0"/>
    <s v="procedowana umowa/porozumienie"/>
    <m/>
    <m/>
    <s v="NASK"/>
  </r>
  <r>
    <x v="0"/>
    <x v="6"/>
    <s v="Inny"/>
    <s v="Widok 2.0"/>
    <s v="II kwartał 2024"/>
    <s v="nd"/>
    <s v="2024-2027"/>
    <n v="2830"/>
    <n v="0"/>
    <s v="16.5.2.2"/>
    <s v="pozostałe jednostki sektora finansów publicznych"/>
    <s v="(Dotacja dla IŁ) Widok.gov.pl Platforma agregująca statystyki nt działaniach administracji publicznej w celu zachowania transparentności pracy + utrzymanie"/>
    <s v="(Dotacja dla IŁ) Widok.gov.pl Platforma agregująca statystyki nt działaniach administracji publicznej w celu zachowania transparentności pracy + utrzymanie"/>
    <n v="200"/>
    <n v="200"/>
    <n v="200"/>
    <n v="0"/>
    <n v="0"/>
    <s v="podpisana umowa/porozumienie"/>
    <m/>
    <m/>
    <s v="IŁ"/>
  </r>
  <r>
    <x v="0"/>
    <x v="6"/>
    <s v="Inny"/>
    <s v="Dotacja dla IŁ - Rozwój projektu wspomagania diagnostyki medycznej za pomocą technologii AI (e-Konsylium + platforma kardiologiczna)"/>
    <s v="II kwartał"/>
    <s v="nd"/>
    <n v="2024"/>
    <n v="2830"/>
    <n v="0"/>
    <s v="16.5.2.2"/>
    <s v="pozostałe jednostki sektora finansów publicznych"/>
    <s v="Dotacja dla IŁ - Rozwój projektu wspomagania diagnostyki medycznej za pomocą technologii AI (e-Konsylium + platforma kardiologiczna)"/>
    <m/>
    <n v="0"/>
    <n v="0"/>
    <n v="0"/>
    <n v="0"/>
    <n v="0"/>
    <s v="planowane"/>
    <m/>
    <m/>
    <s v="IŁ"/>
  </r>
  <r>
    <x v="0"/>
    <x v="6"/>
    <s v="Inny"/>
    <s v="Rozwój Technologii Przełomowych w Polsce - GRAI"/>
    <s v="I-IV kwartał 2024"/>
    <s v="nd"/>
    <s v="2024-2027"/>
    <n v="4000"/>
    <n v="0"/>
    <s v="16.5.2.2"/>
    <s v="Beneficjent"/>
    <s v="Konferencje / materiały promocyjne  we współpracy z Grupą Roboczą ds. AI"/>
    <s v="Organizacja konferencji służących promocji zastosowań technologii przełomowych w różnych sektorach gospodarki i w społeczeństwie,  ze szczególnym uwzględnieniem Internetu Rzeczy, Sztucznej Inteligencji. "/>
    <n v="250"/>
    <n v="250"/>
    <n v="250"/>
    <n v="0"/>
    <n v="0"/>
    <s v="planowane"/>
    <m/>
    <m/>
    <m/>
  </r>
  <r>
    <x v="0"/>
    <x v="6"/>
    <s v="Inny"/>
    <s v="Rozwój Technologii Przełomowych w Polsce - GRAI"/>
    <s v="I-IV kwartał 2024"/>
    <s v="nd"/>
    <s v="2024-2027"/>
    <n v="4000"/>
    <n v="0"/>
    <s v="16.5.2.2"/>
    <s v="Beneficjent"/>
    <s v="Publikacja Raportów/Opracowań / materiałów edukacyjnych, broszur informacyjnych itp. we współpracy z Grupą Roboczą ds. AI"/>
    <s v="Działnia służyć będą rozpowszechnianiu i archiwizacji efektów wypracowanych opracowań analitycznych dot. zastosowań, analizy trendów dotyczących nowych technologii (IoT, AI) - stale uaktualnianych w związku z dynamiką rozwoju technologicznego. "/>
    <n v="300"/>
    <n v="300"/>
    <n v="300"/>
    <n v="0"/>
    <n v="0"/>
    <s v="planowane"/>
    <m/>
    <m/>
    <m/>
  </r>
  <r>
    <x v="0"/>
    <x v="6"/>
    <s v="Inny"/>
    <s v="Rozwój Technologii Przełomowych w Polsce - GRAI"/>
    <s v="I-IV kwartał 2024"/>
    <s v="nd"/>
    <s v="2024-2027"/>
    <n v="4000"/>
    <n v="0"/>
    <s v="16.5.2.2"/>
    <s v="Beneficjent"/>
    <s v="Badania/ekspertyzy m.in. we współpracy z Grupą Roboczą ds. AI"/>
    <s v="Zlecanie badań i analiz eksperckich w obszarach: a/ wykorzystanie sztucznej inteligencji w przedsiębiorstwach - wpływ SI na rynek pracy; b/Opracowania analityczne / opracowania założeń do programów rozwoju IoT w Polsce; c/ ekonometryczne ekspertyzy dla mierników gospodarki cyfrowej. Eksperyzy będą podstawą do opracowywania kierunków dalszego rozwoju i powtarzane regularnie posłużą monitorowaniu postępów/efektów podejmowanych działań. Podstawa prawca: art. 4 ustawy z dnia 6 marca 2018 r. - Prawo przedsiębiorców, z wyłączeniem ekspertyz, analiz, opinii i innych materiałów sporządzanych i opłacanych w ramach realizowanych przez jednostkę remontów i inwestycji."/>
    <n v="350"/>
    <n v="350"/>
    <n v="350"/>
    <n v="0"/>
    <n v="0"/>
    <s v="planowane"/>
    <m/>
    <m/>
    <m/>
  </r>
  <r>
    <x v="0"/>
    <x v="6"/>
    <s v="Inny"/>
    <s v="Rozwój projektu i strony AI4SME agregującej potrzebne informacje i narzędzia dla wdrażania AI w małych i średnich przedsiębiorstwach "/>
    <s v="II kwartał"/>
    <s v="nd"/>
    <n v="2024"/>
    <n v="4000"/>
    <n v="0"/>
    <s v="16.5.2.2"/>
    <s v="Beneficjent"/>
    <s v="Rozwój projektu i strony AI4SME agregującej potrzebne informacje i narzędzia dla wdrażania AI w małych i średnich przedsiębiorstwach "/>
    <s v="Podnoszenie świadomości wykorzystania sztucznej inteligencji w sektorze małych i średnich przedsiębiorstw, a także promowanie polskich firm świadczących usługi w tym zakresie."/>
    <n v="0"/>
    <n v="0"/>
    <n v="0"/>
    <n v="0"/>
    <n v="0"/>
    <s v="planowane"/>
    <m/>
    <m/>
    <m/>
  </r>
  <r>
    <x v="0"/>
    <x v="6"/>
    <s v="Inny"/>
    <s v="Projekt Godna Zaufania Sztuczna Inteligencja zgodna z AI Act"/>
    <s v="II kwartał"/>
    <s v="nd"/>
    <s v="2024-2026"/>
    <n v="4000"/>
    <n v="0"/>
    <s v="16.5.2.2"/>
    <s v="Beneficjent"/>
    <s v="Projekt Godna Zaufania Sztuczna Inteligencja zgodna z AI Act"/>
    <s v="Wdrożenie rozwiązań opartych o AI w usługach publicznych  wiąże się z różnymi wyzwaniami, nie tylko natury prawnej czy technologicznej. To również kwestia edukacji na temat tego, jak działa ta technologia i, jakie dostarcza nam możliwości. Istotne jest zwiększanie świadomości, że te rozwiązania są bezpieczne, a ich adopcja nie będzie skutkowała np. redukcją zatrudnienia, co z resztą jest dość powszechną obawą wśród pracowników w każdym sektorze."/>
    <n v="1000"/>
    <n v="2000"/>
    <n v="0"/>
    <n v="0"/>
    <n v="0"/>
    <s v="procedowana umowa/porozumienie"/>
    <m/>
    <m/>
    <s v="z Beneficjentem wyłonionym w drodze przetargu/postępowania konkursowego"/>
  </r>
  <r>
    <x v="0"/>
    <x v="6"/>
    <s v="Inny"/>
    <s v="Składka członkowska w GPAI (the Global Partnership for Artificial Inteligence)"/>
    <s v="I-IV kwartał 2024"/>
    <s v="nd"/>
    <n v="2024"/>
    <n v="4540"/>
    <n v="0"/>
    <s v="16.5.2.2"/>
    <s v="Beneficjent"/>
    <s v="Składka członkowska w GPAI (the Global Partnership for Artificial Inteligence)"/>
    <s v="prawna realizacja &quot;Polityki dla Rozwoju Sztucznej Inteligencji w Polsce po 2020 r.&quot; wymaga aktywnego udziału Polski w międzynarodowych inicjatywach. Jedną z nich jest GPAI. Składka uzgodniona przez Państwa i organizacje wchodzące w skład inicjatywy (https://www.gpai.ai/community/) ma być wykorzystana na utrzymanie sekretariatu organizacji i realizacje projektów zaplanowanych wspólnie przez zaangażowane kraje. Polska chce i powinna mieć wływ na wypracowane przez organizację kierunki działań, czego wyrazem był list intencyjny Ministra Cyfryzacji z 9 listopada 2020 r. Uiszczanie składki zapewni Polsce rzeczywisty wpływ na podejmowane decyzje w ramach GPAI. Podstawę prawną dla uczestnictwa Polski w GPAI są zapisy  „Polityki dla rozwoju sztucznej inteligencji w Polsce od roku 2020” ustanowionej uchwałą nr 196 Rady Ministrów z dnia 28 grudnia 2020 r. (Rozdział 5 „AI i współpraca międzynarodowa” wraz  jej celem krótkookresowym pkt 3 , w zw. z rozdziałem 6 „AI i sektor publiczny”  i jej celem średniookresowym określonym w pkt 2 w zw. z wnioskami ze strony 62 i ramami polskiego ekosystemu określonymi w załączniku nr 2.). Składka na rzecz the Organisation for Economic Co-operation and Development (the OECD) ma być uiszczana w jednej transzy raz w roku. Podstawy jej wyliczenia zawiera załączony dokument OECD.  Polityka AI ma nierozłączny związek z realizacją działań na rzecz informatyzacji działalności podmiotów realizujących zadania publiczne, poprzez zapewnianie warunków do wdrazania technologii sztucznej inteligencji w optymalizacji procesów w administarcji publicznej."/>
    <n v="0"/>
    <n v="0"/>
    <n v="0"/>
    <n v="0"/>
    <n v="0"/>
    <s v="planowane"/>
    <m/>
    <m/>
    <m/>
  </r>
  <r>
    <x v="0"/>
    <x v="6"/>
    <s v="Inny"/>
    <s v="Wkład własny Polski w ALT-EDIC (europejskie konsorcjum Language Data Space - European Digital Infrastructure Consortium)"/>
    <s v="I-IV kwartał 2024"/>
    <s v="nd"/>
    <s v="2024-2026"/>
    <n v="4540"/>
    <n v="0"/>
    <s v="16.5.2.2"/>
    <s v="Beneficjent"/>
    <s v="Rozwój zastosowań technologii przełomowych w programie &quot;Droga ku cyfrowej dekadzie&quot;"/>
    <s v="list intencyjny podpisany - Polska zadeklarowała swój udział w pracach nad wnioskiem o utworzenie ALT EDIC - Alliance for Language Technologies. Głównym celem projektu jest zachowanie różnorodności językowej i kulturowej w Europie oraz promowanie doskonałości technologicznej i przywództwa. Inne wyzwania obejmują zarządzanie tendencyjnością, frugal AI, wyjaśnialność lub możliwość ponownego wykorzystania modeli. Zakres EDIC wpisuje się w następujące obszary działań cyfrowej dekady: europejskie wspólne infrastruktura i usługi w zakresie danych, nabywanie superkomputerów i komputerów kwantowych i włączanie ich do Wspólnego Przedsięwzięcia w dziedzinie Europejskich Obliczeń Wielkiej Skali (Wspólnego Przedsięwzięcia EuroHPC); podłączona do sieci administracja publiczna; europejskie centra innowacji cyfrowych. Oczekiwane rezultaty obejmują m.in.: stworzenie platformy do gromadzenia tekstowych i głosowych baz danych, inkluzywne i reprezentatywne gromadzenie danych do modelowania języka czy kompilowanie i udostępnianie modeli językowych typu open source do ponownego wykorzystania w przemyśle."/>
    <n v="2500"/>
    <n v="2500"/>
    <n v="0"/>
    <n v="0"/>
    <n v="0"/>
    <s v="podpisana umowa/porozumienie"/>
    <m/>
    <m/>
    <s v="ALT EDIC"/>
  </r>
  <r>
    <x v="0"/>
    <x v="6"/>
    <s v="Inny"/>
    <s v="Wkład własny w Blockchain EDIC (europejskie konsorcjum European Digital Infrastructure Consortium)"/>
    <s v="I-IV kwartał 2024"/>
    <s v="nd"/>
    <s v="2024-2026"/>
    <n v="4540"/>
    <n v="0"/>
    <s v="16.5.2.2"/>
    <s v="Beneficjent"/>
    <s v="Rozwój zastosowań technologii przełomowych w programie &quot;Droga ku cyfrowej dekadzie&quot;"/>
    <s v="Zapewnienie wkładu własnego Polski w konsorcjum EDIC Blockchain na podstawie decyzji Parlamentu Europejskiego i Rady ustanawiajacego program &quot;Droga ku cyfrowej dekadzie&quot;. Polska wzięła udział w złożeniu formalnego wniosku w sprawie utworzenia EDIC Blockchain (Europeum). Deklaracja udziału Polski w konsorcjum została podpisana przez Ministra Cyfryzacji. EDIC zapewni wzmocnienie i rozszerzenie dotychczas funkcjonującej wspólnej inicjatywy European Blockchain Partnership (EBP). W EBP uczestniczą wszystkie państwa członkowskie UE, a także Liechtenstein, Norwegia i Ukraina jako obserwatorzy. Wizją jest stworzenie solidnych ram instytucjonalnych, które ułatwią rozwój europejskiej infrastruktury blokchain i budowanie na niej usług. Celem konsorcjum jest zapewnienie nowej generacji bezpieczniejszych i wydajniejszych usług poprzez integrację zdecentralizowanych technologii w różnych obszarach rozwoju gospodarczego i społecznego, przy jednoczesnym zapewnieniu przestrzegania zasad zaufania, przejrzystości oraz osiągnięcia korzyści dla szerszej społeczności europejskiej. Zakres EDIC wpisuje się w szczególności w cele cyfrowej dekady dotyczące cyfryzacji usług publicznych oraz transformacji cyfrowej przedsiębiorstw, ale również rozwoju kompetencji cyfrowych. Oczekiwane rezultaty to: wspieranie transformacji cyfrowej usług publicznych i prywatnych, wzmocnienie zaufania i cyberodporności usług poprzez wykorzystanie technologii rejestrów rozproszonych i blockchain, przyspieszenie absorpcji rozwiązań infrastruktury cyfrowej przez rząd i przemysł, wspieranie rozwoju otwartych standardów i wspólnych praktyk, wzmocnienie umiejętności i kompetencji cyfrowych, wzmocnienie europejskiego ekosystemu usług i europejskiej autonomii."/>
    <n v="655"/>
    <n v="655"/>
    <n v="0"/>
    <n v="0"/>
    <n v="0"/>
    <s v="podpisana umowa/porozumienie"/>
    <m/>
    <m/>
    <s v="EUROPEUM EDIC"/>
  </r>
  <r>
    <x v="0"/>
    <x v="6"/>
    <s v="Inny"/>
    <s v="Badania "/>
    <s v="II kwartał"/>
    <s v="nd"/>
    <s v="2024-2029"/>
    <n v="2830"/>
    <n v="0"/>
    <s v="16.5.2.2"/>
    <s v="pozostałe jednostki sektora finansów publicznych"/>
    <s v="Dotacja dla NASK - Badania: Obszar innowacji, trendów i zagrożeń przyszłości"/>
    <m/>
    <n v="800"/>
    <n v="2000"/>
    <n v="3000"/>
    <n v="3000"/>
    <n v="3000"/>
    <s v="procedowana umowa/porozumienie"/>
    <m/>
    <m/>
    <m/>
  </r>
  <r>
    <x v="0"/>
    <x v="6"/>
    <s v="Inny"/>
    <s v="Badania"/>
    <s v="II kwartał"/>
    <s v="nd"/>
    <s v="2024-2029"/>
    <n v="2830"/>
    <n v="0"/>
    <s v="16.5.2.2"/>
    <s v="pozostałe jednostki sektora finansów publicznych"/>
    <s v="Dotacja dla NASK - Badania: Obszar obecnych problemów społecznych wynikających z cyfryzacji życia społecznego"/>
    <m/>
    <n v="800"/>
    <n v="2000"/>
    <n v="3000"/>
    <n v="3000"/>
    <n v="3000"/>
    <s v="procedowana umowa/porozumienie"/>
    <m/>
    <m/>
    <m/>
  </r>
  <r>
    <x v="0"/>
    <x v="6"/>
    <s v="Inny"/>
    <s v="Badania"/>
    <s v="II kwartał"/>
    <s v="nd"/>
    <s v="2024-2029"/>
    <n v="2830"/>
    <n v="0"/>
    <s v="16.5.2.2"/>
    <s v="pozostałe jednostki sektora finansów publicznych"/>
    <s v="Dotacja dla NASK - Badania: Obszar obecnych programów/projektów ministerialnych i ich funkcjonalność społeczna"/>
    <m/>
    <n v="800"/>
    <n v="2000"/>
    <n v="3000"/>
    <n v="3000"/>
    <n v="3000"/>
    <s v="procedowana umowa/porozumienie"/>
    <m/>
    <m/>
    <m/>
  </r>
  <r>
    <x v="0"/>
    <x v="6"/>
    <s v="Inny"/>
    <s v="Budowa w Polsce instalacji komputera kwantowego"/>
    <s v="IV kwartał 2024"/>
    <s v="nd"/>
    <n v="2025"/>
    <n v="4542"/>
    <n v="0"/>
    <s v="16.5.2.2"/>
    <s v="Beneficjent"/>
    <s v="Budowa w Polsce instalacji komputera kwantowego"/>
    <s v="Budowa w Polsce komputera kwantowego z 50% wkładu z EU, Podnoszenie potencjału Polski w zakresie przełomowej technologii kwantowej"/>
    <n v="26707"/>
    <n v="0"/>
    <n v="0"/>
    <n v="0"/>
    <n v="0"/>
    <s v="podpisana umowa/porozumienie"/>
    <m/>
    <s v="Ares(2024)4930551-08/07/2024"/>
    <s v="EuroHPC JU"/>
  </r>
  <r>
    <x v="0"/>
    <x v="6"/>
    <s v="Inny"/>
    <s v="(10c) Dotacja dla konsorcjum PLLum - Budowa otwartego polskiego dużego modelu językowego  (część konsorcjum z sektora finansów publicznych)"/>
    <s v="I kwartał 2024"/>
    <s v="nd"/>
    <n v="2024"/>
    <n v="2830"/>
    <n v="0"/>
    <s v="16.5.2.2"/>
    <s v="pozostałe jednostki sektora finansów publicznych"/>
    <s v="(10c) Dotacja dla konsorcjum PLLum - Budowa otwartego polskiego dużego modelu językowego  (część konsorcjum z sektora finansów publicznych)"/>
    <s v="Budowa transparentnego, otwartego i ope-source modelu LLM. Na takim modelu będą mogły bazować rozwiązania dla administracji publicznej. Model będzie dostępny dla wszystkich. "/>
    <n v="0"/>
    <n v="0"/>
    <n v="0"/>
    <n v="0"/>
    <n v="0"/>
    <s v="procedowana umowa/porozumienie"/>
    <m/>
    <s v="1/WI/DBiI/2023"/>
    <s v="Politechnika Wrocławska"/>
  </r>
  <r>
    <x v="0"/>
    <x v="6"/>
    <s v="Inny"/>
    <s v="(10c) Dotacja dla ICHB - Dostęp do dedykowanego komputera kwantowego IBM i Q- HUB"/>
    <s v="I kwartał 2024"/>
    <s v="nd"/>
    <n v="2024"/>
    <n v="2800"/>
    <n v="0"/>
    <s v="16.5.2.2"/>
    <s v="pozostałe jednostki sektora finansów publicznych"/>
    <s v="(10c) Dotacja dla ICHB - Dostęp do dedykowanego komputera kwantowego IBM i Q- HUB"/>
    <m/>
    <n v="0"/>
    <n v="0"/>
    <n v="0"/>
    <n v="0"/>
    <n v="0"/>
    <s v="procedowana umowa/porozumienie"/>
    <m/>
    <m/>
    <s v="ICHB Pan  "/>
  </r>
  <r>
    <x v="0"/>
    <x v="6"/>
    <s v="Inny"/>
    <s v="(10c) Dotacja dla konsorcjum PLLum - Budowa otwartego polskiego dużego modelu językowego  (część konsorcjum spoza sektora finansów publicznych)"/>
    <s v="I kwartał 2024"/>
    <s v="nd"/>
    <n v="2024"/>
    <n v="2830"/>
    <n v="0"/>
    <s v="16.5.2.2"/>
    <s v="uczelnie publiczne"/>
    <s v="(10c) Dotacja dla konsorcjum PLLum - Budowa otwartego polskiego dużego modelu językowego  (część konsorcjum spoza sektora finansów publicznych)"/>
    <m/>
    <n v="0"/>
    <n v="0"/>
    <n v="0"/>
    <n v="0"/>
    <n v="0"/>
    <s v="procedowana umowa/porozumienie"/>
    <m/>
    <s v="1/WI/DBiI/2023"/>
    <s v="Politechnika Wrocławska"/>
  </r>
  <r>
    <x v="0"/>
    <x v="6"/>
    <s v="Inny"/>
    <s v="Usługi doradcze w zakresie działalności gospodarczej i zarządzania"/>
    <s v="I kwartał 2024"/>
    <s v="nd"/>
    <s v="2024-2025"/>
    <n v="4000"/>
    <n v="0"/>
    <s v="16.5.2.2"/>
    <s v="Beneficjent"/>
    <s v="Usługi doradcze w zakresie działalności gospodarczej i zarządzania oraz podobne"/>
    <s v="Zapewnienie wsparcia eksperckiego przy przygotowywaniu do wdrożenia „Programu Krajowych Ram wspierania strategicznych inwestycji półprzewodnikowych” (dalej jako „Program”), w szczególności w zakresie zagadnień technicznych, ekonomicznych i prawnych."/>
    <n v="110"/>
    <n v="0"/>
    <n v="0"/>
    <n v="0"/>
    <n v="0"/>
    <s v="procedowana umowa/porozumienie"/>
    <m/>
    <m/>
    <s v="Olesiński i Wspólnicy Sp.k"/>
  </r>
  <r>
    <x v="0"/>
    <x v="6"/>
    <s v="Inny"/>
    <s v="Wdrażanie i koordynacja Polityki rozwoju sztucznej inteliegncji"/>
    <s v="I kwartał 2025"/>
    <s v="nd"/>
    <s v="2025-2027"/>
    <n v="4000"/>
    <n v="0"/>
    <s v="16.5.2.2"/>
    <s v="pozostałe jednostki sektora finansów publicznych"/>
    <s v="Wdrażanie i koordynacja Polityki rozwoju sztucznej inteliegncji"/>
    <s v="Powołanie zespołu koordynującego wdrażanie i realizację Polityki AI"/>
    <n v="600"/>
    <n v="2000"/>
    <n v="2000"/>
    <n v="2000"/>
    <n v="2000"/>
    <s v="planowane"/>
    <m/>
    <m/>
    <m/>
  </r>
  <r>
    <x v="0"/>
    <x v="6"/>
    <s v="Inny"/>
    <s v="Fundusz AI"/>
    <s v="III kwartał 2025"/>
    <s v="nd"/>
    <s v="2025-2027"/>
    <m/>
    <n v="0"/>
    <s v="16.5.2.2"/>
    <s v="Beneficjent"/>
    <s v="Powołanie Funduszu AI"/>
    <s v="Powołanie Funduszu AI"/>
    <m/>
    <m/>
    <m/>
    <n v="0"/>
    <n v="0"/>
    <s v="planowane"/>
    <m/>
    <m/>
    <m/>
  </r>
  <r>
    <x v="0"/>
    <x v="6"/>
    <s v="Inny"/>
    <s v="ZPA Konferencja podsumowująca"/>
    <s v="I kw 2025"/>
    <s v="nd"/>
    <n v="2025"/>
    <n v="4000"/>
    <n v="0"/>
    <s v="16.5.2.2"/>
    <s v="Beneficjent"/>
    <s v="Konferencja ZPA"/>
    <s v="Konferencja podsumowująca projekt ZPA - zgodnie z wytycznymi dla informacji i promocji Programu Operacyjnego Polska Cyfrowa i podpisaną umową o dofinansowanie"/>
    <n v="140"/>
    <n v="0"/>
    <n v="0"/>
    <n v="0"/>
    <n v="0"/>
    <s v="planowane"/>
    <m/>
    <m/>
    <m/>
  </r>
  <r>
    <x v="0"/>
    <x v="6"/>
    <s v="Inny"/>
    <s v="Utrzymanie Portalu ZPA"/>
    <s v="IV kw 2024-I kw 2025"/>
    <s v="nd"/>
    <n v="2025"/>
    <n v="2830"/>
    <n v="0"/>
    <s v="16.5.2.2"/>
    <s v="pozostałe jednostki sektora finansów publicznych"/>
    <s v="Utrzymanie Portalu ZPA NASK ustawa o ZPA (podmiotowa+celowa)"/>
    <s v="Zapewnienie trwałości projektu realizowanego w ramach Programu Operacyjnego Polska Cyfrowa"/>
    <n v="1500"/>
    <n v="3000"/>
    <n v="3000"/>
    <n v="3000"/>
    <n v="3000"/>
    <s v="planowane"/>
    <m/>
    <m/>
    <s v="NASK"/>
  </r>
  <r>
    <x v="0"/>
    <x v="6"/>
    <s v="Inny"/>
    <s v="Utrzymanie Portalu ZPA"/>
    <s v="IV kw 2024-I kw 2025"/>
    <s v="nd"/>
    <n v="2025"/>
    <n v="2830"/>
    <n v="0"/>
    <s v="16.5.2.2"/>
    <s v="pozostałe jednostki sektora finansów publicznych"/>
    <s v="Utrzymanie Portalu ZPA NASK ustawa o informatyzacji (celowa)"/>
    <s v="Zapewnienie trwałości projektu realizowanego w ramach Programu Operacyjnego Polska Cyfrowa"/>
    <m/>
    <n v="0"/>
    <n v="0"/>
    <n v="0"/>
    <n v="0"/>
    <s v="planowane"/>
    <m/>
    <m/>
    <s v="NASK"/>
  </r>
  <r>
    <x v="0"/>
    <x v="6"/>
    <s v="Inny"/>
    <s v="ZPA Certyfikaty"/>
    <s v="II kw 2025"/>
    <s v="nd"/>
    <n v="2025"/>
    <n v="4000"/>
    <n v="0"/>
    <s v="16.5.2.2"/>
    <s v="Beneficjent"/>
    <s v="ZPA Certyfikaty niezbędne do prawidłowego funkcjonowania Platformy ZPA (utrzymanie)"/>
    <s v="ZPA - zakup Certyfikatów niezbędnych do prawidłowego funkcjonowania Platformy ZPA (utrzymanie)"/>
    <n v="10"/>
    <n v="0"/>
    <n v="0"/>
    <n v="0"/>
    <n v="0"/>
    <s v="planowane"/>
    <m/>
    <m/>
    <m/>
  </r>
  <r>
    <x v="0"/>
    <x v="6"/>
    <s v="Inny"/>
    <s v="ZPA Licencje"/>
    <s v="IV kw 2024-I kw 2025"/>
    <s v="nd"/>
    <n v="2025"/>
    <n v="6060"/>
    <n v="0"/>
    <s v="16.5.2.2"/>
    <s v="Beneficjent"/>
    <s v="ZPA oprogramowanie analityczne i do budowy Platformy ZPA (utrzymanie)"/>
    <s v="ZPA - zakup licencji oprogramowania analitycznego i przedłużenie do oprogramowania do budowy platformy"/>
    <n v="500"/>
    <n v="0"/>
    <n v="0"/>
    <n v="0"/>
    <n v="0"/>
    <s v="planowane"/>
    <m/>
    <m/>
    <m/>
  </r>
  <r>
    <x v="0"/>
    <x v="6"/>
    <s v="FERC"/>
    <s v="Widok 3.0"/>
    <s v="I kwartał 2025"/>
    <s v="FERC"/>
    <s v="2025-2027"/>
    <m/>
    <n v="9"/>
    <s v="16.5.2.2"/>
    <s v="Beneficjent"/>
    <s v="Projekt Widok 3.0"/>
    <s v="udostępnienie portalu z narzędziami umożliwiającymi zwiększenie wpływu i udziału obywateli w życiu społecznym przez dostęp w jednym miejscu do odpowiednio zaprezentowanych danych z możliwością interakcji z administracją publiczną za pomocą zagregowanych usług z wykorzystanie nowoczesnych technologii i innowacyjnych rozwiązań"/>
    <m/>
    <m/>
    <m/>
    <m/>
    <m/>
    <s v="planowane"/>
    <m/>
    <m/>
    <m/>
  </r>
  <r>
    <x v="0"/>
    <x v="6"/>
    <s v="FERC"/>
    <s v="Widok 3.0"/>
    <s v="IV kw 2024-I kw 2025"/>
    <s v="FERC"/>
    <n v="2025"/>
    <m/>
    <n v="9"/>
    <s v="16.5.2.2"/>
    <s v="Beneficjent"/>
    <s v="Sudium wykonalności i wsparcie merytoryczne w trakcie ocenie eksperckiej"/>
    <s v="Opracowanie studium wykonalności i dokumentacji w tym analiz niezbędnych do uzyskania dofinansowania oraz wsparcie merytoryczne w trakcie oceny eksperckiej"/>
    <m/>
    <m/>
    <m/>
    <m/>
    <m/>
    <s v="planowane"/>
    <m/>
    <m/>
    <m/>
  </r>
  <r>
    <x v="0"/>
    <x v="6"/>
    <s v="Inny"/>
    <s v="Urząd ds. AI (Komisja AI)"/>
    <s v="III kwartał 2025"/>
    <s v="nd"/>
    <s v="2025-2027"/>
    <n v="4000"/>
    <n v="0"/>
    <s v="16.5.2.2"/>
    <s v="Beneficjent"/>
    <s v="Powołanie urzędu, komisji ds. nadzoru AI w sprawie AI Act"/>
    <s v="To jest na urząd AI wynikajacy z AI Act, suma kosztów urzędowych  + wynagrodzenia"/>
    <m/>
    <m/>
    <m/>
    <n v="0"/>
    <n v="0"/>
    <s v="planowane"/>
    <m/>
    <m/>
    <m/>
  </r>
  <r>
    <x v="0"/>
    <x v="6"/>
    <s v="Delegacje krajowe"/>
    <s v="środki niezbędne do realizacji podróży służbowych"/>
    <s v="II kwartał 2024"/>
    <s v="nd"/>
    <n v="2025"/>
    <n v="4000"/>
    <n v="0"/>
    <s v="16.5.2.2"/>
    <s v="Beneficjent"/>
    <s v="delegacje służbowe"/>
    <n v="4410"/>
    <m/>
    <n v="0"/>
    <n v="0"/>
    <n v="0"/>
    <n v="0"/>
    <s v="planowane"/>
    <m/>
    <s v="2023/07/MC"/>
    <s v="WNT"/>
  </r>
  <r>
    <x v="0"/>
    <x v="6"/>
    <s v="Delegacje zagranicznie"/>
    <s v="środki niezbędne do realizacji podróży służbowych"/>
    <s v="II kwartał 2025"/>
    <s v="nd"/>
    <n v="2025"/>
    <n v="4000"/>
    <n v="0"/>
    <s v="16.5.2.2"/>
    <s v="Beneficjent"/>
    <s v="delegacje służbowe"/>
    <n v="4420"/>
    <m/>
    <n v="0"/>
    <n v="0"/>
    <n v="0"/>
    <n v="0"/>
    <s v="planowane"/>
    <m/>
    <s v="2023/07/MC"/>
    <s v="WNT"/>
  </r>
  <r>
    <x v="0"/>
    <x v="7"/>
    <s v="n/d"/>
    <s v="n/d"/>
    <s v="n/d"/>
    <s v="n/d"/>
    <s v="n/d"/>
    <n v="4000"/>
    <n v="0"/>
    <s v="16.5.3.2."/>
    <s v="budżet państwa "/>
    <s v="Zakup systemu cyber threat intelligence poziomu operacyjnego dla podmiotów krajowego systemu cyberbezpieczeństwa"/>
    <s v="Celem zadania jest zakup rocznego dostępu do systemu rozpoznawania zagrożeń w cyberprzestrzeni (CTI) poziomu operacyjnego,  wspomagającego pracę zespołów cyberbezpieczeństwa , w tym zespów reagowania na incydenty komputerowe wchodzące w skład krajowego systemu cyberbezpieczeństwa. Dostęp do informacji CTI poziomu operacyjnego przyczyni się do zwiększenia skuteczności wykrywania oraz przewidywania cyberataków i reagowania na nie. System będzie pozyskany na potrzeby Ministerstwa Cyfryzacji i innych podmiotów zapewniających cyberbezpieczeństwo na poziomie krajowym._x000a_Podstawa prawna: art. 62 ustawy z dnia 5 lipca 2018 r. o krajowym systemie cyberbezpieczeństwa (Dz.U. z 2023 r. poz. 913 z późn. zm.)"/>
    <n v="23000"/>
    <n v="23000"/>
    <n v="23000"/>
    <n v="0"/>
    <n v="0"/>
    <s v="zawarta umowa na 2024"/>
    <s v="umowa"/>
    <s v="82/C/DC/23"/>
    <s v="Trafford IT Spółka z o.o, Spółka kom."/>
  </r>
  <r>
    <x v="0"/>
    <x v="7"/>
    <s v="n/d"/>
    <s v="n/d"/>
    <s v="n/d"/>
    <s v="n/d"/>
    <s v="n/d"/>
    <n v="4000"/>
    <n v="0"/>
    <s v="16.5.3.2."/>
    <s v="budżet państwa (z wyjątkiem GDDKiA)"/>
    <s v="Zakup systemu i usługi do symulowania ataków typu phishing i podnoszenia świadomości użytkowników MC"/>
    <s v="Podnoszenie świadomości z zakresu cyberbezpieczeństwa, w szczególności reagowania na ataki typu phishing._x000a_Głównym celem wskaznym w &quot;Strategii Cyberbezpieczeństwa RP na lata 2019-2024&quot; jest podniesienie poziomu odporności na cyberzagrożenia oraz zwięksenie poziomu ochrony informacji w sektorze publicznym, (...) oraz promowanie wiedzy i dobrych praktyk umożliwiających obywatelom lepszą ochronę ich informacji. Jednym z celów szczegółowych Strategii jest budowanie świadomości i kompetencji społecznych w zakresie cyberbezpieczeństwa - zwiększanie kompetencji kadry podmiotów istotnych dla cyberbezpieczeństwa RP._x000a_Dodatkowo, zgodnie z ustawą o krajowym systemie cyberbezpieczeństwa, podmioty realizujące zadania publiczne zobowiązane są do zapewnienia zarządzania incydentami. Z prowadzonych przez DC zadań związanych z obsługą incydentów cyberbezpieczeństwa wynika, że wiele z nich dotyczy phishingu. "/>
    <n v="100"/>
    <n v="100"/>
    <n v="100"/>
    <n v="100"/>
    <n v="100"/>
    <s v="planowane"/>
    <s v="nie dotyczy"/>
    <m/>
    <s v="n/d"/>
  </r>
  <r>
    <x v="0"/>
    <x v="7"/>
    <s v="n/d"/>
    <s v="n/d"/>
    <s v="n/d"/>
    <s v="n/d"/>
    <s v="n/d"/>
    <n v="2580"/>
    <n v="0"/>
    <s v="16.5.3.1."/>
    <s v="podmioty pozostałe (z wyjątkiem PKP PLK S.A.)"/>
    <s v="Dotacja podmiotowa CSIRT - NASK"/>
    <s v="Podstawa prawna: art. 26 ust. 9 ustawy z dnia 5 lipca 2018 r. o krajowym systemie cyberbezpieczeństwa._x000a_Utrzymanie i rozwój Zespołu Reagowania na Incydenty Bezpieczeństwa Komputerowego (CSIRT) przy Naukowej i Akademickiej Sieci Komputerowej Państwowym Instytucie Badawczym polega na realizacji zadań ściśle określonych w ustawie o krajowym systemie cyberbezpieczeństwa wprost wymienionych w zadań wymienionych w art. 26 oraz w związku z art. 26 ust. 9 w ustawie z dnia 5 lipca 2018 r. o krajowym systemie cyberbezpieczeństwa"/>
    <n v="39186"/>
    <n v="45455"/>
    <n v="52728"/>
    <n v="61165"/>
    <n v="70951"/>
    <s v="planowane"/>
    <s v="planowane po przyjęciu ustawy budżetowej"/>
    <m/>
    <s v="NASK-PIB"/>
  </r>
  <r>
    <x v="0"/>
    <x v="7"/>
    <s v="n/d"/>
    <s v="n/d"/>
    <s v="n/d"/>
    <s v="n/d"/>
    <s v="n/d"/>
    <n v="6230"/>
    <s v="budżet państwa "/>
    <s v="16.5.3.1."/>
    <s v="podmioty pozostałe (z wyjątkiem PKP PLK S.A.)"/>
    <s v="Dotacja Celowa - ochrona i rozwój systemu teleinformatycznego S46 (wydatki majątkowe)."/>
    <s v="Podstawa prawna: art. 47 ust. 2 ustawy z dnia 5 lipca 2018 r. o krajowym systemie cyberbezpieczeństwa._x000a_Zadanie polega na utrzymaniu i rozwoju warstwy technologicznej i aplikacyjnej S46 oraz działanie systemu S46 w trybie ciągłym, zwiększenia odporności na katastrofy oraz zwiększenia korzyści z wykorzystania systemu poprzez zwiększenie liczby podłączonych do S46 podmiotów krajowego systemu cyberbezpieczeństwa. Za utrzymanie systemu S46, zgodnie z art. 46 ustawy o krajowym systemie cyberbezpieczeństwa, odpowiada minister właściwy do spraw informatyzacji. Jest to zadanie ciągłe. "/>
    <n v="12215"/>
    <n v="2345"/>
    <n v="6572"/>
    <n v="8894"/>
    <n v="18450"/>
    <s v="umowa"/>
    <s v="umowa"/>
    <s v="79/DC/D/2022"/>
    <s v="NASK-PIB"/>
  </r>
  <r>
    <x v="0"/>
    <x v="7"/>
    <s v="n/d"/>
    <s v="n/d"/>
    <s v="n/d"/>
    <s v="n/d"/>
    <s v="n/d"/>
    <n v="2830"/>
    <n v="0"/>
    <s v="16.5.3.1."/>
    <s v="podmioty pozostałe (z wyjątkiem PKP PLK S.A.)"/>
    <s v="Dotacja Celowa - ochrona i rozwój systemu teleinformatycznego S46 (wydatki bieżące)"/>
    <s v="Podstawa prawna: art. 47 ust. 2 ustawy z dnia 5 lipca 2018 r. o krajowym systemie cyberbezpieczeństwa._x000a_Zadanie polega na utrzymaniu i rozwoju warstwy technologicznej i aplikacyjnej S46 oraz działanie systemu S46 w trybie ciągłym, zwiększenia odporności na katastrofy oraz zwiększenia korzyści z wykorzystania systemu poprzez zwiększenie liczby podłączonych do S46 podmiotów krajowego systemu cyberbezpieczeństwa. Za utrzymanie systemu S46, zgodnie z art. 46 ustawy o krajowym systemie cyberbezpieczeństwa, odpowiada minister właściwy do spraw informatyzacji. Jest to zadanie ciągłe. "/>
    <n v="22624"/>
    <n v="25661"/>
    <n v="22437"/>
    <n v="30246"/>
    <n v="32064"/>
    <s v="umowa"/>
    <s v="umowa"/>
    <s v="79/DC/D/2022"/>
    <s v="NASK-PIB"/>
  </r>
  <r>
    <x v="0"/>
    <x v="7"/>
    <s v="n/d"/>
    <s v="n/d"/>
    <s v="n/d"/>
    <s v="n/d"/>
    <s v="n/d"/>
    <n v="2830"/>
    <n v="0"/>
    <s v="16.5.3.2."/>
    <s v="podmioty pozostałe (z wyjątkiem PKP PLK S.A.)"/>
    <s v="Dotacja celowa na Utrzymanie i rozwój systemu łączności mobilnej umożliwiającej przetwarzanie informacji niejawnych do klauzuli „zastrzeżone” SKR-Z"/>
    <s v="Rozwój i utrzymania systemu SKR-Z na 2024 r. Aneks 2 do k. 2024 r. Podstawa prawna: art. 37 ust. 1 ustawy z dnia 30 kwietnia 2010 r. o instytutach badawczych (t.j. Dz.U. z 2022 r. poz. 498)."/>
    <n v="39230"/>
    <n v="47190"/>
    <n v="44662"/>
    <n v="0"/>
    <n v="0"/>
    <s v="umowa"/>
    <s v="umowa"/>
    <s v="80/DC/D/2022"/>
    <s v="NASK-PIB"/>
  </r>
  <r>
    <x v="0"/>
    <x v="7"/>
    <s v="n/d"/>
    <s v="n/d"/>
    <s v="n/d"/>
    <s v="n/d"/>
    <s v="n/d"/>
    <n v="6230"/>
    <s v="budżet państwa "/>
    <s v="16.5.3.2."/>
    <s v="podmioty pozostałe (z wyjątkiem PKP PLK S.A.)"/>
    <s v="Dotacja celowa na Utrzymanie i rozwój systemu łączności mobilnej umożliwiającej przetwarzanie informacji niejawnych do klauzuli „zastrzeżone” SKR-Z"/>
    <s v="Rozwój i utrzymania systemu SKR-Z na 2024 r. Aneks 2 do k. 2024 r. Podstawa prawna: art. 37 ust. 1 ustawy z dnia 30 kwietnia 2010 r. o instytutach badawczych (t.j. Dz.U. z 2022 r. poz. 498)."/>
    <n v="7235"/>
    <n v="11910"/>
    <n v="5851"/>
    <n v="0"/>
    <n v="0"/>
    <s v="umowa"/>
    <s v="umowa"/>
    <s v="80/DC/D/2022"/>
    <s v="NASK-PIB"/>
  </r>
  <r>
    <x v="0"/>
    <x v="7"/>
    <s v="n/d"/>
    <s v="n/d"/>
    <s v="n/d"/>
    <s v="n/d"/>
    <s v="n/d"/>
    <n v="4000"/>
    <n v="0"/>
    <s v="16.5.3.4."/>
    <s v="podmioty pozostałe (z wyjątkiem PKP PLK S.A.)"/>
    <s v="Abonament Panel Agenta - niezbędny do komunikatora Threema"/>
    <s v="Umowa udzielona z wyłączeniem ustawy PZP na podstawie art. 12 ust. 1 pkt 1 litera b z uwagi na istotny interes bezpieczeństwa państwa.Abonament niezbędny do komunikatora Threema"/>
    <n v="68"/>
    <n v="68"/>
    <n v="68"/>
    <n v="0"/>
    <n v="0"/>
    <s v="planowane"/>
    <s v="planowane"/>
    <s v="n/d"/>
    <s v="n/d"/>
  </r>
  <r>
    <x v="0"/>
    <x v="7"/>
    <s v="n/d"/>
    <s v="n/d"/>
    <s v="n/d"/>
    <s v="n/d"/>
    <s v="n/d"/>
    <n v="4000"/>
    <n v="0"/>
    <s v="16.5.3.4."/>
    <s v="podmioty pozostałe (z wyjątkiem PKP PLK S.A.)"/>
    <s v="Porozumienie pomiędzy NASK-PIB a MC na abonamenty SKR-Z"/>
    <s v="Podstawa prawna: art. 37 ust. 1 ustawy z dnia 30 kwietnia 2010 r. o instytutach badawczych (t.j. Dz.U. z 2022 r. poz. 498)"/>
    <n v="40"/>
    <n v="40"/>
    <n v="40"/>
    <n v="0"/>
    <n v="0"/>
    <s v="planowane"/>
    <s v="planowane"/>
    <m/>
    <m/>
  </r>
  <r>
    <x v="0"/>
    <x v="7"/>
    <s v="n/d"/>
    <s v="n/d"/>
    <s v="n/d"/>
    <s v="n/d"/>
    <s v="n/d"/>
    <n v="4000"/>
    <n v="0"/>
    <s v="16.5.3.4."/>
    <s v="budżet państwa (z wyjątkiem GDDKiA)"/>
    <s v="Zakup usługi konfiguracji i uruchomienia Oprogramowania na Platformie oraz zapewnienie dostępu do Usługi, która polega na udostępnieniu Oprogramowania zainstalowanego na Platformie w modelu usługowym (SaaS)"/>
    <s v="Utrzymanie i rozwój komunikatora Threema (wersja mobilna, desktop i web)."/>
    <n v="4900"/>
    <n v="4900"/>
    <n v="4900"/>
    <n v="0"/>
    <n v="0"/>
    <s v="umowa"/>
    <s v="umowa"/>
    <s v="692/DC/22"/>
    <s v="Operator Chmury Krajowej Sp. z o.o."/>
  </r>
  <r>
    <x v="0"/>
    <x v="7"/>
    <s v="n/d"/>
    <s v="n/d"/>
    <s v="n/d"/>
    <s v="n/d"/>
    <s v="n/d"/>
    <n v="4000"/>
    <n v="0"/>
    <s v="16.5.3.2."/>
    <s v="podmioty pozostałe (z wyjątkiem PKP PLK S.A.)"/>
    <s v="Forum cyberbezpieczeństwa - w ramach Europejskiego Kongresu Gospodarczego, Katowice 2024"/>
    <s v="Znacząca konferencja w Europie Centralnej, zrzeszająca przedstawicieli biznesu, polityki, ekspertów świata IT i branży cyberbezpieczeństwa. Cel: informowanie o aktualnych priorytetach i działaniach MC, budowanie wizerunku MC, promocja, networking. W 2024 planowane również zaangażowanie DC MC i sieci Krajowych Centrów Koordynacji Kompetencji Cyberbezpieczeństwa NCC-PL.  "/>
    <n v="0"/>
    <n v="0"/>
    <n v="0"/>
    <n v="0"/>
    <n v="0"/>
    <s v="planowane"/>
    <s v="n/d"/>
    <m/>
    <s v="n/d"/>
  </r>
  <r>
    <x v="0"/>
    <x v="7"/>
    <s v="n/d"/>
    <s v="n/d"/>
    <s v="n/d"/>
    <s v="n/d"/>
    <s v="n/d"/>
    <n v="2830"/>
    <n v="0"/>
    <s v="16.5.3.2."/>
    <s v="podmioty pozostałe (z wyjątkiem PKP PLK S.A.)"/>
    <s v="CyberLekcje"/>
    <s v="zadanie adresowane do uczniów szkół podstawowych i średnich,  nawiązujące do zadania realizowanego w latach 2021-2022"/>
    <n v="600"/>
    <n v="0"/>
    <n v="0"/>
    <n v="0"/>
    <n v="0"/>
    <s v="planowane"/>
    <s v="n/d"/>
    <m/>
    <s v="n/d"/>
  </r>
  <r>
    <x v="0"/>
    <x v="7"/>
    <s v="n/d"/>
    <s v="n/d"/>
    <s v="n/d"/>
    <s v="n/d"/>
    <s v="n/d"/>
    <n v="2830"/>
    <n v="0"/>
    <s v="16.5.3.2."/>
    <s v="podmioty pozostałe (z wyjątkiem PKP PLK S.A.)"/>
    <s v="Bezpieczni w Sieci "/>
    <s v="Głównym celem zadania „Projekt edukacyjny Bezpieczni w sieci”, jest przekazanie nauczycielom i uczniom (klas 7-8 szkół podstawowych oraz szkół ponadpodstawowych) podstawowej wiedzy z zakresu bezpiecznego i świadomego korzystania z internetu, podniesienie świadomości na temat zagrożeń w intrenecie oraz sposobów ochrony przed tymi zagrożeniami. Projekt ma również wyposażyć nauczycieli w odpowiednią wiedzę, jak zapobiegać zagrożeniom i reagować na incydenty naruszenia bezpieczeństwa cyfrowego._x000a_Podstawa prawna: art. 45 ust. 1 pkt 4 ustawy o krajowym systemie cyberbezpieczeństwa tj. prowadzenie działań informacyjnych dotyczących dobrych praktyk, programów edukacyjnych, kampanii i szkoleń na rzecz poszerzania wiedzy i budowania świadomości z zakresu cyberbezpieczeństwa, w tym bezpiecznego korzystania z Internetu przez różne kategorie użytkowników. Ponadto, cel szczegółowy nr 4 Strategii Cyberbezpieczeństwa Rzeczypospolitej Polskiej na lata 2019-2024."/>
    <n v="0"/>
    <n v="0"/>
    <n v="0"/>
    <n v="0"/>
    <n v="0"/>
    <s v="planowane"/>
    <s v="n/d"/>
    <m/>
    <s v="n/d"/>
  </r>
  <r>
    <x v="0"/>
    <x v="7"/>
    <s v="n/d"/>
    <s v="n/d"/>
    <s v="n/d"/>
    <s v="n/d"/>
    <s v="n/d"/>
    <n v="2830"/>
    <n v="0"/>
    <s v="16.5.3.2."/>
    <s v="podmioty pozostałe (z wyjątkiem PKP PLK S.A.)"/>
    <s v="Dotacja celowa na realizację zadania pn. Działania prewencyjno-edukacyjne z zakresu cyberbezpieczeństwa w 2024 roku – podnoszenie odporności Rzeczypospolitej Polskiej na zagrożenia w przestrzeni cyfrowej"/>
    <s v="Realizacja zadania jest odpowiedzią na stale rosnącą liczbę zgłaszanych zdarzeń i incydentów cyberbezpieczeństwa, co wymaga podjęcia skoordynowanych działań w skali całego kraju odpowiednio dopasowanych do jak najszerszego kręgu odbiorców. Realizacja zadania przyczyni się do wzmocnienia poziomu odporności struktur państwa na zagrożenia w przestrzeni cyfrowej. Zwiększanie świadomości zagrożeń oraz budowanie kompetencji kadry zarządczej i personelu instytucji kluczowych dla bezpieczeństwa publicznego i dobra obywateli jest istotnym narzędziem w zakresie ochrony państwa przed próbami destabilizacji funkcjonowania Rzeczypospolitej Polskiej._x000a_Podstawa prawna: art. 37 ust. 1 ustawy o instytutach badawczych"/>
    <n v="12000"/>
    <n v="0"/>
    <n v="0"/>
    <n v="0"/>
    <n v="0"/>
    <s v="planowane"/>
    <s v="n/d"/>
    <m/>
    <s v="n/d"/>
  </r>
  <r>
    <x v="0"/>
    <x v="7"/>
    <s v="n/d"/>
    <s v="n/d"/>
    <s v="n/d"/>
    <s v="n/d"/>
    <s v="n/d"/>
    <n v="2800"/>
    <n v="0"/>
    <s v="16.5.1.3."/>
    <s v="Polska Akademia Nauk i tworzone przez nią jednostki organizacyjne"/>
    <s v="PIONIER-Q_x000a_Dotacja celowa na realizację zadania z zakresu informatyzacji sektora publicznego oraz innowacji cyfrowych, polegającego na utrzymaniu zdolności zleceniobiorców do realizacji projektu pn. „PIONIER-Q: Ogólnopolska Kwantowa Infrastruktura Komunikacyjna”, będącego wkładem Polski do inicjatywy EuroQCI – budowy europejskiej infrastruktury komunikacji kwantowej"/>
    <s v="Realizacja projektu PIONIER-Q jest kluczowym elementem dla efektywnego udziału Polski w EuroQCI. W ramach Projektu zostanie uruchomiona infrastruktura oraz usługi związane z generowaniem oraz przesyłaniem kluczy w technologii kwantowej dystrybucji kluczy (QKD – Quantum Key Distribution). Długofalowym celem Projektu jest wypracowanie rozwiązań oraz zbudowanie fundamentów pod sieci bezpiecznej komunikacji między innymi dla jednostek administracji lokalnej, centralnej oraz na poziomie transgranicznym (pomiędzy państwami członkowskimi i instytucjami UE). Projekt wprost przyczyni się do podnoszenia kwalifikacji w zakresie innowacji cyfrowych i rozwoju społeczeństwa informacyjnego poprzez wytworzenie i uruchomienie usług dla obsługi eksperymentów badawczych z wykorzystaniem infrastruktury komunikacji kwantowej._x000a_Podstawa prawna: art. 10c ustawy o Radzie Ministrów oraz decyzja PRM z 08.12.2023 r._x000a_Beneficjentami są:_x000a_1. Instytut Chemii Bioorganicznej PAN – koordynator,_x000a_2. Akademii Górniczo-Hutnicza im. Stanisława Staszica w Krakowie,_x000a_3. Naukowa i Akademicka Sieć Komputerowa – Państwowy Instytut Badawczy,_x000a_4. Politechnika Gdańska,_x000a_5. Politechnika Wrocławska,_x000a_6. Uniwersytet Warszawski."/>
    <n v="915"/>
    <n v="0"/>
    <n v="0"/>
    <n v="0"/>
    <n v="0"/>
    <s v="umowa"/>
    <s v="umowa"/>
    <s v="156/DC/D/2023"/>
    <s v="Instytut Chemii Bioorganicznej PAN (koordynatorem - na podstawie porozumień pomiędzy Beneficjentami a koordynatorem)"/>
  </r>
  <r>
    <x v="0"/>
    <x v="7"/>
    <s v="n/d"/>
    <s v="n/d"/>
    <s v="n/d"/>
    <s v="n/d"/>
    <s v="n/d"/>
    <n v="2830"/>
    <n v="0"/>
    <s v="16.5.1.3."/>
    <s v="Polska Akademia Nauk i tworzone przez nią jednostki organizacyjne"/>
    <s v="PIONIER-Q_x000a_Dotacja celowa na realizację zadania z zakresu informatyzacji sektora publicznego oraz innowacji cyfrowych, polegającego na utrzymaniu zdolności zleceniobiorców do realizacji projektu pn. „PIONIER-Q: Ogólnopolska Kwantowa Infrastruktura Komunikacyjna”, będącego wkładem Polski do inicjatywy EuroQCI – budowy europejskiej infrastruktury komunikacji kwantowej"/>
    <s v="Realizacja projektu PIONIER-Q jest kluczowym elementem dla efektywnego udziału Polski w EuroQCI. W ramach Projektu zostanie uruchomiona infrastruktura oraz usługi związane z generowaniem oraz przesyłaniem kluczy w technologii kwantowej dystrybucji kluczy (QKD – Quantum Key Distribution). Długofalowym celem Projektu jest wypracowanie rozwiązań oraz zbudowanie fundamentów pod sieci bezpiecznej komunikacji między innymi dla jednostek administracji lokalnej, centralnej oraz na poziomie transgranicznym (pomiędzy państwami członkowskimi i instytucjami UE). Projekt wprost przyczyni się do podnoszenia kwalifikacji w zakresie innowacji cyfrowych i rozwoju społeczeństwa informacyjnego poprzez wytworzenie i uruchomienie usług dla obsługi eksperymentów badawczych z wykorzystaniem infrastruktury komunikacji kwantowej._x000a_Podstawa prawna: art. 10c ustawy o Radzie Ministrów oraz decyzja PRM z 08.12.2023 r._x000a_Beneficjentami są:_x000a_1. Instytut Chemii Bioorganicznej PAN – koordynator,_x000a_2. Akademii Górniczo-Hutnicza im. Stanisława Staszica w Krakowie,_x000a_3. Naukowa i Akademicka Sieć Komputerowa – Państwowy Instytut Badawczy,_x000a_4. Politechnika Gdańska,_x000a_5. Politechnika Wrocławska,_x000a_6. Uniwersytet Warszawski."/>
    <n v="171"/>
    <n v="0"/>
    <n v="0"/>
    <n v="0"/>
    <n v="0"/>
    <s v="umowa"/>
    <s v="umowa"/>
    <s v="156/DC/D/2023"/>
    <s v="Instytut Chemii Bioorganicznej PAN (koordynatorem - na podstawie porozumień pomiędzy Beneficjentami a koordynatorem)"/>
  </r>
  <r>
    <x v="0"/>
    <x v="7"/>
    <s v="n/d"/>
    <s v="n/d"/>
    <s v="n/d"/>
    <s v="n/d"/>
    <s v="n/d"/>
    <n v="4000"/>
    <n v="0"/>
    <s v="16.5.3.2."/>
    <s v="budżet państwa (z wyjątkiem GDDKiA)"/>
    <s v="Obsługa Forum Ochrony Infrastruktury Krytycznej MC"/>
    <s v="Systemowe forum Ochrony Infrastruktury krytycznej Ministra Cyfryzacji mające na celu podnoszenie świadomości oraz budowa świadomości sytuacyjnej dotyczących bieżących wyzwań i zagrożeń, a także trendów w kontekście ochrony i bezpieczeństwa IK. Zadanie realizowane na podstawie art. 12. ust. 1 ustawy z dnia 26 kwietnia 2007 r. o zarządzaniu kryzysowym (Dz. U. z 2023 r. poz. 122)."/>
    <n v="0"/>
    <n v="0"/>
    <n v="0"/>
    <n v="0"/>
    <n v="0"/>
    <s v="planowane"/>
    <s v="n/d"/>
    <m/>
    <s v="n/d"/>
  </r>
  <r>
    <x v="0"/>
    <x v="7"/>
    <s v="n/d"/>
    <s v="n/d"/>
    <s v="n/d"/>
    <s v="n/d"/>
    <s v="n/d"/>
    <n v="4000"/>
    <n v="0"/>
    <s v="16.5.3.2."/>
    <s v="budżet państwa (z wyjątkiem GDDKiA)"/>
    <s v="organizacja Forum Organów Właściwych"/>
    <s v="Wydatek przeznaczony na usługę z zakresu przygotowania i dostarczenia posiłków (cateringu) na spotkania organów właściwych krajowego systemu cyberbezpieczeństwa. Powyższa inicjatywa (organizowana cyklicznie – raz na kwartał lub w miarę potrzeby częściej) służy wymianie doświadczeń, wiedzy, opracowaniu wniosków i rekomendacji – w celu efektywniejszego i skuteczniejszego wykonywania powierzonych zadań przez organy właściwe oraz lepszemu zrozumieniu wyzwań, jakie współczesne zagrożenia stawiają przed nadzorowanymi sektorami. Jest również doskonałą okazją na stworzenie przestrzeni do wymiany doświadczeń, wiedzy, nawiązania współpracy, jak również wypracowywania wspólnych stanowisk, czy też diagnozowania aktualnych potrzeb."/>
    <n v="0"/>
    <n v="0"/>
    <n v="0"/>
    <n v="0"/>
    <n v="0"/>
    <s v="planowane"/>
    <s v="n/d"/>
    <s v="nie dotyczy"/>
    <s v="n/d"/>
  </r>
  <r>
    <x v="0"/>
    <x v="7"/>
    <s v="n/d"/>
    <s v="n/d"/>
    <s v="n/d"/>
    <s v="n/d"/>
    <s v="n/d"/>
    <n v="4000"/>
    <n v="0"/>
    <s v="16.5.3.2."/>
    <s v="budżet państwa (z wyjątkiem GDDKiA)"/>
    <s v="organizacja Forum Operatorów Usług Kluczowych"/>
    <s v="Wydatek przeznaczony na usługę z zakresu przygotowania i dostarczenia posiłków (cateringu) na spotkanie organu właściwego do spraw cyberbezpieczeństwa z operatorami usług kluczowych w nadzorowanym sektorze - infrastruktura cyfrowa. Powyższa inicjatywa  ma na celu nawiązanie relacji, wymianę wiedzy, doświadczeń, diagnozowanie aktualnych potrzeb operatorów usług kluczowych w sektorze infrastruktura cyfrowa aby mogli oni jeszcze bardziej efektywnie realizować swoje ustawowe obowiązki. Ponadto Forum przyczyni się do poznania wyzwań, trudności z jakimi mierzą się operatorzy usług kluczowych co pozwoli organowi właściwemu na pomoc, wypracowanie środków zaradczych, a tym samym zwiększenie bezpieczeństwa świadczonych usług kluczowych. "/>
    <n v="0"/>
    <n v="0"/>
    <n v="0"/>
    <n v="0"/>
    <n v="0"/>
    <s v="planowane"/>
    <s v="n/d"/>
    <m/>
    <s v="n/d"/>
  </r>
  <r>
    <x v="0"/>
    <x v="7"/>
    <s v="n/d"/>
    <s v="n/d"/>
    <s v="n/d"/>
    <s v="n/d"/>
    <s v="n/d"/>
    <n v="4000"/>
    <n v="0"/>
    <s v="16.5.3.2."/>
    <s v="budżet państwa (z wyjątkiem GDDKiA)"/>
    <s v="Zakup zewnętrznej kamery podłączanej do komputera przez USB na potrzeby prowadzenia szkoleń online dla podmiotów ksc"/>
    <s v="Zakup profesjonalnej zewnętrznej kamery jest niezbędny do podniesienia jakości szkoleń online, które są realizowane przez Departament Cyberbezpieczeństwa od 2020 roku oraz webinariów realizowanych zasobami własnymi. _x000a_Podstawa prawna: Działania podnoszące świadomość - art.45 ust 1 pkt 4 ustawy o krajowym systemie cyberbezpieczeństwa oraz realizacja celu szczegółowego nr 4 Strategii Cyberbezpieczeństwa RP na lata 2019-2024, a także §14 pkt 2 reg. org. MC."/>
    <n v="0"/>
    <n v="0"/>
    <n v="0"/>
    <n v="0"/>
    <n v="0"/>
    <s v="planowane"/>
    <s v="n/d"/>
    <m/>
    <s v="n/d"/>
  </r>
  <r>
    <x v="0"/>
    <x v="7"/>
    <s v="n/d"/>
    <s v="n/d"/>
    <s v="n/d"/>
    <s v="n/d"/>
    <s v="n/d"/>
    <n v="4000"/>
    <n v="0"/>
    <s v="16.5.3.2."/>
    <s v="budżet państwa (z wyjątkiem GDDKiA)"/>
    <s v="Ćwiczenia cyberbezpieczeństwa dla podmiotów krajowego systemu cyberbezpieczeństwa"/>
    <s v="Podstawa prawna: Inicjowanie krajowych ćwiczeń - art.62 ust 1 pkt 5 ustawy o krajowym systemie cyberbezpieczeństwa "/>
    <n v="600"/>
    <n v="0"/>
    <n v="0"/>
    <n v="0"/>
    <n v="0"/>
    <s v="planowane"/>
    <s v="n/d"/>
    <m/>
    <s v="n/d"/>
  </r>
  <r>
    <x v="0"/>
    <x v="7"/>
    <s v="n/d"/>
    <s v="n/d"/>
    <s v="n/d"/>
    <s v="n/d"/>
    <s v="n/d"/>
    <n v="4000"/>
    <n v="0"/>
    <s v="16.5.3.2."/>
    <s v="budżet państwa (z wyjątkiem GDDKiA)"/>
    <s v="Zakup rocznego dostępu do oprogramowania do mailingu"/>
    <s v="Prowadzenie szkoleń online dla dużej liczby uczestników oraz utrzymywanie własnej bazy subskrybentów bazy wiedzy cyberbezpieczeństwa, wiąże się z częstą wysyłką maili do dużej liczby odbiorców (powyżej 2000 i ciągle rośnie). Oprogramowanie to zapewni prawidłowe dostarczenie maili, bez obawy o zakwalifikowanie ich jako spam z jednoczesnym spadkiem wiarygodności naszej domeny pocztowej._x000a_Kwota została uśredniona z uwagi na różnicę w cenach producentów oprogramowania do mailingu w złotówkach i w walutach obcych. _x000a_Podstawa prawna: Działania podnoszące świadomość - art.45 ust 1 pkt 4 ustawy o krajowym systemie cyberbezpieczeństwa oraz realizacja celu szczegółowego nr 4 Strategii Cyberbezpieczeństwa RP na lata 2019-2024, a także §14 pkt 2 reg. org. MC."/>
    <n v="12"/>
    <n v="0"/>
    <n v="0"/>
    <n v="0"/>
    <n v="0"/>
    <s v="planowane"/>
    <s v="n/d"/>
    <m/>
    <s v="n/d"/>
  </r>
  <r>
    <x v="0"/>
    <x v="7"/>
    <s v="n/d"/>
    <s v="n/d"/>
    <s v="n/d"/>
    <s v="n/d"/>
    <s v="n/d"/>
    <n v="4000"/>
    <n v="0"/>
    <s v="16.5.3.2."/>
    <s v="budżet państwa (z wyjątkiem GDDKiA)"/>
    <s v="Zakup profesjonalnego mikrofonu do realizacji szkoleń online dla podmiotów ksc"/>
    <s v="Zakup profesjonalnego mikrofonu jest niezbędny do podniesienia jakości szkoleń online, które są realizowane przez Departament Cyberbezpieczeństwa od 2020 roku oraz webinariów realizowanych zasobami własnymi. _x000a_Podstawa prawna: Działania podnoszące świadomość - art.45 ust 1 pkt 4 ustawy o krajowym systemie cyberbezpieczeństwa oraz realizacja celu szczegółowego nr 4 Strategii Cyberbezpieczeństwa RP na lata 2019-2024, a także §14 pkt 2 reg. org. MC."/>
    <n v="0"/>
    <n v="0"/>
    <n v="0"/>
    <n v="0"/>
    <n v="0"/>
    <s v="planowane"/>
    <s v="n/d"/>
    <m/>
    <s v="n/d"/>
  </r>
  <r>
    <x v="0"/>
    <x v="7"/>
    <s v="n/d"/>
    <s v="n/d"/>
    <s v="n/d"/>
    <s v="n/d"/>
    <s v="n/d"/>
    <n v="4000"/>
    <n v="0"/>
    <s v="16.5.3.2."/>
    <s v="budżet państwa (z wyjątkiem GDDKiA)"/>
    <s v="Zakup profesjonalnych słuchawek do realizacji szkoleń online dla podmiotów ksc"/>
    <s v="Zakup profesjonalnych słuchawek jest niezbędny do podniesienia jakości szkoleń online, które są realizowane przez Departament Cyberbezpieczeństwa od 2020 roku oraz webinariów realizowanych zasobami własnymi. _x000a_Podstawa prawna: Działania podnoszące świadomość - art.45 ust 1 pkt 4 ustawy o krajowym systemie cyberbezpieczeństwa oraz realizacja celu szczegółowego nr 4 Strategii Cyberbezpieczeństwa RP na lata 2019-2024, a także §14 pkt 2 reg. org. MC."/>
    <n v="0"/>
    <n v="0"/>
    <n v="0"/>
    <n v="0"/>
    <n v="0"/>
    <s v="planowane"/>
    <s v="n/d"/>
    <m/>
    <s v="n/d"/>
  </r>
  <r>
    <x v="0"/>
    <x v="7"/>
    <s v="n/d"/>
    <s v="n/d"/>
    <s v="n/d"/>
    <s v="n/d"/>
    <s v="n/d"/>
    <n v="4000"/>
    <n v="0"/>
    <s v="16.5.3.3."/>
    <s v="budżet państwa (z wyjątkiem GDDKiA)"/>
    <s v="Usługa tłumaczeń pisemnych wraz z weryfikacją merytoryczną, redakcyjną i językową oraz usługa korekty redakcyjnej i językowej przetłumaczonych na język polski dokumentów_x000a__x000a_"/>
    <s v="Kontynuacja realizacji umowy zawartej w 2022 r._x000a_Podstawa prawna: Realizacja celu szczegółowego nr 2 Strategii Cyberbezpieczeństwa RP na lata 2019-2024, a także §14 pkt 2 reg. org. MC."/>
    <n v="0"/>
    <n v="0"/>
    <n v="0"/>
    <n v="0"/>
    <n v="0"/>
    <s v="umowa"/>
    <s v="umowa"/>
    <s v="1112/DSZ/22 dla części III zamówienia"/>
    <s v="Lingua Lab s.c. Weronika Szyszkiewicz, Małgorzata Dembińska"/>
  </r>
  <r>
    <x v="0"/>
    <x v="7"/>
    <s v="n/d"/>
    <s v="n/d"/>
    <s v="n/d"/>
    <s v="n/d"/>
    <s v="n/d"/>
    <n v="4000"/>
    <n v="0"/>
    <s v="16.5.3.3."/>
    <s v="budżet państwa (z wyjątkiem GDDKiA)"/>
    <s v="Zakup subskrypcji translatora maszynowego"/>
    <s v="Subskrypcja dostępu do translatora maszynowego jest niezbędna do realizacji bieżących zadań Wydziału Szkoleń i Standaryzacji Cyberbezpieczeństwa (oraz w razie potrzeby pozostałych wydziałów DC), w szczególności w zakresie opracowywania i aktualizacji rekomendacji i dobrych praktyk z obszaru cyberbezpieczeństwa oraz przygotowywania i prowadzenia działań na rzecz poszerzania wiedzy i budowania świadomości z zakresu cyberbezpieczeństwa, a także opiniowania norm, standardów, rekomendacji, wytycznych oraz zaleceń wydawanych przez ISO/IEC, ENISA, PKN i inne organizacje normalizacyjne._x000a_Podstawa prawna: Realizacja celu szczegółowego nr 2 Strategii Cyberbezpieczeństwa RP na lata 2019-2024, a także §14 pkt 2 reg. org. MC."/>
    <n v="2"/>
    <n v="0"/>
    <n v="0"/>
    <n v="0"/>
    <n v="0"/>
    <s v="planowane"/>
    <s v="n/d"/>
    <m/>
    <s v="n/d"/>
  </r>
  <r>
    <x v="0"/>
    <x v="7"/>
    <s v="n/d"/>
    <s v="n/d"/>
    <s v="n/d"/>
    <s v="n/d"/>
    <s v="n/d"/>
    <n v="4000"/>
    <n v="0"/>
    <s v="16.5.3.2."/>
    <s v="budżet państwa (z wyjątkiem GDDKiA)"/>
    <s v="Usługa organizacji konferencji  z okazji 5-lecia Programu PWCyber "/>
    <s v="Program PWCyber stanowi realizacje zadań Ministra Cyfryzacji w zakresie ustawy o krajowym systemie cyberbezpieczeństwa, tj. rekomendowania obszarów współpracy z sektorem prywatnym w celu zwiększenia cyberbezpieczeństwa Rzeczypospolitej Polskiej. Z okazji 5-lecia istnienia programu zaplanowano konferencję merytoryczną z zakresu cyberbezpieczeństwa i współpracy w tym obszarze pomiędzy sektorem prywatnym i publicznym. Spotkanie ma służyć zacieśnianiu współpracy oraz rozwijania wspólnych działań podnoszących poziom cyberbezpieczeństwa RP (mi. szkoleń, certyfikacji, legislacji, czy nowych technologii)._x000a_Kwota obejmuje usługę kompleksowej organizacji w tym m.in. wynajem sali konferencyjnej, wyposażenia technicznego, cateringu, prowadzenia zapisów). _x000a_Podstawa prawna: Rekomendowanie obszarów współpracy - art.45 ust 1 pkt 2 ustawy o krajowym systemie cyberbezpieczeństwa oraz realizacja celu szczegółowego nr 3 Strategii Cyberbezpieczeństwa RP na lata 2019-2024, a także §14 pkt 1 reg. org. MC."/>
    <n v="0"/>
    <n v="0"/>
    <n v="0"/>
    <n v="0"/>
    <n v="0"/>
    <s v="planowane"/>
    <s v="n/d"/>
    <m/>
    <s v="n/d"/>
  </r>
  <r>
    <x v="0"/>
    <x v="7"/>
    <s v="n/d"/>
    <s v="n/d"/>
    <s v="n/d"/>
    <s v="n/d"/>
    <s v="n/d"/>
    <n v="4000"/>
    <n v="0"/>
    <s v="16.5.3.2."/>
    <s v="budżet państwa (z wyjątkiem GDDKiA)"/>
    <s v="_x000a_Usługa wydruku materiałów informacyjnych i publikacji związanych z Programem PWCyber"/>
    <s v="Program PWCyber stanowi realizacje zadań Ministra Cyfryzacji w zakresie ustawy o krajowym systemie cyberbezpieczeństwa, tj. rekomendowania obszarów współpracy z sektorem prywatnym w celu zwiększenia cyberbezpieczeństwa Rzeczypospolitej Polskiej. W celu zapewnienia skuteczności działań Programu oraz informowania o realizowanych działaniach w 2024 r. zaplanowano opracowanie, korektę, skład, wydruk i rozpowszechnienie materiałów informacyjnych dotyczących programu. Z uwagi na różny charakter zadań na poszczególnym etapie &quot;produkcji&quot; materiałów rozdzielono działania na odrębne zadania, uwzględnione w niniejszej tabeli._x000a_Podstawa prawna: Rekomendowanie obszarów współpracy - art.45 ust 1 pkt 2 ustawy o krajowym systemie cyberbezpieczeństwa oraz realizacja celu szczegółowego nr 3 Strategii Cyberbezpieczeństwa RP na lata 2019-2024, a także §14 pkt 1 reg. org. MC."/>
    <n v="30"/>
    <n v="0"/>
    <n v="0"/>
    <n v="0"/>
    <n v="0"/>
    <s v="planowane"/>
    <s v="n/d"/>
    <m/>
    <s v="n/d"/>
  </r>
  <r>
    <x v="0"/>
    <x v="7"/>
    <s v="n/d"/>
    <s v="n/d"/>
    <s v="n/d"/>
    <s v="n/d"/>
    <s v="n/d"/>
    <n v="4000"/>
    <n v="0"/>
    <s v="16.5.3.2."/>
    <s v="budżet państwa (z wyjątkiem GDDKiA)"/>
    <s v="Usługa składu, łamania oraz korekty publikacji o cyberbezpieczeństwie    "/>
    <s v="Program PWCyber stanowi realizacje zadań Ministra Cyfryzacji w zakresie ustawy o krajowym systemie cyberbezpieczeństwa, tj. rekomendowania obszarów współpracy z sektorem prywatnym w celu zwiększenia cyberbezpieczeństwa Rzeczypospolitej Polskiej. W celu zapewnienia skuteczności działań Programu oraz informowania o realizowanych działaniach w 2024 r. zaplanowano opracowanie, korektę, skład, wydruk i rozpowszechnienie materiałów informacyjnych dotyczących programu. Z uwagi na różny charakter zadań na poszczególnym etapie &quot;produkcji&quot; materiałów rozdzielono działania na odrębne zadania, uwzględnione w niniejszej tabeli._x000a_Podstawa prawna: Rekomendowanie obszarów współpracy - art.45 ust 1 pkt 2 ustawy o krajowym systemie cyberbezpieczeństwa oraz realizacja celu szczegółowego nr 3 Strategii Cyberbezpieczeństwa RP na lata 2019-2024, a także §14 pkt 1 reg. org. MC."/>
    <n v="30"/>
    <n v="0"/>
    <n v="0"/>
    <n v="0"/>
    <n v="0"/>
    <s v="planowane"/>
    <s v="n/d"/>
    <m/>
    <s v="n/d"/>
  </r>
  <r>
    <x v="0"/>
    <x v="7"/>
    <s v="n/d"/>
    <s v="n/d"/>
    <s v="n/d"/>
    <s v="n/d"/>
    <s v="n/d"/>
    <n v="4000"/>
    <n v="0"/>
    <s v="16.5.3.2."/>
    <s v="budżet państwa (z wyjątkiem GDDKiA)"/>
    <s v="Opracowanie Księgi Identyfikacji Wizualnej Programu PWCyber"/>
    <s v="Program PWCyber stanowi realizacje zadań Ministra Cyfryzacji w zakresie ustawy o krajowym systemie cyberbezpieczeństwa, tj. rekomendowania obszarów współpracy z sektorem prywatnym w celu zwiększenia cyberbezpieczeństwa Rzeczypospolitej Polskiej. W celu zapewnienia odpowiedniej identyfikacji i rozpoznawalności Programu, która wpłynie na jego zasięg oddziaływania, zaplanowano opracowanie Księgi Identyfikacji Wizualnej._x000a_Podstawa prawna: Rekomendowanie obszarów współpracy - art.45 ust 1 pkt 2 ustawy o krajowym systemie cyberbezpieczeństwa oraz realizacja celu szczegółowego nr 3 Strategii Cyberbezpieczeństwa RP na lata 2019-2024, a także §14 pkt 1 reg. org. MC."/>
    <n v="0"/>
    <n v="0"/>
    <n v="0"/>
    <n v="0"/>
    <n v="0"/>
    <s v="planowane"/>
    <s v="n/d"/>
    <m/>
    <s v="n/d"/>
  </r>
  <r>
    <x v="0"/>
    <x v="7"/>
    <s v="n/d"/>
    <s v="n/d"/>
    <s v="n/d"/>
    <s v="n/d"/>
    <s v="n/d"/>
    <n v="4000"/>
    <n v="0"/>
    <s v="16.5.3.2."/>
    <s v="budżet państwa (z wyjątkiem GDDKiA)"/>
    <s v="Opracowanie materiałów informacyjnych PWCyber_x000a_"/>
    <s v="Program PWCyber stanowi realizacje zadań Ministra Cyfryzacji w zakresie ustawy o krajowym systemie cyberbezpieczeństwa, tj. rekomendowania obszarów współpracy z sektorem prywatnym w celu zwiększenia cyberbezpieczeństwa Rzeczypospolitej Polskiej. W celu zapewnienia skuteczności działań Programu oraz informowania o realizowanych działaniach w 2024 r. zaplanowano opracowanie, korektę, skład, wydruk i rozpowszechnienie materiałów informacyjnych dotyczących programu. Z uwagi na różny charakter zadań na poszczególnym etapie &quot;produkcji&quot; materiałów rozdzielono działania na odrębne zadania, uwzględnione w niniejszej tabeli._x000a_Podstawa prawna: Rekomendowanie obszarów współpracy - art.45 ust 1 pkt 2 ustawy o krajowym systemie cyberbezpieczeństwa oraz realizacja celu szczegółowego nr 3 Strategii Cyberbezpieczeństwa RP na lata 2019-2024, a także §14 pkt 1 reg. org. MC."/>
    <n v="50"/>
    <n v="0"/>
    <n v="0"/>
    <n v="0"/>
    <n v="0"/>
    <s v="planowane"/>
    <s v="n/d"/>
    <m/>
    <s v="n/d"/>
  </r>
  <r>
    <x v="0"/>
    <x v="7"/>
    <s v="n/d"/>
    <s v="n/d"/>
    <s v="n/d"/>
    <s v="n/d"/>
    <s v="n/d"/>
    <n v="4530"/>
    <n v="0"/>
    <s v="n/d"/>
    <s v="Beneficjent"/>
    <s v="współfinansowanie wydatków bieżących w zakresie podatku VAT dla wydatków z KPO"/>
    <s v="VAT niezbędny do realizacji projektu KPO nr C3.1.1, gdyż VAT jest niekwalifikowalny w KPO - dla jednostek sektora fin. Publ."/>
    <n v="0"/>
    <n v="0"/>
    <n v="0"/>
    <n v="0"/>
    <n v="0"/>
    <s v="wystąpienie MF"/>
    <s v="n/d"/>
    <m/>
    <s v="n/d"/>
  </r>
  <r>
    <x v="0"/>
    <x v="7"/>
    <s v="n/d"/>
    <s v="n/d"/>
    <s v="n/d"/>
    <s v="n/d"/>
    <s v="n/d"/>
    <n v="4000"/>
    <n v="0"/>
    <s v="22.1.1.1."/>
    <s v="budżet państwa (z wyjątkiem GDDKiA)"/>
    <s v="Zespół Ochrony Informacji Niejawnych - zakup sprzętu"/>
    <s v="W 2024 r. zostało zaplanowane uruchomienie nowego (dodatkowego) stanowiska służacego do przetwarzania informacji niejawnych, które będzie wyposażone w urządzenie wielofunkcyjne."/>
    <n v="0"/>
    <n v="0"/>
    <n v="0"/>
    <n v="0"/>
    <n v="0"/>
    <s v="planowane"/>
    <s v="n/d"/>
    <m/>
    <s v="n/d"/>
  </r>
  <r>
    <x v="0"/>
    <x v="7"/>
    <s v="n/d"/>
    <s v="n/d"/>
    <s v="n/d"/>
    <s v="n/d"/>
    <s v="n/d"/>
    <n v="4000"/>
    <n v="0"/>
    <s v="16.5.3.2."/>
    <s v="budżet państwa (z wyjątkiem GDDKiA)"/>
    <s v="Działania DC związane z Prezydencją - obsługa spotkań z udziałem delegacji państw członków UE"/>
    <s v="Konferencje, koszty przyjęcia delegacji zagranicznych w celu omówienia działań i proprytetów podejmowanych przez PL Prezydencję. Gadżety. Organizacja spotkań koordynujących"/>
    <n v="900"/>
    <n v="0"/>
    <n v="0"/>
    <n v="0"/>
    <n v="0"/>
    <s v="Prezydencja"/>
    <s v="n/d"/>
    <m/>
    <s v="n/d"/>
  </r>
  <r>
    <x v="0"/>
    <x v="7"/>
    <s v="n/d"/>
    <s v="n/d"/>
    <s v="n/d"/>
    <s v="n/d"/>
    <s v="n/d"/>
    <n v="4170"/>
    <n v="0"/>
    <s v="22.1.1.1."/>
    <s v="budżet państwa (z wyjątkiem GDDKiA)"/>
    <s v="Umowy cywilno-prawne dla stażystów w ramach programu stażowego w MC w 2024 roku"/>
    <s v="Podnoszenie wiedzy i popularyzacja działań z obszaru cyberbez[ieczeństwa, współpracy międzynarodowej, administracji."/>
    <n v="0"/>
    <n v="0"/>
    <n v="0"/>
    <n v="0"/>
    <n v="0"/>
    <s v="planowane"/>
    <s v="n/d"/>
    <m/>
    <s v="n/d"/>
  </r>
  <r>
    <x v="0"/>
    <x v="7"/>
    <s v="n/d"/>
    <s v="n/d"/>
    <s v="n/d"/>
    <s v="n/d"/>
    <s v="n/d"/>
    <n v="4170"/>
    <n v="0"/>
    <s v="16.5.3.2."/>
    <s v="budżet państwa (z wyjątkiem GDDKiA)"/>
    <s v="Umowa body leasingu"/>
    <s v="Zatrudnienie w bodyleasingu"/>
    <n v="480"/>
    <n v="0"/>
    <n v="0"/>
    <n v="0"/>
    <n v="0"/>
    <s v="planowane"/>
    <s v="n/d"/>
    <m/>
    <s v="n/d"/>
  </r>
  <r>
    <x v="0"/>
    <x v="7"/>
    <s v="n/d"/>
    <s v="n/d"/>
    <s v="n/d"/>
    <s v="n/d"/>
    <s v="n/d"/>
    <n v="4000"/>
    <n v="0"/>
    <s v="16.5.3.1."/>
    <s v="budżet państwa (z wyjątkiem GDDKiA)"/>
    <s v="Koszty organizacji stanowiska pracy dla pracowników wydziału krajowego systemu certyfikacji cyberbezpieczeństwa"/>
    <s v="Należy podkreślić, że wydatki związane z utworzeniem krajowego systemu certyfikacji cyberbezpieczeństwa są niezbędne do wykonania Rozporządzenia Parlamentu Europejskiego i Rady (UE) 2019/881 z dnia 17 kwietnia 2019 r. w sprawie ENISA (Agencji Unii Europejskiej ds. Cyberbezpieczeństwa) oraz certyfikacji cyberbezpieczeństwa w zakresie technologii informacyjno-komunikacyjnych oraz uchylenia rozporządzenia (UE) nr 526/2013. Aby zapewnić zgodność z tym aktem prawnym niezbędne jest utworzenie krajowego organu ds. certyfikacji cyberbezpieczeństwa co oznacza również konieczność zapewnienia środków na jego działalność. Z tego względu wskazane wydatki pozostają aktualne. "/>
    <n v="0"/>
    <n v="0"/>
    <n v="0"/>
    <n v="0"/>
    <n v="0"/>
    <s v="planowane"/>
    <s v="n/d"/>
    <m/>
    <s v="nd"/>
  </r>
  <r>
    <x v="0"/>
    <x v="7"/>
    <s v="n/d"/>
    <s v="n/d"/>
    <s v="n/d"/>
    <s v="n/d"/>
    <s v="n/d"/>
    <n v="4170"/>
    <n v="0"/>
    <s v="16.5.3.3."/>
    <s v="budżet państwa (z wyjątkiem GDDKiA)"/>
    <s v="Koszty umów zlecenia bądź umów o dzieło z ekspertami dotyczących przygotowania projektów, dokumentacji, ekspertyz i analiz krajowych programów certyfikacji cyberbezpieczeństwa"/>
    <s v="Należy podkreślić, że wydatki związane z utworzeniem krajowego systemu certyfikacji cyberbezpieczeństwa są niezbędne do wykonania Rozporządzenia Parlamentu Europejskiego i Rady (UE) 2019/881 z dnia 17 kwietnia 2019 r. w sprawie ENISA (Agencji Unii Europejskiej ds. Cyberbezpieczeństwa) oraz certyfikacji cyberbezpieczeństwa w zakresie technologii informacyjno-komunikacyjnych oraz uchylenia rozporządzenia (UE) nr 526/2013. Aby zapewnić zgodność z tym aktem prawnym niezbędne jest utworzenie krajowego organu ds. certyfikacji cyberbezpieczeństwa co oznacza również konieczność zapewnienia środków na jego działalność. Z tego względu wskazane wydatki pozostają aktualne. "/>
    <n v="0"/>
    <n v="0"/>
    <n v="0"/>
    <n v="0"/>
    <n v="0"/>
    <s v="planowane"/>
    <s v="n/d"/>
    <m/>
    <s v="nd"/>
  </r>
  <r>
    <x v="0"/>
    <x v="7"/>
    <s v="n/d"/>
    <s v="n/d"/>
    <s v="n/d"/>
    <s v="n/d"/>
    <s v="n/d"/>
    <n v="4170"/>
    <n v="0"/>
    <s v="16.5.3.3."/>
    <s v="budżet państwa (z wyjątkiem GDDKiA)"/>
    <s v="Przygotowanie opinii na potrzeby realizacji zadań krajowego organu ds. certyfikacji cyberbezpieczeństwa"/>
    <s v="Należy podkreślić, że wydatki związane z utworzeniem krajowego systemu certyfikacji cyberbezpieczeństwa są niezbędne do wykonania Rozporządzenia Parlamentu Europejskiego i Rady (UE) 2019/881 z dnia 17 kwietnia 2019 r. w sprawie ENISA (Agencji Unii Europejskiej ds. Cyberbezpieczeństwa) oraz certyfikacji cyberbezpieczeństwa w zakresie technologii informacyjno-komunikacyjnych oraz uchylenia rozporządzenia (UE) nr 526/2013. Aby zapewnić zgodność z tym aktem prawnym niezbędne jest utworzenie krajowego organu ds. certyfikacji cyberbezpieczeństwa co oznacza również konieczność zapewnienia środków na jego działalność. Z tego względu wskazane wydatki pozostają aktualne. "/>
    <n v="30"/>
    <n v="32"/>
    <n v="0"/>
    <n v="0"/>
    <n v="0"/>
    <s v="planowane"/>
    <s v="n/d"/>
    <m/>
    <s v="nd"/>
  </r>
  <r>
    <x v="0"/>
    <x v="7"/>
    <s v="n/d"/>
    <s v="n/d"/>
    <s v="n/d"/>
    <s v="n/d"/>
    <s v="n/d"/>
    <n v="2830"/>
    <n v="0"/>
    <s v="16.5.3.4."/>
    <s v="podmioty pozostałe (z wyjątkiem PKP PLK S.A.)"/>
    <s v="Dotacje celowe dla jednostek certyfikacyjnych i laboratoriów działających w ramach krajowego systemu certyfikacji  cyberbezpieczeństwa. Druk RCL nr UC42 - Projekt ustawy o krajowym systemie certyfikacji cyberbezpieczeństwa_x000a_"/>
    <s v="Należy podkreślić, że wydatki związane z utworzeniem krajowego systemu certyfikacji cyberbezpieczeństwa są niezbędne do wykonania Rozporządzenia Parlamentu Europejskiego i Rady (UE) 2019/881 z dnia 17 kwietnia 2019 r. w sprawie ENISA (Agencji Unii Europejskiej ds. Cyberbezpieczeństwa) oraz certyfikacji cyberbezpieczeństwa w zakresie technologii informacyjno-komunikacyjnych oraz uchylenia rozporządzenia (UE) nr 526/2013. Aby zapewnić realną możliwość przeprowadzania certyfikacji w Polsce oraz rozwijać rynek certyfikacji w Polsce, konieczny jest rozwój jednostek certyfikacyjnych oraz laboratoriów. Ustawa przewiduje przyznanie uprawnień ministrowi udzielania w tym zakresie dotacji państwowym instytutom badawczym na wykonywanie szeregu działań związanych ze wsparciem krajowego systemu certyfikacji, w szczególności na wsparcie realizacji zadań krajowego organu ds. certyfikacji cyberbezpieczeństwa, którym będzie minister właściwy do spraw informatyzacji. Do tych zadań należą m.in. przygotowanie opinii, ekspertyz i analiz; weryfikacja dokumentów związanych z procesami certyfikacji, a także przeprowadzania badań produktów ICT, usług ICT i procesów ICT"/>
    <n v="0"/>
    <n v="0"/>
    <n v="0"/>
    <n v="0"/>
    <n v="0"/>
    <s v="planowane"/>
    <s v="n/d"/>
    <m/>
    <s v="nd"/>
  </r>
  <r>
    <x v="0"/>
    <x v="7"/>
    <s v="n/d"/>
    <s v="n/d"/>
    <s v="n/d"/>
    <s v="n/d"/>
    <s v="n/d"/>
    <n v="2830"/>
    <n v="0"/>
    <s v="16.5.3.1."/>
    <s v="podmioty pozostałe (z wyjątkiem PKP PLK S.A.)"/>
    <s v="Dotacja celowa dla NASK-PIB na funkcjonowanie CSIRT sektorowego dla sektora infrastruktury cyfrowej - wynagrodzenia"/>
    <s v="Planowane wydatki dotyczyły zadań zawartych w nowelizacji ustawy o krajowym systemie cyberbezpieczeństwa. Nowelizacja ta wdrażała część przepisów unijnych. Przewidywała także procedurę identyfikacji dostawców wysokiego ryzyka, co wprost wynika z dokumentów unijnych. W 2024 r. Polska jest zobligowana do wdrożenia dyrektywy NIS2. W związku z tym konieczne będzie poniesienie nowych wydatków na nowe zadania, które w pokrywały się z tymi, które przewidywała nowelizacja ustawy o krajowym systemie cyberbezpieczeństwa. Nowelizacja przewidywała także środki na utworzenie CSIRT sektorowych - utworzenie tych zespołów jest kamieniem milowym KPO, dlatego zasadne jest także utrzymanie tych wydatków."/>
    <n v="0"/>
    <n v="0"/>
    <n v="0"/>
    <n v="0"/>
    <m/>
    <s v="planowane"/>
    <s v="planowane"/>
    <m/>
    <s v="nd"/>
  </r>
  <r>
    <x v="0"/>
    <x v="7"/>
    <s v="n/d"/>
    <s v="n/d"/>
    <s v="n/d"/>
    <s v="n/d"/>
    <s v="n/d"/>
    <n v="6230"/>
    <n v="0"/>
    <s v="16.5.3.1."/>
    <s v="podmioty pozostałe (z wyjątkiem PKP PLK S.A.)"/>
    <s v="Dotacja celowa dla NASK-PIB na funkcjonowanie CSIRT sektorowego dla sektora infrastruktury cyfrowej - sprzęt i oprogramowanie"/>
    <s v="Planowane wydatki dotyczyły zadań zawartych w nowelizacji ustawy o krajowym systemie cyberbezpieczeństwa. Nowelizacja ta wdrażała część przepisów unijnych. Przewidywała także procedurę identyfikacji dostawców wysokiego ryzyka, co wprost wynika z dokumentów unijnych. W 2024 r. Polska jest zobligowana do wdrożenia dyrektywy NIS2. W związku z tym konieczne będzie poniesienie nowych wydatków na nowe zadania, które w pokrywały się z tymi, które przewidywała nowelizacja ustawy o krajowym systemie cyberbezpieczeństwa. Nowelizacja przewidywała także środki na utworzenie CSIRT sektorowych - utworzenie tych zespołów jest kamieniem milowym KPO, dlatego zasadne jest także utrzymanie tych wydatków."/>
    <n v="0"/>
    <n v="0"/>
    <n v="0"/>
    <n v="0"/>
    <n v="0"/>
    <s v="planowane"/>
    <s v="planowane"/>
    <m/>
    <s v="nd"/>
  </r>
  <r>
    <x v="0"/>
    <x v="7"/>
    <s v="n/d"/>
    <s v="n/d"/>
    <s v="n/d"/>
    <s v="n/d"/>
    <s v="n/d"/>
    <n v="4000"/>
    <n v="0"/>
    <s v="16.5.3.2."/>
    <s v="budżet państwa (z wyjątkiem GDDKiA)"/>
    <s v="Tłumaczenia - pisemne i ustne dla cyberbezpieczeństwa"/>
    <s v="Pozycja wspólna dla całego DC. Zgodnie z informacjami z końca 2023 r. BA ma w planach postępowanie na tłumaczenia dla całego MC - pozycję uwzględniono w zestawieniu w celu uwzględnienia w zamówieniu zbiorczym._x000a_WAC: 10 tys. zł_x000a_WSiSC: Tłumaczenia niezbędne do realizacji zadań wydziału. Szacowana kwota określona na podstawie szacowania zapotrzebowania wydziału wynosi: 20 tys. zł (ok. 500 str.)"/>
    <n v="0"/>
    <n v="0"/>
    <n v="0"/>
    <n v="0"/>
    <n v="0"/>
    <s v="planowane"/>
    <s v="n/d"/>
    <s v="n/d"/>
    <s v="n/d"/>
  </r>
  <r>
    <x v="0"/>
    <x v="7"/>
    <s v="n/d"/>
    <s v="n/d"/>
    <s v="n/d"/>
    <s v="n/d"/>
    <s v="n/d"/>
    <n v="4000"/>
    <n v="0"/>
    <s v="22.1.1.1."/>
    <s v="budżet państwa (z wyjątkiem GDDKiA)"/>
    <s v="Zakup i odnowienie licencji i wsparcia technicznego - MC"/>
    <s v="Zakup licencji systemu do zarządzania incydentami, ochrony urządzeń mobilnych, systemu ochrony stacji roboczych"/>
    <n v="0"/>
    <n v="0"/>
    <n v="0"/>
    <n v="0"/>
    <n v="0"/>
    <s v="planowane"/>
    <s v="n/d"/>
    <s v="n/d"/>
    <s v="n/d"/>
  </r>
  <r>
    <x v="0"/>
    <x v="7"/>
    <s v="n/d"/>
    <s v="n/d"/>
    <s v="n/d"/>
    <s v="n/d"/>
    <s v="n/d"/>
    <n v="4000"/>
    <n v="0"/>
    <s v="22.1.1.1."/>
    <s v="budżet państwa (z wyjątkiem GDDKiA)"/>
    <s v="Zakup platformy do zarządzania podatnościami w systemach MC"/>
    <s v="Zapewnienie bezpieczeństwa teleinformatycznego MC."/>
    <n v="0"/>
    <n v="0"/>
    <n v="0"/>
    <n v="0"/>
    <n v="0"/>
    <s v="planowane"/>
    <s v="n/d"/>
    <s v="n/d"/>
    <s v="n/d"/>
  </r>
  <r>
    <x v="0"/>
    <x v="7"/>
    <s v="n/d"/>
    <s v="n/d"/>
    <s v="n/d"/>
    <s v="n/d"/>
    <s v="n/d"/>
    <n v="4000"/>
    <n v="0"/>
    <s v="16.5.3.2."/>
    <s v="budżet państwa "/>
    <s v="Zakup systemu cyber threat intelligence poziomu strategicznego dla podmiotów krajowego systemu cyberbezpieczeństwa"/>
    <s v="Celem zadania jest zakup rocznego dostępu do systemu rozpoznawania zagrożeń w cyberprzestrzeni (CTI) poziomu strategicznego,  wspomagającego pracę zespołów cyberbezpieczeństwa , w tym zespów reagowania na incydenty komputerowe wchodzące w skład krajowego systemu cyberbezpieczeństwa. Dostęp do systemu CTI poziomu strategicznego pozwoli na gromadzenie, analizowanie i wykorzystywania informacji o cyberzagrożeniach w celu podejmowania decyzji dotyczących cyberbezpieczeństwa państwa oraz w ramach danej organizacji. System będzie pozyskany na potrzeby Ministerstwa Cyfryzacji i innych podmiotów zapewniających cyberbezpieczeństwo na poziomie krajowym._x000a_Podstawa prawna: art. 62 ustawy z dnia 5 lipca 2018 r. o krajowym systemie cyberbezpieczeństwa (Dz.U. z 2023 r. poz. 913 z późn. zm.)"/>
    <n v="10000"/>
    <n v="10000"/>
    <n v="10000"/>
    <n v="0"/>
    <n v="0"/>
    <s v="planowane"/>
    <s v="n/d"/>
    <s v="n/d"/>
    <s v="n/d"/>
  </r>
  <r>
    <x v="0"/>
    <x v="7"/>
    <s v="n/d"/>
    <s v="n/d"/>
    <s v="n/d"/>
    <s v="n/d"/>
    <s v="n/d"/>
    <n v="4000"/>
    <n v="0"/>
    <s v="16.5.3.2."/>
    <s v="budżet państwa "/>
    <s v="Oprogramowanie wspierające analizy cyberbezpieczeństwa"/>
    <s v="Zakup orogramowania wspierającego analizy cyberbezpieczeństwa, m.in. w zakresie gromadzenia i analizowania informacji w mediach; skanerów i wyszukiwarek podatności, portów, adresów URL; zarządzania hasłami; obróbką graficzną. Podstawa prawna: Regulamin MC, ustawa o KSC (art. 45 i 63)."/>
    <n v="75"/>
    <n v="75"/>
    <n v="75"/>
    <n v="0"/>
    <n v="0"/>
    <s v="planowane"/>
    <s v="n/d"/>
    <s v="n/d"/>
    <s v="n/d"/>
  </r>
  <r>
    <x v="0"/>
    <x v="7"/>
    <s v="n/d"/>
    <s v="n/d"/>
    <s v="n/d"/>
    <s v="n/d"/>
    <s v="n/d"/>
    <n v="4000"/>
    <n v="0"/>
    <s v="16.5.3.2."/>
    <s v="budżet państwa "/>
    <s v="Zakup rozwiązań chmurowych "/>
    <s v="Zakup rozwiązań chmurowych wspierających analizy cyberbezpieczeństwa w oparciu o model subskrypcyjny. Rozwiązanie to będzie także wykorzystywało sztuczną inteligencję (AI) umożliwiającą jej zastosowanie do zasobów umieszczonych w chmurze obliczeniowej. Zastosowanie rozwiązań chmurowych podniesienie poziom bezpieczeństwa danych, a wykorzystanie AI znacząco przyczyni się do zwiększenia efektywności, szybkości i jakości pracy. Podstawa prawna: _x000a_Art. 62. ust. 1. pkt 4) ustawy o KSC_x000a_Uchwała nr 125 Rady Ministrów z dnia 22 października 2019 r. w sprawie Strategii Cyberbezpieczeństwa Rzeczypospolitej Polskiej na lata 2019–2024_x000a_Uchwała nr 196 Rady Ministrów z dnia 28 grudnia 2020 r. w sprawie ustanowienia &quot;Polityki dla rozwoju sztucznej inteligencji w Polsce od roku 2020&quot;"/>
    <n v="50"/>
    <n v="50"/>
    <n v="50"/>
    <n v="0"/>
    <n v="0"/>
    <s v="planowane"/>
    <s v="n/d"/>
    <s v="n/d"/>
    <s v="n/d"/>
  </r>
  <r>
    <x v="0"/>
    <x v="7"/>
    <s v="n/d"/>
    <s v="n/d"/>
    <s v="n/d"/>
    <s v="n/d"/>
    <s v="n/d"/>
    <n v="4420"/>
    <n v="0"/>
    <s v="16.5.3.2."/>
    <s v="budżet państwa "/>
    <s v="Delegacje zagraniczne WAC"/>
    <s v="Podróże służbowe zagraniczne w obszarze bezpieczeństwa cyberprzestrzeni, w tym związane ze współpracą międzynarodową w zakresie rozpoznawania i zwalczania zagrożeń w cyberprzestrzeni, współpracy CSIRT i innych podmiotów systemów cyberbezpieczeństwa. _x000a_Podstawa prawna: Regulamin MC, ustawa o KSC  (art. 45 i 63)."/>
    <n v="0"/>
    <n v="0"/>
    <n v="0"/>
    <n v="0"/>
    <n v="0"/>
    <s v="planowane"/>
    <s v="n/d"/>
    <s v="n/d"/>
    <s v="n/d"/>
  </r>
  <r>
    <x v="0"/>
    <x v="7"/>
    <s v="n/d"/>
    <s v="n/d"/>
    <s v="n/d"/>
    <s v="n/d"/>
    <s v="n/d"/>
    <n v="4410"/>
    <n v="0"/>
    <s v="16.5.3.2."/>
    <s v="budżet państwa "/>
    <s v="Delegacje krajowe WAC"/>
    <s v="Podróże służbowe krajowe w obszarze bezpieczeństwa cyberprzestrzeni, w tym związane ze współpracą z podmiotami Krajowego Systemu Cyberbezpieczeństwa (KSC), dostawcami usług i produktów, udział w konferencjach. _x000a_Podstawa prawna: Regulamin MC, ustawa o KSC (art. 45 i 63)."/>
    <n v="0"/>
    <n v="0"/>
    <n v="0"/>
    <n v="0"/>
    <n v="0"/>
    <s v="planowane"/>
    <s v="n/d"/>
    <s v="n/d"/>
    <s v="n/d"/>
  </r>
  <r>
    <x v="0"/>
    <x v="7"/>
    <s v="n/d"/>
    <s v="n/d"/>
    <s v="n/d"/>
    <s v="n/d"/>
    <s v="n/d"/>
    <n v="4610"/>
    <n v="0"/>
    <s v="16.5.3.4."/>
    <s v="budżet państwa "/>
    <s v="Środki na ewentualne roszczenia i koszty sądowe (decyzje administracyjne, postępowania)"/>
    <s v="Środki na ewentualne roszczenia i koszty sądowe (decyzje administracyjne, postępowania)"/>
    <n v="201"/>
    <n v="0"/>
    <n v="0"/>
    <n v="0"/>
    <n v="0"/>
    <s v="planowane"/>
    <s v="n/d"/>
    <s v="n/d"/>
    <s v="n/d"/>
  </r>
  <r>
    <x v="0"/>
    <x v="7"/>
    <s v="n/d"/>
    <s v="n/d"/>
    <s v="n/d"/>
    <s v="n/d"/>
    <s v="n/d"/>
    <n v="4530"/>
    <n v="0"/>
    <s v="16.5.3.4."/>
    <s v="podmioty pozostałe (z wyjątkiem PKP PLK S.A.)"/>
    <s v="Współfinansowanie wydatków w zakresie podatku VAT dla przedsięwzięcia z KPO pn. &quot;podłączenie 385 nowych podmiotów krajowego systemu cyberbezpieczeństwa do zintegrowanego systemu zarządzania cyberbezpieczeństwem (system S46) oraz dalszy rozwój tego systemu&quot;"/>
    <s v="VAT jest niezbędny do realizacji przez NASK-PIB przedsięwzięcia w ramach inwestycji C3.1.1. KPO. W KPO VAT jest wydatkiem niekwalifikowanym. Utrzymanie i rozwój systemu S46 jest zadaniem realizowanym na podstawie art. 46 uksc."/>
    <n v="1901"/>
    <n v="2031"/>
    <n v="0"/>
    <n v="0"/>
    <n v="0"/>
    <s v="planowane"/>
    <s v="n/d"/>
    <s v="n/d"/>
    <s v="n/d"/>
  </r>
  <r>
    <x v="0"/>
    <x v="7"/>
    <s v="n/d"/>
    <s v="n/d"/>
    <s v="n/d"/>
    <s v="n/d"/>
    <s v="n/d"/>
    <n v="4530"/>
    <n v="0"/>
    <s v="16.5.3.4."/>
    <s v="podmioty pozostałe (z wyjątkiem PKP PLK S.A.)"/>
    <s v="Współfinansowanie wydatków w zakresie podatku VAT dla przedsięwzięcia z KPO pn. &quot;utworzenie lub rozwój przynajmniej 5 sektorowych Zespołów Reagowania na Incydenty Bezpieczeństwa Komputerowego (CSIRT) w sektorach kluczowych w rozumieniu ustawy o krajowym systemie cyberbezpieczeństwa, tj. sektorach: energii, transportu, ochrony zdrowia, bankowości i infrastruktury rynków finansowych, infrastruktury cyfrowej, zaopatrzenia w wodę oraz dla przedsiębiorców komunikacji elektronicznej&quot;"/>
    <s v="VAT jest niezbędny do realizacji przez NASK-PIB przedsięwzięcia w ramach inwestycji C3.1.1. KPO. W KPO VAT jest wydatkiem niekwalifikowanym. Zgodnie z art.. 44a ust. 1 oraz art.. 44d ust. 2 projektu ustawy o zmianie ustawy o krajowym systemie cyberbezpieczeństwa Minister Cyfryzacji powierzy zadanie funkcjonowania zespołu CSIRT sektorowego dla sektorów infrastruktury cyfrowej, usług cyfrowych i zarządzania ICT NASK - PIB."/>
    <n v="886"/>
    <n v="627"/>
    <n v="0"/>
    <n v="0"/>
    <n v="0"/>
    <s v="planowane"/>
    <s v="n/d"/>
    <s v="n/d"/>
    <s v="n/d"/>
  </r>
  <r>
    <x v="0"/>
    <x v="7"/>
    <s v="n/d"/>
    <s v="n/d"/>
    <s v="n/d"/>
    <s v="n/d"/>
    <s v="n/d"/>
    <n v="4000"/>
    <n v="0"/>
    <s v="16.5.3.2."/>
    <s v="Budżet państwa"/>
    <s v="Kampania informacyjna nt. systemu samorejestracji podmiotów KSC"/>
    <s v="Przygotowanie strategii, koncepcji kreatywnej oraz realizacja kampanii informacyjnej dot. wdrożenia NIS 2 w Polsce, w tym objęcia nowych kategorii podmiotów obowiązkami w zakresie cyberbezpieczeństwa oraz systemu samorejestracji podmiotów w celu opracowania i uzyskania możliwie pełnego wykazu podmiotów kluczowych i ważnych. Zgodnie z art. 3 ust. 3 Dyrektywy NIS 2: Do dnia 17 kwietnia 2025 r. państwa członkowskie ustanawiają wykaz podmiotów kluczowych i ważnych, a także podmiotów świadczących usługi rejestracji nazw domen. Państwa członkowskie regularnie, i nie rzadziej niż co dwa lata po wyżej wymienionej dacie, dokonują przeglądu i – w stosownych przypadkach – aktualizacji tego wykazu."/>
    <n v="615"/>
    <n v="0"/>
    <n v="0"/>
    <n v="0"/>
    <m/>
    <s v="planowane"/>
    <s v="n/d"/>
    <s v="n/d"/>
    <s v="n/d"/>
  </r>
  <r>
    <x v="0"/>
    <x v="7"/>
    <s v="n/d"/>
    <s v="n/d"/>
    <s v="n/d"/>
    <s v="n/d"/>
    <s v="n/d"/>
    <n v="4190"/>
    <n v="0"/>
    <s v="16.5.3.2."/>
    <s v="budżet państwa "/>
    <s v="Nagroda Ministra Cyfryzacji - konkurs na najlepszą pracę licencjacką, magisterską i inżynierską w tematyce cyberbezpieczeńśtwa "/>
    <s v="Nagroda w formie kursów z obszaru cyberbezpieczeńtwa zakończonych certyfikatem"/>
    <n v="130"/>
    <n v="130"/>
    <n v="130"/>
    <n v="130"/>
    <n v="130"/>
    <s v="planowane"/>
    <s v="n/d"/>
    <s v="n/d"/>
    <s v="n/d"/>
  </r>
  <r>
    <x v="0"/>
    <x v="7"/>
    <s v="n/d"/>
    <s v="n/d"/>
    <s v="n/d"/>
    <s v="n/d"/>
    <s v="n/d"/>
    <n v="4000"/>
    <n v="0"/>
    <s v="16.5.3.2."/>
    <s v="budżet państwa "/>
    <s v="Catering podczas warsztatów, szkoleń oragnizowanych w ramach Programu PWCyber"/>
    <s v="Usługa dostarczenia cateringu na spotkania w ramach współpracy z Partnerami Programu PWCyber "/>
    <n v="20"/>
    <n v="0"/>
    <n v="0"/>
    <n v="0"/>
    <n v="0"/>
    <s v="planowane"/>
    <s v="n/d"/>
    <s v="n/d"/>
    <s v="n/d"/>
  </r>
  <r>
    <x v="0"/>
    <x v="7"/>
    <s v="n/d"/>
    <s v="n/d"/>
    <s v="n/d"/>
    <s v="n/d"/>
    <s v="n/d"/>
    <n v="4000"/>
    <n v="0"/>
    <s v="16.5.3.2."/>
    <s v="budżet państwa (z wyjątkiem GDDKiA)"/>
    <s v="Spotkanie z partnerami Programu PWCyber "/>
    <s v="Program PWCyber stanowi realizacje zadań Ministra Cyfryzacji w zakresie ustawy o krajowym systemie cyberbezpieczeństwa, tj. rekomendowania obszarów współpracy z sektorem prywatnym w celu zwiększenia cyberbezpieczeństwa Rzeczypospolitej Polskiej. Z okazji 5-lecia istnienia programu zaplanowano konferencję merytoryczną z zakresu cyberbezpieczeństwa i współpracy w tym obszarze pomiędzy sektorem prywatnym i publicznym. Spotkanie ma służyć zacieśnianiu współpracy oraz rozwijania wspólnych działań podnoszących poziom cyberbezpieczeństwa RP (mi. szkoleń, certyfikacji, legislacji, czy nowych technologii)._x000a_Kwota obejmuje usługę kompleksowej organizacji w tym m.in. wynajem sali konferencyjnej, wyposażenia technicznego, cateringu, prowadzenia zapisów). _x000a_Podstawa prawna: Rekomendowanie obszarów współpracy - art.45 ust 1 pkt 2 ustawy o krajowym systemie cyberbezpieczeństwa oraz realizacja celu szczegółowego nr 3 Strategii Cyberbezpieczeństwa RP na lata 2019-2024, a także §14 pkt 1 reg. org. MC."/>
    <n v="130"/>
    <n v="130"/>
    <n v="130"/>
    <n v="130"/>
    <n v="130"/>
    <s v="planowane"/>
    <s v="n/d"/>
    <s v="n/d"/>
    <s v="n/d"/>
  </r>
  <r>
    <x v="0"/>
    <x v="7"/>
    <s v="n/d"/>
    <s v="n/d"/>
    <s v="n/d"/>
    <s v="n/d"/>
    <s v="n/d"/>
    <n v="4410"/>
    <n v="0"/>
    <s v="16.5.3.2."/>
    <s v="budżet państwa "/>
    <s v="Delegacje krajowe WSiPP"/>
    <s v="Podróże służbowe krajowe  związane ze współpracą z partnerami Programu PWCyber, udział w konferencjach. _x000a_Podstawa prawna: Regulamin MC, ustawa o KSC (art. 45 i 63)."/>
    <n v="0"/>
    <n v="0"/>
    <n v="0"/>
    <n v="0"/>
    <n v="0"/>
    <s v="planowane"/>
    <s v="n/d"/>
    <s v="n/d"/>
    <s v="n/d"/>
  </r>
  <r>
    <x v="0"/>
    <x v="7"/>
    <s v="n/d"/>
    <s v="n/d"/>
    <s v="n/d"/>
    <s v="n/d"/>
    <s v="n/d"/>
    <n v="4000"/>
    <n v="0"/>
    <s v="16.5.3.2."/>
    <s v="budżet państwa "/>
    <s v="tłumaczenia podczas szkoleń na język migowy"/>
    <s v="tłumaczenia na polski język migowy szkolen z zakresu cyberbezpieczeńtwa prowadzonych przez DC online"/>
    <n v="15"/>
    <n v="0"/>
    <n v="0"/>
    <n v="0"/>
    <n v="0"/>
    <s v="planowane"/>
    <s v="n/d"/>
    <s v="n/d"/>
    <s v="n/d"/>
  </r>
  <r>
    <x v="0"/>
    <x v="7"/>
    <s v="n/d"/>
    <s v="n/d"/>
    <s v="n/d"/>
    <s v="n/d"/>
    <s v="n/d"/>
    <n v="4000"/>
    <n v="0"/>
    <s v="16.5.3.2."/>
    <s v="Budżet państwa"/>
    <s v=" Współtworzenie Europejskiego Kongresu Gospodarczego w Katowicach w obszarze ścieżkimerytorycznej w obszarze cyberbezpieczeństwa"/>
    <s v="Europejski Kongres Gospodarczy jest jedynym z największych kongresów ekonomiczno-gospodarczych w Polsce, stanowiących szerokie, różnorodne i otwarte forum debaty o przyszłości polskiej i europejskiej gospodarki. Wspołtworzenie ścieżki merytorycznej w obszarze cyberbezpieczeństwa w tym prestiżowym wydarzeniu jest podstawą dialogu z  top menedżerami największych globalnych firm, politykow, oraz najwyższej klasy ekspertów, którzy dyskutują o najważniejszych wyzwaniach w perspektywie długofalowej, jakie stoją przed krajem.  Wydarzenie stanowi unikatową platformę spotkań, na której dyskutuje się o najważniejszych wyzwaniach i kierunkach rozwoju państwa na styku działań administracji publicznej i biznesu.  "/>
    <n v="200"/>
    <n v="0"/>
    <n v="0"/>
    <n v="0"/>
    <n v="0"/>
    <s v="planowane"/>
    <s v="n/d"/>
    <s v="n/d"/>
    <s v="n/d"/>
  </r>
  <r>
    <x v="0"/>
    <x v="7"/>
    <s v="n/d"/>
    <s v="n/d"/>
    <s v="n/d"/>
    <s v="n/d"/>
    <s v="n/d"/>
    <n v="4000"/>
    <n v="0"/>
    <s v="16.5.3.2."/>
    <s v="Budżet państwa"/>
    <s v="Forum cyberbezpieczeństwa - w ramach Forum Ekonomicznego w Krapaczu"/>
    <s v="Od 6 lat organizacja cyklicznego Forum Cyberbezpieczeństwa mającego na celu promocję projektów cyfrowych z obszaru cyberbezpieczeństwa realizowanych przez Ministerstwo Cyfryzacji oraz podmioty mu podległe. Tematyka poruszana podczas Forum Cyberbezpieczeństwa służy podniesieniu efektywności działania administracji publicznej i samorządów oraz  prowadzeniu działań informacyjno-promocyjnych polityki cyfrowej z obszaru cyberbezpieczeństwa prowadzonej przez Ministerstwo Cyfryzacji wraz z propagowaniem projektów cyfrowych z tego obszaru wśród samorządów i społeczeństwa. Organizacja forum cyberbezpieczeństwa - w ramach Formu Ekonomicznego w Krapaczu (opłaceniestrefy konferencyjnej,  udział w forum, delegacje, przejazdy zorganizowane, obsługa logistyczna)"/>
    <n v="1600"/>
    <n v="0"/>
    <n v="0"/>
    <n v="0"/>
    <n v="0"/>
    <s v="planowane"/>
    <s v="n/d"/>
    <s v="n/d"/>
    <s v="n/d"/>
  </r>
  <r>
    <x v="0"/>
    <x v="7"/>
    <s v="n/d"/>
    <s v="n/d"/>
    <s v="n/d"/>
    <s v="n/d"/>
    <s v="n/d"/>
    <n v="4000"/>
    <n v="0"/>
    <s v="16.5.3.2."/>
    <s v="Budżet państwa"/>
    <s v="III edycja międzynarodowego szkolenia z cyberbezpieczeństwa dla sektora energetycznego"/>
    <s v="Organizacja III edycji międzynarodowego szkolenia z cyberbezpieczeństwa dla sektora energetycznego planowana w formule Train the trainers, dla reprezentantów karjów UE a także Ukrainy mające na celu budowę wspólnego bezpieczeństwa energetycznego."/>
    <n v="400"/>
    <n v="0"/>
    <n v="0"/>
    <n v="0"/>
    <n v="0"/>
    <s v="planowane"/>
    <s v="n/d"/>
    <s v="n/d"/>
    <s v="n/d"/>
  </r>
  <r>
    <x v="0"/>
    <x v="7"/>
    <s v="n/d"/>
    <s v="n/d"/>
    <s v="n/d"/>
    <s v="n/d"/>
    <s v="n/d"/>
    <n v="4410"/>
    <n v="0"/>
    <s v="16.5.3.2."/>
    <s v="Budżet państwa"/>
    <s v="Delegacje krajowe"/>
    <s v="1. Podróże słuzbowe krajowe w obszarze bezpieczeństwa cyberprzestrzeni, Regulamin MC, regulamin DC, ustawa o ksc_x000a_2. Podróże krajowe zwiazane z pełnieniem roli organu właściwego dla dostawców usług cyfrowych (art. 41 pkt. 10 ustawy o krajowym systemie cyberbezpieczeństwa)_x000a_3. Podróżekrajowe zwiazane z pełnieniem roli organu właściwego dla sektora  infrastruktura cyfrowa w tym udział w szkoleniach, konferencjach międzynarodowych, współpraca z Komisją Europejską (art. 41 pkt. 8 ustawy o krajowym systemie cyberbezpieczeństwa)_x000a_4. Podróżekrajowe zwiazane z pełnieniem roli Pojedynczego Punktu Kontaktowego, w tym m.in.. Reprezentowanie Polski w Grupie Współpracy, CyCLONe, w Komisji Europejskiej, w grupach roboczych Rady UE (art. 48-50 ustawy o krajowym systemie cyberbezpieczeństwa)_x000a_5. Udział w spotkaniach grup roboczych i eksperckich Komisji Europejskiej (European Cybersecurity Certification Group, ECCG sub group on scheme governance and maintenance, Expert Group for Safer Internet for Children) _x000a__x000a_"/>
    <n v="0"/>
    <n v="0"/>
    <n v="0"/>
    <n v="0"/>
    <n v="0"/>
    <s v="planowane"/>
    <s v="n/d"/>
    <s v="n/d"/>
    <s v="n/d"/>
  </r>
  <r>
    <x v="0"/>
    <x v="7"/>
    <s v="n/d"/>
    <s v="n/d"/>
    <s v="n/d"/>
    <s v="n/d"/>
    <s v="n/d"/>
    <n v="4420"/>
    <n v="0"/>
    <s v="16.5.3.2."/>
    <s v="Budżet państwa"/>
    <s v="Delegacje zagraniczne"/>
    <s v="1. Podróże słuzbowe zagraniczne obszarze bezpieczeństwa cyberprzestrzeni, Regulamin MC, regulamin DC, ustawa o ksc_x000a_2. Podróże  zwiazane z pełnieniem roli organu właściwego dla dostawców usług cyfrowych (art. 41 pkt. 10 ustawy o krajowym systemie cyberbezpieczeństwa)_x000a_3. Podróże zagraniczne zwiazane z pełnieniem roli organu właściwego dla sektora  infrastruktura cyfrowa w tym udział w szkoleniach, konferencjach międzynarodowych, współpraca z Komisją Europejską (art. 41 pkt. 8 ustawy o krajowym systemie cyberbezpieczeństwa)_x000a_4. Podróże zagraniczne zwiazane z pełnieniem roli Pojedynczego Punktu Kontaktowego, w tym m.in.. Reprezentowanie Polski w Grupie Współpracy, CyCLONe, w Komisji Europejskiej, w grupach roboczych Rady UE (art. 48-50 ustawy o krajowym systemie cyberbezpieczeństwa)_x000a_5. Udział w spotkaniach grup roboczych i eksperckich Komisji Europejskiej (European Cybersecurity Certification Group, ECCG sub group on scheme governance and maintenance, Expert Group for Safer Internet for Children) _x000a__x000a_"/>
    <n v="0"/>
    <n v="0"/>
    <n v="0"/>
    <n v="0"/>
    <n v="0"/>
    <s v="planowane"/>
    <s v="n/d"/>
    <s v="n/d"/>
    <s v="n/d"/>
  </r>
  <r>
    <x v="0"/>
    <x v="7"/>
    <s v="n/d"/>
    <s v="n/d"/>
    <s v="n/d"/>
    <s v="n/d"/>
    <s v="n/d"/>
    <n v="4000"/>
    <n v="0"/>
    <s v="16.5.3.2."/>
    <s v="Budżet państwa"/>
    <s v="Tłumaczenia pisemne i ustne"/>
    <s v="Realizacja działań międzynarodowych zgodnie ze Regulaminem DC."/>
    <n v="20"/>
    <n v="0"/>
    <n v="0"/>
    <n v="0"/>
    <n v="0"/>
    <s v="planowane"/>
    <s v="n/d"/>
    <s v="n/d"/>
    <s v="n/d"/>
  </r>
  <r>
    <x v="0"/>
    <x v="7"/>
    <s v="n/d"/>
    <s v="n/d"/>
    <s v="n/d"/>
    <s v="n/d"/>
    <s v="n/d"/>
    <n v="4000"/>
    <n v="0"/>
    <s v="16.5.3.2."/>
    <s v="Budżet państwa"/>
    <s v="Działania DC związane z Prezydencją niekwalifikowane do budżetu Prezydencji (z KPRM)- obsługa spotkań z udziałem delegacji państw członków UE"/>
    <s v="Konferencje, koszty przyjęcia delegacji zagranicznych w celu omówienia działań i proprytetów podejmowanych przez PL Prezydencję.  Organizacja spotkań koordynujących"/>
    <n v="1000"/>
    <n v="0"/>
    <n v="0"/>
    <n v="0"/>
    <n v="0"/>
    <s v="planowane"/>
    <s v="n/d"/>
    <s v="n/d"/>
    <s v="n/d"/>
  </r>
  <r>
    <x v="0"/>
    <x v="7"/>
    <s v="n/d"/>
    <s v="n/d"/>
    <s v="n/d"/>
    <s v="n/d"/>
    <s v="n/d"/>
    <n v="4000"/>
    <n v="0"/>
    <s v="16.5.3.2."/>
    <s v="Budżet państwa"/>
    <s v="Organizacja spotkania członkow Tallin Mechanism"/>
    <s v="Minister Cyfryzacji zarządzeniem NR Z-1/2023 powołał do funkcjonowania Zespół do spraw wsparcia merytoryczno-organizacyjnego dla grupy państw sojuszniczych w ramach NATO wspierających Ukrainę w obszarze cyberbezpieczeństwa w związku ze zbrojną napaścią Federacji Rosyjskiej_x000a_Na podstawie ww. zarządzenia oraz MISSION STATEMENT wszystkich Państw Mechanizmu, Polska pełni rolę Back Office, realizując komunikację dotyczącą zapotrzebowania strony Ukraińskiej i przekazywanie tych informacji do pozostałych członków inicjatywy."/>
    <n v="250"/>
    <n v="0"/>
    <n v="0"/>
    <n v="0"/>
    <n v="0"/>
    <s v="planowane"/>
    <s v="n/d"/>
    <s v="n/d"/>
    <s v="n/d"/>
  </r>
  <r>
    <x v="0"/>
    <x v="7"/>
    <s v="n/d"/>
    <s v="n/d"/>
    <s v="n/d"/>
    <s v="n/d"/>
    <s v="n/d"/>
    <n v="4170"/>
    <n v="0"/>
    <s v="16.5.3.1."/>
    <s v="Budżet państwa"/>
    <s v="Umowa body leasingu"/>
    <s v="Body leasing osoby, która będzie odpowiadac i ordynowac współpracę pomiędzy członkami Tallin Mechanism-Ukrainą-back office w kwestii koordynacji zapotrzebowań strony Ukraińskiej w zakresie odbudowy i utrzymania wzajemnego cyberbezpieczeńśtwa."/>
    <n v="135"/>
    <n v="0"/>
    <n v="0"/>
    <n v="0"/>
    <n v="0"/>
    <s v="planowane"/>
    <s v="n/d"/>
    <s v="n/d"/>
    <s v="n/d"/>
  </r>
  <r>
    <x v="0"/>
    <x v="7"/>
    <s v="n/d"/>
    <s v="n/d"/>
    <s v="n/d"/>
    <s v="n/d"/>
    <s v="n/d"/>
    <n v="4410"/>
    <n v="0"/>
    <s v="22.1.1.1."/>
    <s v="budżet państwa (z wyjątkiem GDDKiA)"/>
    <s v="ZOIN- delegacje krajowe"/>
    <s v="ZOIN cykliczne, zgodnie z dokumentacjami bezpieczeństwa, audyty kontrolne i audyty bezpieczeństwa"/>
    <n v="0"/>
    <n v="0"/>
    <n v="0"/>
    <n v="0"/>
    <n v="0"/>
    <s v="planowane"/>
    <s v="n/d"/>
    <s v="n/d"/>
    <s v="n/d"/>
  </r>
  <r>
    <x v="0"/>
    <x v="7"/>
    <s v="n/d"/>
    <s v="n/d"/>
    <s v="n/d"/>
    <s v="n/d"/>
    <s v="n/d"/>
    <n v="4000"/>
    <n v="0"/>
    <s v="22.1.1.1."/>
    <s v="budżet państwa (z wyjątkiem GDDKiA)"/>
    <s v="ZOIN - zakup sprzętu i materiałów eksploaracyjnych"/>
    <s v="Wydatki na sprzęt, w tym: Zakup biurowego sprzętu informatycznego (przykładowo: laptopy, monitory, telefony VoIP, smartfony, tablety i akcesoria i materiały eksploatacyjne do nich, drukarki)"/>
    <n v="30"/>
    <n v="0"/>
    <n v="0"/>
    <n v="0"/>
    <n v="0"/>
    <s v="planowane"/>
    <s v="n/d"/>
    <s v="n/d"/>
    <s v="n/d"/>
  </r>
  <r>
    <x v="0"/>
    <x v="7"/>
    <s v="n/d"/>
    <s v="n/d"/>
    <s v="n/d"/>
    <s v="n/d"/>
    <s v="n/d"/>
    <n v="6060"/>
    <n v="0"/>
    <s v="22.1.1.1."/>
    <s v="budżet państwa (z wyjątkiem GDDKiA)"/>
    <s v="zakup sprzętu na potrzeby zespołu informacji niejawnych"/>
    <s v="zakup sprzętu na potrzeby zespołu informacji niejawnych (m.in. Laptopy)"/>
    <n v="70"/>
    <n v="0"/>
    <n v="0"/>
    <n v="0"/>
    <n v="0"/>
    <s v="planowane"/>
    <s v="n/d"/>
    <s v="n/d"/>
    <s v="n/d"/>
  </r>
  <r>
    <x v="0"/>
    <x v="7"/>
    <s v="n/d"/>
    <s v="n/d"/>
    <s v="n/d"/>
    <s v="n/d"/>
    <s v="n/d"/>
    <n v="4420"/>
    <n v="0"/>
    <s v="16.5.3.2."/>
    <s v="Budżet państwa"/>
    <s v="Delegacje zagraniczne. NATO"/>
    <s v="Podstawa prawna: art. 11 ust. 2 punkt 6 ustawy z dnia 26 kwietnia 2007 r. o zarządzaniu kryzysowym (t.j. Dz.U. z 2023 r. poz. 122). W ramach zobowiązań sojuszniczych udział przedstawiciela PL w spotkaniach Grupy Roboczej NATO ds. Łączności Cywilnej jest konieczny ze względu na potrzebę wymiany doświadczeń i udziału w procesie kształtowania odporności cywilnej NATO. "/>
    <n v="0"/>
    <n v="0"/>
    <n v="0"/>
    <n v="0"/>
    <n v="0"/>
    <s v="planowane"/>
    <s v="n/d"/>
    <s v="n/d"/>
    <s v="n/d"/>
  </r>
  <r>
    <x v="0"/>
    <x v="7"/>
    <s v="n/d"/>
    <s v="n/d"/>
    <s v="n/d"/>
    <s v="n/d"/>
    <s v="n/d"/>
    <n v="4420"/>
    <n v="0"/>
    <s v="16.5.3.3."/>
    <s v="Budżet państwa"/>
    <s v="Delegacje zagraniczne. Zarządzanie kryzysowe"/>
    <s v="Podstawa prawna: art. 11 ust. 2 punkt 6 ustawy z dnia 26 kwietnia 2007 r. o zarządzaniu kryzysowym (t.j. Dz. U. z 2023 r. poz. 122). Udział przedstawiciela PL w spotkaniach międzynarodowych dotyczących zarządzania kryzysowego i ochrony infrastruktury krytycznej jest konieczny ze względu na potrzebę wymiany doświadczeń w zakresie ewolucji współczesnych zagrożeń, wpływu zagrożeń w cyberprzestrzeni na reagowanie kryzysowe oraz wzrastających międzynarodowych współzależności infrastruktury krytycznej.       "/>
    <n v="0"/>
    <n v="0"/>
    <n v="0"/>
    <n v="0"/>
    <n v="0"/>
    <s v="planowane"/>
    <s v="n/d"/>
    <s v="n/d"/>
    <s v="n/d"/>
  </r>
  <r>
    <x v="0"/>
    <x v="7"/>
    <s v="n/d"/>
    <s v="n/d"/>
    <s v="n/d"/>
    <s v="n/d"/>
    <s v="n/d"/>
    <n v="4410"/>
    <n v="0"/>
    <s v="16.5.3.2."/>
    <s v="Budżet państwa"/>
    <s v="Delegacje krajowe"/>
    <s v="Realizacja zadań nadzorczych wobec podmiotów kluczowych i ważnych, w tym przeprowadzanie kontroli._x000a_Podstawa prawna: Regulamin MC, ustawa z dnia 5 lipca 2018 r. o krajowym systemie cyberbezpieczeństwa (t. j. Dz. U. z 2023 r. poz. 913 ze zm.)"/>
    <n v="0"/>
    <n v="0"/>
    <n v="0"/>
    <n v="0"/>
    <n v="0"/>
    <s v="planowane"/>
    <s v="n/d"/>
    <s v="n/d"/>
    <s v="n/d"/>
  </r>
  <r>
    <x v="0"/>
    <x v="7"/>
    <s v="n/d"/>
    <s v="n/d"/>
    <s v="n/d"/>
    <s v="n/d"/>
    <s v="n/d"/>
    <n v="4000"/>
    <n v="0"/>
    <s v="16.5.3.2."/>
    <s v="budżet państwa "/>
    <s v="Zakup usługi przygotowania szkolenia e-learningowego z cyberhigieny. "/>
    <s v="Podnoszenie świadomości pracowników MC z zakresu cyberbezpieczeństwa. _x000a_Podstawa prawna: art. 45 ust. 1 pkt 4 ustawy o krajowym systemie cyberbezpieczeństwa"/>
    <n v="60"/>
    <n v="0"/>
    <n v="0"/>
    <n v="0"/>
    <n v="0"/>
    <s v="planowane"/>
    <s v="n/d"/>
    <s v="n/d"/>
    <s v="n/d"/>
  </r>
  <r>
    <x v="0"/>
    <x v="7"/>
    <s v="n/d"/>
    <s v="n/d"/>
    <s v="n/d"/>
    <s v="n/d"/>
    <s v="n/d"/>
    <n v="4000"/>
    <n v="0"/>
    <s v="16.5.3.2."/>
    <s v="budżet państwa "/>
    <s v="Zakup systemu klasy XDR do wykrywania zagrożeń, analizy i reagowania na zdarzenia (sunskrypcja - koszt roczny ok. 500 zł /sztukę)"/>
    <s v="Podnoszenie świadomości z zakresu cyberbezpieczeństwa._x000a_Głównym celem wskaznym w &quot;Strategii Cyberbezpieczeństwa RP na lata 2019-2024&quot; jest podniesienie poziomu odporności na cyberzagrożenia oraz zwiększenie poziomu ochrony informacji w sektorze publicznym, (...) oraz promowanie wiedzy i dobrych praktyk umożliwiających obywatelom lepszą ochronę ich informacji. Jednym z celów szczegółowych Strategii jest budowanie świadomości i kompetencji społecznych w zakresie cyberbezpieczeństwa - zwiększanie kompetencji kadry podmiotów istotnych dla cyberbezpieczeństwa RP._x000a_Dodatkowo, zgodnie z ustawą o krajowym systemie cyberbezpieczeństwa, podmioty realizujące zadania publiczne zobowiązane są do zapewnienia zarządzania incydentami."/>
    <n v="310"/>
    <n v="0"/>
    <n v="0"/>
    <n v="0"/>
    <n v="0"/>
    <s v="planowane"/>
    <s v="n/d"/>
    <s v="n/d"/>
    <s v="n/d"/>
  </r>
  <r>
    <x v="0"/>
    <x v="7"/>
    <s v="n/d"/>
    <s v="n/d"/>
    <s v="n/d"/>
    <s v="n/d"/>
    <s v="n/d"/>
    <n v="2830"/>
    <n v="0"/>
    <s v="16.5.3.4."/>
    <s v="podmioty pozostałe (z wyjątkiem PKP PLK S.A.)"/>
    <s v="Realizowanie zadań Uczestnika oraz akredytowanej Jednostki Certyfikującej spełniającej wymagania"/>
    <s v="Podstawą do udzielenia dotacji celowej jest art. 21 ust. 6 w zw. z art. 22 pkt 2 lit. a) ustawy z dnia 30 kwietnia 2010 r. o instytutach badawczych (Dz.U. z 2022 r. poz. 498). W związku z powierzeniem przez Ministra Cyfryzacji Naukowej i Akademickiej Sieci Komputerowej – Państwowemu Instytutowi Badawczemu pełnienia roli Jednostki Certyfikującej (pismo z 30.03.2022 r. nr DC.WRCiS.1106.7.2022) oraz pismem Ministra Cyfryzacji potwierdzającym wykonywanie przez Instytut zadań uczestnika umowy SOG-IS oraz porozumienia CCRA, NASK-PIB będzie realizował zadania na poziomie operacyjnym polegające na: a) wykonywaniu w imieniu Rządu RP zadań Uczestnika w ramach Umowy o wzajemnym uznawaniu certyfikatów oceny bezpieczeństwa teleinformatycznego oraz w ramach Porozumienia o sprawie uznawania Certyfikatów Common Criteria w dziedzinie bezpieczeństwa teleinformatycznego; b) wykonywaniu zadań Jednostki Certyfikującej spełniającej wymagania, odpowiedzialnej za zarządzanie Programem Oceny i Certyfikacji Bezpieczeństwa IT oraz za autoryzację laboratoriów badawczych w zakresie spełniania i przestrzegania przez te jednostki przyjętych kryteriów i metod oceny produktów teleinformatycznych w Programie Oceny i Certyfikacji Bezpieczeństwa IT. Planowane kategorie wydatków: 1. Wynagrodzenia osobowe; 2. Usługi obce; 3. Materiały; 4. Inne. "/>
    <n v="2962"/>
    <n v="2962"/>
    <n v="2962"/>
    <n v="2962"/>
    <n v="0"/>
    <s v="dokumenty w trakcie akceptacji "/>
    <s v="n/d"/>
    <s v="n/d"/>
    <s v="n/d"/>
  </r>
  <r>
    <x v="0"/>
    <x v="7"/>
    <s v="n/d"/>
    <s v="n/d"/>
    <s v="n/d"/>
    <s v="n/d"/>
    <s v="n/d"/>
    <n v="4190"/>
    <n v="0"/>
    <s v="16.5.3.2."/>
    <s v="budżet państwa "/>
    <s v="Zakup biletów lotniczych, w liczbie do 7 sztuk - nagroda dla zwycięskiej drużyny dziewcząt w wieku 13-16 lat z opiekunem/nauczycielem  reprezentującej Polskę na wydarzeniu CyberWizards Summer Camp realziowany przez NCC-EE"/>
    <s v="Promowane działania mieszczą się w zakresie działu administracji rządowej „informatyzacja” oraz obszarze działań Ministra Cyfryzacji wynikającym z ustawy o krajowym systemie cyberbezpieczeństwa. Wydatek w postaci ufundowania biletów lotniczych spełnia rygory ustanowione w art. 44 Ustawy o finansach publicznych."/>
    <n v="35"/>
    <n v="0"/>
    <n v="0"/>
    <n v="0"/>
    <n v="0"/>
    <s v="n/d"/>
    <s v="n/d"/>
    <s v="n/d"/>
    <s v="n/d"/>
  </r>
  <r>
    <x v="0"/>
    <x v="7"/>
    <s v="n/d"/>
    <s v="n/d"/>
    <s v="n/d"/>
    <s v="n/d"/>
    <s v="n/d"/>
    <n v="2830"/>
    <n v="0"/>
    <s v="16.5.3.4."/>
    <s v="podmioty pozostałe (z wyjątkiem PKP PLK S.A.)"/>
    <s v="Przygotowanie Laboratorium Oceny Bezpieczeństwa Produktów Teleinformatycznych w IŁ_x0002_PIB do przejścia z powodzeniem procesu autoryzacji dla celów EUCC"/>
    <s v="art. 22 pkt 2, art. 37 ust. 1 pkt 1 oraz art.2 ust. 2 pkt 4 z ustawy o instytutach badawczych mówiący o tym, że do instytut może prowadzić działalność normalizacyjną, certyfikacyjną i aprobacyjną"/>
    <n v="1540"/>
    <n v="0"/>
    <n v="0"/>
    <n v="0"/>
    <n v="0"/>
    <s v="dokumenty w trakcie przygotowania"/>
    <s v="n/d"/>
    <s v="n/d"/>
    <s v="n/d"/>
  </r>
  <r>
    <x v="0"/>
    <x v="7"/>
    <s v="n/d"/>
    <s v="n/d"/>
    <s v="n/d"/>
    <s v="n/d"/>
    <s v="n/d"/>
    <n v="6230"/>
    <n v="0"/>
    <s v="16.5.3.4."/>
    <s v="podmioty pozostałe (z wyjątkiem PKP PLK S.A.)"/>
    <s v="Przygotowanie  Laboratorium Oceny Bezpieczeństwa Produktów Teleinformatycznych w IŁ_x0002_PIB do przejścia z powodzeniem procesu autoryzacji dla celów EUCC"/>
    <s v="art. 22 pkt 2, art. 37 ust. 1 pkt 1 oraz art.2 ust. 2 pkt 4 z ustawy o instytutach badawczych mówiący o tym, że do instytut może prowadzić działalność normalizacyjną, certyfikacyjną i aprobacyjną"/>
    <n v="60"/>
    <n v="0"/>
    <n v="0"/>
    <n v="0"/>
    <n v="0"/>
    <s v="dokumenty w trakcie przygotowania"/>
    <s v="n/d"/>
    <s v="n/d"/>
    <s v="n/d"/>
  </r>
  <r>
    <x v="0"/>
    <x v="7"/>
    <s v="n/d"/>
    <s v="n/d"/>
    <s v="n/d"/>
    <s v="n/d"/>
    <n v="2025"/>
    <n v="4000"/>
    <n v="0"/>
    <s v="16.5.3.2."/>
    <s v="budżet państwa "/>
    <s v="Organizacja spotkań Rady Zarządzającej ECCC, Rady Zarządzającej ENISY i sieci krajowych ośrodków koordynacji NCC's network "/>
    <s v="EuropejskieCentrum Kompetencji Przemysłowych, Technologicznych i Badawczych w dziedzinie Cyberbezpieczeństwa (ECCC) oraz sieć krajowych ośrodków koordynacji (NCC's network) zostało ustanowione na podstawie art. 6 ust. 5 Rozporządzenia Parlamentu Europejskiego i Rady (UE) 2021/887 z dnia 20 maja 2021 r. W oparciu o te przepisy, w Departamencie Cyberbezpieczeństwa w 2022 r.utworzono Krajowe Centrum Kompetencji Cyberbezpieczeństwa, pełniące funkcję krajowego ośrodka koordynacji.  Tym samym NCC-PL jest częścią europejskiej sieci krajowych ośrodków koordynacji i współdziałających z ECCC. Mając na uwadze rangę podejmowanych działań w zakresie cyberbezpieczeństwa przez Polskę, w szczególności w trakcie polskiej Prezydencji w Radzie UE, zdecydowano o zaproszeniu Rady Zarządzajacej ECCC i  Agencji Unii Europesjkiej do spraw Cyberbezpieczeństwa (ENISA) wraz z przedstawicielami krajowych ośrodków koordynacji Państw Członkowskich UE celem wypracowania wspólnych obszarów działań i uspójnienia ich zakresu, co będzie miało pozytywne przełożenie na realizowane przez Polskę priorytety w trakcie Prezydencji. "/>
    <n v="210"/>
    <n v="0"/>
    <n v="0"/>
    <n v="0"/>
    <n v="0"/>
    <s v="nie dotyczy"/>
    <s v="n/d"/>
    <s v="n/d"/>
    <s v="n/d"/>
  </r>
  <r>
    <x v="0"/>
    <x v="7"/>
    <s v="n/d"/>
    <s v="n/d"/>
    <s v="n/d"/>
    <s v="n/d"/>
    <s v="2022-2024"/>
    <n v="2830"/>
    <n v="0"/>
    <s v="16.5.3.2."/>
    <s v="podmioty pozostałe (z wyjątkiem PKP PLK S.A.)"/>
    <s v="Dotacja celowa dla NASK-PIB na zapewnienie usługi chmurowej ochrony przed atakami DDoS – Distributed Denial of_x000a_Service dla podmiotów realizujących zadania publiczne oraz podmiotów istotnych z punktu widzenia bezpieczeństwa RP"/>
    <s v="Podstawą do udzielenia dotacji celowej jest art. 37 ust. 1 ustawy z dnia 30 kwietnia 2010 r. o instytutach badawczych, zgodnie z którym minister nadzorujący może nałożyć na instytut obowiązek wprowadzenia do jego planu zadania lub wyznaczyć zadanie poza planem, zgodnie z zakresem działania określonym w statucie instytutu, jeżeli jest to niezbędne ze względu na potrzeby obronności i bezpieczeństwa publicznego, w przypadku stanu klęski żywiołowej lub w celu wykonania zobowiązań międzynarodowych.Jak stanowi art. 37 ust. 2 ustawy o instytutach badawczych, w przypadku nałożenia lub wyznaczenia zadania, minister nadzorujący zapewnia instytutowi środki do wykonania zadania, chyba że wykonanie zadania następuje odpłatnie na podstawie umowy ze stroną finansującą wykonanie zadania. Na podstawie § 1 ust. 3 rozporządzenia Rady Ministrów z dnia 7 czerwca 2017 r. w sprawie nadania Naukowej i Akademickiej Sieci Komputerowej statusu Państwowego Instytutu Badawczego6, nadzór nad NASK-PIB sprawuje minister właściwy do spraw informatyzacji. Celem wydatku jest zapewnienie na możliwie najwyższym poziomie ochrony przed atakami DDoS – Distributed Denial of Service dla podmiotów realizujących zadania publiczne.Kwota 2.581.875,00 (par. 2830) wynika z zawartej z NASK -PIB umowty na rok 2022-2024. Pozostała kwota jest planem na rok 2024 - 2025 - koniecznośc zawarcia nowej umowy dotacji w zakresie ochrony przed atakami DDoS."/>
    <n v="7330"/>
    <n v="8416"/>
    <n v="10024"/>
    <n v="11785"/>
    <n v="0"/>
    <s v="Realizacja zawartej umowy"/>
    <s v="n/d"/>
    <s v="70/DC/D/2022"/>
    <s v="NASK-PIB"/>
  </r>
  <r>
    <x v="0"/>
    <x v="7"/>
    <s v="n/d"/>
    <s v="n/d"/>
    <s v="n/d"/>
    <s v="n/d"/>
    <s v="n/d"/>
    <n v="4020"/>
    <n v="0"/>
    <s v="16.5.3.1."/>
    <s v="budżet państwa "/>
    <s v="Wynagrodzenie dla pracowników wydziału krajowego systemu certyfikacji cyberbezpieczeństwa - członków korpusu służby cywilnej"/>
    <s v="Należy podkreślić, że wydatki związane z utworzeniem krajowego systemu certyfikacji cyberbezpieczeństwa są niezbędne do wykonania Rozporządzenia Parlamentu Europejskiego i Rady (UE) 2019/881 z dnia 17 kwietnia 2019 r. w sprawie ENISA (Agencji Unii Europejskiej ds. Cyberbezpieczeństwa) oraz certyfikacji cyberbezpieczeństwa w zakresie technologii informacyjno-komunikacyjnych oraz uchylenia rozporządzenia (UE) nr 526/2013. Aby zapewnić zgodność z tym aktem prawnym niezbędne jest utworzenie krajowego organu ds. certyfikacji cyberbezpieczeństwa co oznacza również konieczność zapewnienia środków na jego działalność. Z tego względu wskazane wydatki pozostają aktualne. "/>
    <n v="0"/>
    <n v="0"/>
    <n v="0"/>
    <n v="0"/>
    <n v="0"/>
    <s v="planowane"/>
    <s v="n/d"/>
    <s v="n/d"/>
    <s v="n/d"/>
  </r>
  <r>
    <x v="0"/>
    <x v="7"/>
    <s v="n/d"/>
    <s v="n/d"/>
    <s v="n/d"/>
    <s v="n/d"/>
    <s v="n/d"/>
    <n v="4110"/>
    <n v="0"/>
    <s v="16.5.3.1."/>
    <s v="budżet państwa "/>
    <s v="Składka na FS/FP dla pracownika prowadzącego postępowanie w sprawie uznania za dostawcę wysokiego ryzyka - członka korpusu służby cywilnej"/>
    <s v="Planowane wydatki dotyczą zadań zawartych w nowelizacji ustawy o krajowym systemie cyberbezpieczeństwa. Nowelizacja ta wdrażała część przepisów unijnych. Przewidywała także procedurę identyfikacji dostawców wysokiego ryzyka, co wprost wynika z dokumentów unijnych. W 2024 r. Polska jest zobligowana do wdrożenia dyrektywy NIS2. W związku z tym konieczne będzie poniesienie nowych wydatków na nowe zadania, które w pokrywały się z tymi, które przewidywała nowelizacja ustawy o krajowym systemie cyberbezpieczeństwa. Nowelizacja przewidywała także środki na utworzenie CSIRT sektorowych - utworzenie tych zespołów jest kamieniem milowym KPO, dlatego zasadne jest także utrzymanie tych wydatków."/>
    <n v="0"/>
    <n v="0"/>
    <n v="0"/>
    <n v="0"/>
    <n v="0"/>
    <s v="planowane"/>
    <s v="n/d"/>
    <s v="n/d"/>
    <s v="n/d"/>
  </r>
  <r>
    <x v="0"/>
    <x v="7"/>
    <s v="n/d"/>
    <s v="n/d"/>
    <s v="n/d"/>
    <s v="n/d"/>
    <s v="n/d"/>
    <n v="4110"/>
    <n v="0"/>
    <s v="16.5.3.1."/>
    <s v="budżet państwa "/>
    <s v="Składka na FS/FP dla pracowników wydziału krajowego systemu certyfikacji cyberbezpieczeństwa - członków korpusu służby cywilnej"/>
    <s v="Należy podkreślić, że wydatki związane z utworzeniem krajowego systemu certyfikacji cyberbezpieczeństwa są niezbędne do wykonania Rozporządzenia Parlamentu Europejskiego i Rady (UE) 2019/881 z dnia 17 kwietnia 2019 r. w sprawie ENISA (Agencji Unii Europejskiej ds. Cyberbezpieczeństwa) oraz certyfikacji cyberbezpieczeństwa w zakresie technologii informacyjno-komunikacyjnych oraz uchylenia rozporządzenia (UE) nr 526/2013. Aby zapewnić zgodność z tym aktem prawnym niezbędne jest utworzenie krajowego organu ds. certyfikacji cyberbezpieczeństwa co oznacza również konieczność zapewnienia środków na jego działalność. Z tego względu wskazane wydatki pozostają aktualne. "/>
    <n v="0"/>
    <n v="0"/>
    <n v="0"/>
    <n v="0"/>
    <n v="0"/>
    <s v="planowane"/>
    <s v="n/d"/>
    <s v="n/d"/>
    <s v="n/d"/>
  </r>
  <r>
    <x v="0"/>
    <x v="7"/>
    <s v="n/d"/>
    <s v="n/d"/>
    <s v="n/d"/>
    <s v="n/d"/>
    <s v="n/d"/>
    <n v="4120"/>
    <n v="0"/>
    <s v="16.5.3.1."/>
    <s v="budżet państwa "/>
    <s v="Składki na ubezpieczenia emerytalne, rentowe, wypadkowe dla pracowników wydziału krajowego systemu certyfikacji cyberbezpieczeństwa - członków korpusu służby cywilnej"/>
    <s v="Należy podkreślić, że wydatki związane z utworzeniem krajowego systemu certyfikacji cyberbezpieczeństwa są niezbędne do wykonania Rozporządzenia Parlamentu Europejskiego i Rady (UE) 2019/881 z dnia 17 kwietnia 2019 r. w sprawie ENISA (Agencji Unii Europejskiej ds. Cyberbezpieczeństwa) oraz certyfikacji cyberbezpieczeństwa w zakresie technologii informacyjno-komunikacyjnych oraz uchylenia rozporządzenia (UE) nr 526/2013. Aby zapewnić zgodność z tym aktem prawnym niezbędne jest utworzenie krajowego organu ds. certyfikacji cyberbezpieczeństwa co oznacza również konieczność zapewnienia środków na jego działalność. Z tego względu wskazane wydatki pozostają aktualne. "/>
    <n v="0"/>
    <n v="0"/>
    <n v="0"/>
    <n v="0"/>
    <n v="0"/>
    <s v="planowane"/>
    <s v="n/d"/>
    <s v="n/d"/>
    <s v="n/d"/>
  </r>
  <r>
    <x v="0"/>
    <x v="7"/>
    <s v="n/d"/>
    <s v="n/d"/>
    <s v="n/d"/>
    <s v="n/d"/>
    <s v="n/d"/>
    <n v="4170"/>
    <n v="0"/>
    <s v="16.5.3.3."/>
    <s v="budżet państwa "/>
    <s v="Koszty umów zlecenia bądź umów o dzieło z ekspertami dotyczących przygotowania projektów, dokumentacji, ekspertyz i analiz krajowych programów certyfikacji cyberbezpieczeństwa"/>
    <s v="Należy podkreślić, że wydatki związane z utworzeniem krajowego systemu certyfikacji cyberbezpieczeństwa są niezbędne do wykonania Rozporządzenia Parlamentu Europejskiego i Rady (UE) 2019/881 z dnia 17 kwietnia 2019 r. w sprawie ENISA (Agencji Unii Europejskiej ds. Cyberbezpieczeństwa) oraz certyfikacji cyberbezpieczeństwa w zakresie technologii informacyjno-komunikacyjnych oraz uchylenia rozporządzenia (UE) nr 526/2013. Aby zapewnić zgodność z tym aktem prawnym niezbędne jest utworzenie krajowego organu ds. certyfikacji cyberbezpieczeństwa co oznacza również konieczność zapewnienia środków na jego działalność. Z tego względu wskazane wydatki pozostają aktualne. "/>
    <n v="315"/>
    <n v="315"/>
    <n v="315"/>
    <n v="315"/>
    <n v="315"/>
    <s v="planowane"/>
    <s v="n/d"/>
    <s v="n/d"/>
    <s v="n/d"/>
  </r>
  <r>
    <x v="0"/>
    <x v="7"/>
    <s v="n/d"/>
    <s v="n/d"/>
    <s v="n/d"/>
    <s v="n/d"/>
    <s v="n/d"/>
    <n v="4000"/>
    <n v="0"/>
    <s v="16.5.3.1."/>
    <s v="budżet państwa "/>
    <s v="Koszty organizacji stanowiska pracy dla pracowników wydziału krajowego systemu certyfikacji cyberbezpieczeństwa"/>
    <s v="Należy podkreślić, że wydatki związane z utworzeniem krajowego systemu certyfikacji cyberbezpieczeństwa są niezbędne do wykonania Rozporządzenia Parlamentu Europejskiego i Rady (UE) 2019/881 z dnia 17 kwietnia 2019 r. w sprawie ENISA (Agencji Unii Europejskiej ds. Cyberbezpieczeństwa) oraz certyfikacji cyberbezpieczeństwa w zakresie technologii informacyjno-komunikacyjnych oraz uchylenia rozporządzenia (UE) nr 526/2013. Aby zapewnić zgodność z tym aktem prawnym niezbędne jest utworzenie krajowego organu ds. certyfikacji cyberbezpieczeństwa co oznacza również konieczność zapewnienia środków na jego działalność. Z tego względu wskazane wydatki pozostają aktualne. "/>
    <n v="27"/>
    <n v="0"/>
    <n v="0"/>
    <n v="0"/>
    <n v="0"/>
    <s v="planowane"/>
    <s v="n/d"/>
    <s v="n/d"/>
    <s v="n/d"/>
  </r>
  <r>
    <x v="0"/>
    <x v="7"/>
    <s v="n/d"/>
    <s v="n/d"/>
    <s v="n/d"/>
    <s v="n/d"/>
    <s v="n/d"/>
    <n v="4710"/>
    <n v="0"/>
    <s v="16.5.3.1."/>
    <s v="budżet państwa "/>
    <s v="Składka na PPK dla pracowników wydziału krajowego systemu certyfikacji cyberbezpieczeństwa - członków korpusu służby cywilnej"/>
    <s v="Należy podkreślić, że wydatki związane z utworzeniem krajowego systemu certyfikacji cyberbezpieczeństwa są niezbędne do wykonania Rozporządzenia Parlamentu Europejskiego i Rady (UE) 2019/881 z dnia 17 kwietnia 2019 r. w sprawie ENISA (Agencji Unii Europejskiej ds. Cyberbezpieczeństwa) oraz certyfikacji cyberbezpieczeństwa w zakresie technologii informacyjno-komunikacyjnych oraz uchylenia rozporządzenia (UE) nr 526/2013. Aby zapewnić zgodność z tym aktem prawnym niezbędne jest utworzenie krajowego organu ds. certyfikacji cyberbezpieczeństwa co oznacza również konieczność zapewnienia środków na jego działalność. Z tego względu wskazane wydatki pozostają aktualne. "/>
    <n v="6"/>
    <n v="6"/>
    <n v="6"/>
    <n v="6"/>
    <n v="6"/>
    <s v="planowane"/>
    <s v="n/d"/>
    <s v="n/d"/>
    <s v="n/d"/>
  </r>
  <r>
    <x v="0"/>
    <x v="7"/>
    <s v="n/d"/>
    <s v="n/d"/>
    <s v="n/d"/>
    <s v="n/d"/>
    <s v="n/d"/>
    <n v="6230"/>
    <n v="0"/>
    <s v="16.5.3.2."/>
    <s v="podmioty pozostałe (z wyjątkiem PKP PLK S.A.)"/>
    <s v="Dotacja celowa dla NASK-PIB na zapewnienie usługi chmurowej ochrony przed atakami DDoS – Distributed Denial of Service dla podmiotów realizujących zadania publiczne oraz podmiotów istotnych z punktu widzenia bezpieczeństwa RP"/>
    <s v="Podstawą do udzielenia dotacji celowej jest art. 37 ust. 1 ustawy z dnia 30 kwietnia 2010 r. o instytutach badawczych, zgodnie z którym minister nadzorujący może nałożyć na instytut obowiązek wprowadzenia do jego planu zadania lub wyznaczyć zadanie poza planem, zgodnie z zakresem działania określonym w statucie instytutu, jeżeli jest to niezbędne ze względu na potrzeby obronności i bezpieczeństwa publicznego, w przypadku stanu klęski żywiołowej lub w celu wykonania zobowiązań międzynarodowych.Jak stanowi art. 37 ust. 2 ustawy o instytutach badawczych, w przypadku nałożenia lub wyznaczenia zadania, minister nadzorujący zapewnia instytutowi środki do wykonania zadania, chyba że wykonanie zadania następuje odpłatnie na podstawie umowy ze stroną finansującą wykonanie zadania. Na podstawie § 1 ust. 3 rozporządzenia Rady Ministrów z dnia 7 czerwca 2017 r. w sprawie nadania Naukowej i Akademickiej Sieci Komputerowej statusu Państwowego Instytutu Badawczego6, nadzór nad NASK-PIB sprawuje minister właściwy do spraw informatyzacji. Celem wydatku jest zapewnienie na możliwie najwyższym poziomie ochrony przed atakami DDoS – Distributed Denial of Service dla podmiotów realizujących zadania publiczne. Kwota 2.581.875,00 (par. 2830) wynika z zawartej z NASK -PIB umowty na rok 2022-2024. Pozostała kwota jest planem na rok 2024 - 2025 - koniecznośc zawarcia nowej umowy dotacji w zakresie ochrony przed atakami DDoS."/>
    <n v="322"/>
    <n v="67"/>
    <n v="356"/>
    <n v="75"/>
    <n v="0"/>
    <s v="Realizacja zawartej umowy"/>
    <s v="n/d"/>
    <s v="70/DC/D/2022"/>
    <s v="NASK-PIB"/>
  </r>
  <r>
    <x v="0"/>
    <x v="7"/>
    <s v="n/d"/>
    <s v="n/d"/>
    <s v="n/d"/>
    <s v="n/d"/>
    <s v="n/d"/>
    <n v="4000"/>
    <n v="0"/>
    <s v="16.5.3.1."/>
    <s v="budżet państwa "/>
    <s v="Zakup baz statystycznych - wykupienie dostępu"/>
    <s v="Planowane wydatki dotyczą zakupu baz statystycznych potrzebnych do sporządzania OSR"/>
    <n v="50"/>
    <n v="0"/>
    <n v="0"/>
    <n v="0"/>
    <n v="0"/>
    <s v="planowany"/>
    <s v="n/d"/>
    <s v="n/d"/>
    <s v="n/d"/>
  </r>
  <r>
    <x v="0"/>
    <x v="7"/>
    <s v="n/d"/>
    <s v="n/d"/>
    <s v="n/d"/>
    <s v="n/d"/>
    <s v="n/d"/>
    <n v="4020"/>
    <n v="0"/>
    <s v="16.5.3.1."/>
    <s v="budżet państwa "/>
    <s v="Wynagrodzenie dla pracowników realizujących zadania ministra właściwego do spraw informatyzacji w zakresie zarządzania kryzysowego w cyberprzestrzeni"/>
    <s v="Zgodnie z art.. 45a projektu ustawy o zmianie ustawy o krajowym systemie cyberbezpieczeństwa oraz niektórych innych ustaw (UC32) minister własciwy do spraw informatyzacji będzie pełnił funkcję organu odpowiedzialnego za zarządzanie incydentami i zarządzanie kryzysowe w cyberbezpieczeństwie na dużą skalę w wymiarze cywilnym. W celu realizacji tego zadania przewiduje zatrudnienie 4 osób, dla których należy zapewnić wynagrodzenie."/>
    <n v="0"/>
    <n v="0"/>
    <n v="0"/>
    <n v="0"/>
    <n v="0"/>
    <s v="n/d"/>
    <s v="n/d"/>
    <s v="n/d"/>
    <s v="n/d"/>
  </r>
  <r>
    <x v="0"/>
    <x v="7"/>
    <s v="n/d"/>
    <s v="n/d"/>
    <s v="n/d"/>
    <s v="n/d"/>
    <s v="n/d"/>
    <n v="4040"/>
    <n v="0"/>
    <s v="16.5.3.1."/>
    <s v="budżet państwa "/>
    <s v="Dodatkowe wynagrodzenie roczne dla pracowników realizujących zadania ministra właściwego do spraw informatyzacji w zakresie zarządzania kryzysowego w cyberprzestrzeni"/>
    <s v="Zgodnie z art.. 45a projektu ustawy o zmianie ustawy o krajowym systemie cyberbezpieczeństwa oraz niektórych innych ustaw (UC32) minister własciwy do spraw informatyzacji będzie pełnił funkcję organu odpowiedzialnego za zarządzanie incydentami i zarządzanie kryzysowe w cyberbezpieczeństwie na dużą skalę w wymiarze cywilnym. W celu realizacji tego zadania przewiduje zatrudnienie 4 osób, dla których należy zapewnić dodatkowe wynagrodzenie roczne."/>
    <n v="0"/>
    <n v="0"/>
    <n v="0"/>
    <n v="0"/>
    <n v="0"/>
    <s v="n/d"/>
    <s v="n/d"/>
    <s v="n/d"/>
    <s v="n/d"/>
  </r>
  <r>
    <x v="0"/>
    <x v="7"/>
    <s v="n/d"/>
    <s v="n/d"/>
    <s v="n/d"/>
    <s v="n/d"/>
    <s v="n/d"/>
    <n v="4110"/>
    <n v="0"/>
    <s v="16.5.3.1."/>
    <s v="budżet państwa "/>
    <s v="Składka na ubezpieczenia społeczne dla pracowników realizujących zadania ministra właściwego do spraw informatyzacji w zakresie zarządzania kryzysowego w cyberprzestrzeni"/>
    <s v="Zgodnie z art.. 45a projektu ustawy o zmianie ustawy o krajowym systemie cyberbezpieczeństwa oraz niektórych innych ustaw (UC32) minister własciwy do spraw informatyzacji będzie pełnił funkcję organu odpowiedzialnego za zarządzanie incydentami i zarządzanie kryzysowe w cyberbezpieczeństwie na dużą skalę w wymiarze cywilnym. W celu realizacji tego zadania przewiduje zatrudnienie 4 osób, za które pracodawca musi opłacić składki na ubezpieczenia społeczne."/>
    <n v="0"/>
    <n v="0"/>
    <n v="0"/>
    <n v="0"/>
    <n v="0"/>
    <s v="n/d"/>
    <s v="n/d"/>
    <s v="n/d"/>
    <s v="n/d"/>
  </r>
  <r>
    <x v="0"/>
    <x v="7"/>
    <s v="n/d"/>
    <s v="n/d"/>
    <s v="n/d"/>
    <s v="n/d"/>
    <s v="n/d"/>
    <n v="4120"/>
    <n v="0"/>
    <s v="16.5.3.1."/>
    <s v="budżet państwa "/>
    <s v="Składka na Fundusz Pracy dla pracowników realizujących zadania ministra właściwego do spraw informatyzacji w zakresie zarządzania kryzysowego w cyberprzestrzeni"/>
    <s v="Zgodnie z art.. 45a projektu ustawy o zmianie ustawy o krajowym systemie cyberbezpieczeństwa oraz niektórych innych ustaw (UC32) minister własciwy do spraw informatyzacji będzie pełnił funkcję organu odpowiedzialnego za zarządzanie incydentami i zarządzanie kryzysowe w cyberbezpieczeństwie na dużą skalę w wymiarze cywilnym. W celu realizacji tego zadania przewiduje zatrudnienie 4 osób,  dla których pracodawca odprowadza składki do Funduszu Pracy."/>
    <n v="0"/>
    <n v="0"/>
    <n v="0"/>
    <n v="0"/>
    <n v="0"/>
    <s v="n/d"/>
    <s v="n/d"/>
    <s v="n/d"/>
    <s v="n/d"/>
  </r>
  <r>
    <x v="0"/>
    <x v="7"/>
    <s v="n/d"/>
    <s v="n/d"/>
    <s v="n/d"/>
    <s v="n/d"/>
    <s v="n/d"/>
    <n v="4120"/>
    <n v="0"/>
    <s v="16.5.3.1."/>
    <s v="budżet państwa "/>
    <s v="Składka na Fundusz Solidarnościowy dla pracowników realizujących zadania ministra właściwego do spraw informatyzacji w zakresie zarządzania kryzysowego w cyberprzestrzeni"/>
    <s v="Zgodnie z art.. 45a projektu ustawy o zmianie ustawy o krajowym systemie cyberbezpieczeństwa oraz niektórych innych ustaw (UC32) minister własciwy do spraw informatyzacji będzie pełnił funkcję organu odpowiedzialnego za zarządzanie incydentami i zarządzanie kryzysowe w cyberbezpieczeństwie na dużą skalę w wymiarze cywilnym. W celu realizacji tego zadania przewiduje zatrudnienie 4 osób,  dla których pracodawca odprowadza składki do Funduszu Solidarnościowego."/>
    <n v="0"/>
    <n v="0"/>
    <n v="0"/>
    <n v="0"/>
    <n v="0"/>
    <s v="n/d"/>
    <s v="n/d"/>
    <s v="n/d"/>
    <s v="n/d"/>
  </r>
  <r>
    <x v="0"/>
    <x v="7"/>
    <s v="n/d"/>
    <s v="n/d"/>
    <s v="n/d"/>
    <s v="n/d"/>
    <s v="n/d"/>
    <n v="4710"/>
    <n v="0"/>
    <s v="16.5.3.1."/>
    <s v="budżet państwa "/>
    <s v="Składka na PPK dla pracowników realizujących zadania ministra właściwego do spraw informatyzacji w zakresie zarządzania kryzysowego w cyberprzestrzeni"/>
    <s v="Zgodnie z art.. 45a projektu ustawy o zmianie ustawy o krajowym systemie cyberbezpieczeństwa oraz niektórych innych ustaw (UC32) minister własciwy do spraw informatyzacji będzie pełnił funkcję organu odpowiedzialnego za zarządzanie incydentami i zarządzanie kryzysowe w cyberbezpieczeństwie na dużą skalę w wymiarze cywilnym. W celu realizacji tego zadania przewiduje zatrudnienie 4 osób,  dla których pracodawca odprowadza składkę na Pracownicze Plany Kapitałowe."/>
    <n v="0"/>
    <n v="0"/>
    <n v="0"/>
    <n v="0"/>
    <n v="0"/>
    <s v="n/d"/>
    <s v="n/d"/>
    <s v="n/d"/>
    <s v="n/d"/>
  </r>
  <r>
    <x v="0"/>
    <x v="7"/>
    <s v="n/d"/>
    <s v="n/d"/>
    <s v="n/d"/>
    <s v="n/d"/>
    <s v="n/d"/>
    <n v="4000"/>
    <n v="0"/>
    <s v="16.5.3.1."/>
    <s v="budżet państwa "/>
    <s v="Koszt stanowisk pracy dla osób realizujących zadania ministra wł. ds. informatyzacji w zakresie zarządzania kryzysowego w cyberprzestrzeni"/>
    <s v="Zgodnie z art.. 45a projektu ustawy o zmianie ustawy o krajowym systemie cyberbezpieczeństwa oraz niektórych innych ustaw (UC32) minister własciwy do spraw informatyzacji będzie pełnił funkcję organu odpowiedzialnego za zarządzanie incydentami i zarządzanie kryzysowe w cyberbezpieczeństwie na dużą skalę w wymiarze cywilnym. W celu realizacji tego zadania przewiduje zatrudnienie 4 osób, dla których należy zapewnić stanowisko pracy."/>
    <n v="0"/>
    <n v="0"/>
    <n v="0"/>
    <n v="0"/>
    <n v="0"/>
    <s v="n/d"/>
    <s v="n/d"/>
    <s v="n/d"/>
    <s v="n/d"/>
  </r>
  <r>
    <x v="0"/>
    <x v="7"/>
    <s v="n/d"/>
    <s v="n/d"/>
    <s v="n/d"/>
    <s v="n/d"/>
    <s v="n/d"/>
    <n v="2580"/>
    <n v="0"/>
    <s v="16.5.3.4."/>
    <s v="podmioty pozostałe (z wyjątkiem PKP PLK S.A.)"/>
    <s v="wzrost dotacji podmiotowej dla CSIRT NASK"/>
    <s v="Zgodnie z art. 26 ust. 9 CSIRT NASK otrzymuje dotację podmiotową na realizację swoich zadań, które zostały znacznie zwiększone w projekcie ustawy o zmianie ustawy o krajowym systemie cyberbezpieczeństwa oraz niektórych innych ustaw."/>
    <n v="0"/>
    <n v="0"/>
    <n v="0"/>
    <n v="0"/>
    <n v="0"/>
    <s v="n/d"/>
    <s v="n/d"/>
    <s v="n/d"/>
    <s v="n/d"/>
  </r>
  <r>
    <x v="0"/>
    <x v="7"/>
    <s v="n/d"/>
    <s v="n/d"/>
    <s v="n/d"/>
    <s v="n/d"/>
    <s v="n/d"/>
    <n v="2830"/>
    <n v="0"/>
    <s v="16.5.3.4."/>
    <s v="podmioty pozostałe (z wyjątkiem PKP PLK S.A.)"/>
    <s v="Wzrost dotacji celowej dla Naukowej i Akademickiej Sieci Komputerowej-Państwowego Instytutu Badawczego na utrzymanie i rozwój systemu S46"/>
    <s v="System S46 utrzymywany i rozwijany jest przez Naukową i Akademicką Sieć Komputerową-Państwowy Instytut Badawczy będzie pełnił rolę wykazu podmiotów kluczowych i podmiotów ważnych, a także będzie podstawowym sposobem zgłaszania incydentów przez podmioty kluczowe i podmioty ważne. Stąd też konieczne jest zapewnienie odpowiedniego wzrostu dotacji celowej na rozwój tego systemu. Zadanie to realizowane będzie na podstawie art. 46 i art. 47 według projektu ustawy o zmianie ustawy o krajowym systemie cyberbezpieczeństwa (UC32)."/>
    <n v="0"/>
    <n v="0"/>
    <n v="0"/>
    <n v="0"/>
    <n v="0"/>
    <s v="n/d"/>
    <s v="n/d"/>
    <s v="n/d"/>
    <s v="n/d"/>
  </r>
  <r>
    <x v="0"/>
    <x v="7"/>
    <s v="n/d"/>
    <s v="n/d"/>
    <s v="n/d"/>
    <s v="n/d"/>
    <s v="n/d"/>
    <n v="6230"/>
    <n v="0"/>
    <s v="16.5.3.4."/>
    <s v="podmioty pozostałe (z wyjątkiem PKP PLK S.A.)"/>
    <s v="Wzrost dotacji celowej dla Naukowej i Akademickiej Sieci Komputerowej-Państwowego Instytutu Badawczego na utrzymanie i rozwój systemu S46"/>
    <s v="System S46 utrzymywany i rozwijany jest przez Naukową i Akademicką Sieć Komputerową-Państwowy Instytut Badawczy będzie pełnił rolę wykazu podmiotów kluczowych i podmiotów ważnych, a także będzie podstawowym sposobem zgłaszania incydentów przez podmioty kluczowe i podmioty ważne. Stąd też konieczne jest zapewnienie odpowiedniego wzrostu dotacji celowej na rozwój tego systemu. Zadanie to realizowane będzie na podstawie art. 46 i art. 47 według projektu ustawy o zmianie ustawy o krajowym systemie cyberbezpieczeństwa (UC32)."/>
    <n v="0"/>
    <n v="0"/>
    <n v="0"/>
    <n v="0"/>
    <n v="0"/>
    <s v="n/d"/>
    <s v="n/d"/>
    <s v="n/d"/>
    <s v="n/d"/>
  </r>
  <r>
    <x v="0"/>
    <x v="7"/>
    <s v="n/d"/>
    <s v="n/d"/>
    <s v="n/d"/>
    <s v="n/d"/>
    <s v="n/d"/>
    <n v="4000"/>
    <n v="0"/>
    <s v="16.5.3.1."/>
    <s v="budżet państwa "/>
    <s v="Badania/ekspertyzy dla Pełnomocnika Rządu do Spraw Cyberbezpieczeństwa"/>
    <s v="Projekt ustawy  o zmianie ustawy o krajowym systemie cyberbezpieczeństwa oraz niektórych innych ustaw (UC32) (art. 61 ust. 5) przewiduje możliwość zlecenia przez Pełnomocnika Rządu do Spraw Cyberbezpieczeństwa analiz, ekspertyz lub badań, które mają na celu wsparcie realizacji jego zadań. "/>
    <n v="0"/>
    <n v="0"/>
    <n v="0"/>
    <n v="0"/>
    <n v="0"/>
    <s v="n/d"/>
    <s v="n/d"/>
    <s v="n/d"/>
    <s v="n/d"/>
  </r>
  <r>
    <x v="0"/>
    <x v="7"/>
    <s v="n/d"/>
    <s v="n/d"/>
    <s v="n/d"/>
    <s v="n/d"/>
    <s v="n/d"/>
    <n v="4000"/>
    <n v="0"/>
    <s v="16.5.3.4."/>
    <s v="budżet państwa "/>
    <s v="Podnoszenie zdolności instytucji zapewniających cyberbezpieczeństwo"/>
    <s v="Przewiduje się możliwość, aby Pełnomocnik Rządu do Spraw Cyberbezpieczeństwa mógł dokonywać zakupów sprzętu/oprogramowania dla podmiotów publicznych z zakresu cyberbezpieczeństwa na podstawie art.. 62a projektu ustawy o zmianie ustawy o krajowym systemie cyberbezpieczeństwa oraz niektórych innych ustaw."/>
    <n v="0"/>
    <n v="0"/>
    <n v="0"/>
    <n v="0"/>
    <n v="0"/>
    <s v="n/d"/>
    <s v="n/d"/>
    <s v="n/d"/>
    <s v="n/d"/>
  </r>
  <r>
    <x v="0"/>
    <x v="7"/>
    <s v="n/d"/>
    <s v="n/d"/>
    <s v="n/d"/>
    <s v="n/d"/>
    <s v="n/d"/>
    <n v="4020"/>
    <n v="0"/>
    <s v="16.5.3.1."/>
    <s v="budżet państwa "/>
    <s v="Wynagrodzenie dla pracowników prowadzących postępowania w sprawie uznania za dostawcę wysokiego ryzyka"/>
    <s v="Zgodnie z art. 67b projektu ustawy o zmianie ustawy o krajowym systemie cyberbezpieczeństwa oraz niektórych innych ustaw (UC32) minister własciwy do spraw informatyzacji będzie mógł prowadzić postępowanie w sprawie uznania za dostawcę wysokiego ryzyka. W celu realizacji tego zadania przewiduje zatrudnienie 3 osób, dla których należy zapewnić wynagrodzenie."/>
    <n v="0"/>
    <n v="0"/>
    <n v="0"/>
    <n v="0"/>
    <n v="0"/>
    <s v="n/d"/>
    <s v="n/d"/>
    <s v="n/d"/>
    <s v="n/d"/>
  </r>
  <r>
    <x v="0"/>
    <x v="7"/>
    <s v="n/d"/>
    <s v="n/d"/>
    <s v="n/d"/>
    <s v="n/d"/>
    <s v="n/d"/>
    <n v="4040"/>
    <n v="0"/>
    <s v="16.5.3.1."/>
    <s v="budżet państwa "/>
    <s v="Dodatkowe wynagrodzenie roczne dla pracowników prowadzących postępowania w sprawie uznania za dostawcę wysokiego ryzyka"/>
    <s v="Zgodnie z art. 67b projektu ustawy o zmianie ustawy o krajowym systemie cyberbezpieczeństwa oraz niektórych innych ustaw (UC32) minister własciwy do spraw informatyzacji będzie mógł prowadzić postępowanie w sprawie uznania za dostawcę wysokiego ryzyka. W celu realizacji tego zadania przewiduje zatrudnienie 3 osób, osób, dla których należy zapewnić dodatkowe wynagrodzenie roczne."/>
    <n v="0"/>
    <n v="0"/>
    <n v="0"/>
    <n v="0"/>
    <n v="0"/>
    <s v="n/d"/>
    <s v="n/d"/>
    <s v="n/d"/>
    <s v="n/d"/>
  </r>
  <r>
    <x v="0"/>
    <x v="7"/>
    <s v="n/d"/>
    <s v="n/d"/>
    <s v="n/d"/>
    <s v="n/d"/>
    <s v="n/d"/>
    <n v="4110"/>
    <n v="0"/>
    <s v="16.5.3.1."/>
    <s v="budżet państwa "/>
    <s v="Składka na ubezpieczenia społeczne dla pracowników prowadzących postępowania w sprawie uznania za dostawcę wysokiego ryzyka"/>
    <s v="Zgodnie z art. 67b projektu ustawy o zmianie ustawy o krajowym systemie cyberbezpieczeństwa oraz niektórych innych ustaw (UC32) minister własciwy do spraw informatyzacji będzie mógł prowadzić postępowanie w sprawie uznania za dostawcę wysokiego ryzyka. W celu realizacji tego zadania przewiduje zatrudnienie 3 osób, osób, za które pracodawca musi opłacić składki na ubezpieczenia społeczne."/>
    <n v="0"/>
    <n v="0"/>
    <n v="0"/>
    <n v="0"/>
    <n v="0"/>
    <s v="n/d"/>
    <s v="n/d"/>
    <s v="n/d"/>
    <s v="n/d"/>
  </r>
  <r>
    <x v="0"/>
    <x v="7"/>
    <s v="n/d"/>
    <s v="n/d"/>
    <s v="n/d"/>
    <s v="n/d"/>
    <s v="n/d"/>
    <n v="4120"/>
    <n v="0"/>
    <s v="16.5.3.1."/>
    <s v="budżet państwa "/>
    <s v="Składka na Fundusz Pracy dla pracowników prowadzących postępowania w sprawie uznania za dostawcę wysokiego ryzyka"/>
    <s v="Zgodnie z art. 67b projektu ustawy o zmianie ustawy o krajowym systemie cyberbezpieczeństwa oraz niektórych innych ustaw (UC32) minister własciwy do spraw informatyzacji będzie mógł prowadzić postępowanie w sprawie uznania za dostawcę wysokiego ryzyka. W celu realizacji tego zadania przewiduje zatrudnienie 3 osób,  dla których pracodawca odprowadza składki do Funduszu Pracy."/>
    <n v="0"/>
    <n v="0"/>
    <n v="0"/>
    <n v="0"/>
    <n v="0"/>
    <s v="n/d"/>
    <s v="n/d"/>
    <s v="n/d"/>
    <s v="n/d"/>
  </r>
  <r>
    <x v="0"/>
    <x v="7"/>
    <s v="n/d"/>
    <s v="n/d"/>
    <s v="n/d"/>
    <s v="n/d"/>
    <s v="n/d"/>
    <n v="4120"/>
    <n v="0"/>
    <s v="16.5.3.1."/>
    <s v="budżet państwa "/>
    <s v="Składka na Fundusz Solidarnościowy dla pracowników prowadzących postępowania w sprawie uznania za dostawcę wysokiego ryzyka"/>
    <s v="Zgodnie z art. 67b projektu ustawy o zmianie ustawy o krajowym systemie cyberbezpieczeństwa oraz niektórych innych ustaw (UC32) minister własciwy do spraw informatyzacji będzie mógł prowadzić postępowanie w sprawie uznania za dostawcę wysokiego ryzyka. W celu realizacji tego zadania przewiduje zatrudnienie 3 osób, dla których pracodawca odprowadza składki do Funduszu Solidarnościowego."/>
    <n v="0"/>
    <n v="0"/>
    <n v="0"/>
    <n v="0"/>
    <n v="0"/>
    <s v="n/d"/>
    <s v="n/d"/>
    <s v="n/d"/>
    <s v="n/d"/>
  </r>
  <r>
    <x v="0"/>
    <x v="7"/>
    <s v="n/d"/>
    <s v="n/d"/>
    <s v="n/d"/>
    <s v="n/d"/>
    <s v="n/d"/>
    <n v="4710"/>
    <n v="0"/>
    <s v="16.5.3.1."/>
    <s v="budżet państwa "/>
    <s v="Składka na PPK dla pracowników prowadzących postępowania w sprawie uznania za dostawcę wysokiego ryzyka"/>
    <s v="Zgodnie zart. 67b projektu ustawy o zmianie ustawy o krajowym systemie cyberbezpieczeństwa oraz niektórych innych ustaw (UC32) minister własciwy do spraw informatyzacji będzie mógł prowadzić postępowanie w sprawie uznania za dostawcę wysokiego ryzyka. W celu realizacji tego zadania przewiduje zatrudnienie 3 osób,  dla których pracodawca odprowadza składkę na Pracownicze Plany Kapitałowe."/>
    <n v="0"/>
    <n v="0"/>
    <n v="0"/>
    <n v="0"/>
    <n v="0"/>
    <s v="n/d"/>
    <s v="n/d"/>
    <s v="n/d"/>
    <s v="n/d"/>
  </r>
  <r>
    <x v="0"/>
    <x v="7"/>
    <s v="n/d"/>
    <s v="n/d"/>
    <s v="n/d"/>
    <s v="n/d"/>
    <s v="n/d"/>
    <n v="4000"/>
    <n v="0"/>
    <s v="16.5.3.1."/>
    <s v="budżet państwa "/>
    <s v="Koszt stanowisk pracy dla osób prowadzących postępowania w sprawie uznania za dostawcę wysokiego ryzyka"/>
    <s v="Zgodnie z art. 67b projektu ustawy o zmianie ustawy o krajowym systemie cyberbezpieczeństwa oraz niektórych innych ustaw (UC32) minister własciwy do spraw informatyzacji będzie mógł prowadzić postępowanie w sprawie uznania za dostawcę wysokiego ryzyka. W celu realizacji tego zadania przewiduje zatrudnienie 3 osób, dla których należy zapewnić stanowisko pracy."/>
    <n v="0"/>
    <n v="0"/>
    <n v="0"/>
    <n v="0"/>
    <n v="0"/>
    <s v="n/d"/>
    <s v="n/d"/>
    <s v="n/d"/>
    <s v="n/d"/>
  </r>
  <r>
    <x v="0"/>
    <x v="7"/>
    <s v="n/d"/>
    <s v="n/d"/>
    <s v="n/d"/>
    <s v="n/d"/>
    <s v="n/d"/>
    <n v="4020"/>
    <n v="0"/>
    <s v="16.5.3.1."/>
    <s v="budżet państwa "/>
    <s v="Wynagrodzenie dla pracowników nadzorujących sektor infrastruktury cyfrowej"/>
    <s v="Zgodnie z art. 53 ust. 1 w zw. z art. 41 pkt 8 projektu ustawy o zmianie ustawy o krajowym systemie cyberbezpieczeństwa oraz niektórych innych ustaw (UC32) minister własciwy do spraw informatyzacji będzie nadzorował podmioty w sektorze infrastruktury cyfrowej. W celu realizacji tego zadania przewiduje zatrudnienie 24 osób, dla których należy zapewnić wynagrodzenie."/>
    <n v="0"/>
    <n v="0"/>
    <n v="0"/>
    <n v="0"/>
    <n v="0"/>
    <s v="n/d"/>
    <s v="n/d"/>
    <s v="n/d"/>
    <s v="n/d"/>
  </r>
  <r>
    <x v="0"/>
    <x v="7"/>
    <s v="n/d"/>
    <s v="n/d"/>
    <s v="n/d"/>
    <s v="n/d"/>
    <s v="n/d"/>
    <n v="4040"/>
    <n v="0"/>
    <s v="16.5.3.1."/>
    <s v="budżet państwa "/>
    <s v="Dodatkowe wynagrodzenie roczne dla pracowników nadzorujących sektor infrastruktury cyfrowej"/>
    <s v="Zgodnie z art. 53 ust. 1 w zw. z art. 41 pkt 8  projektu ustawy o zmianie ustawy o krajowym systemie cyberbezpieczeństwa oraz niektórych innych ustaw (UC32) minister własciwy do spraw informatyzacji będzie nadzorował podmioty w sektorze infrastruktury cyfrowej. W celu realizacji tego zadania przewiduje zatrudnienie 24 osób, dla których należy zapewnić dodatkowe wynagrodzenie roczne."/>
    <n v="0"/>
    <n v="0"/>
    <n v="0"/>
    <n v="0"/>
    <n v="0"/>
    <s v="n/d"/>
    <s v="n/d"/>
    <s v="n/d"/>
    <s v="n/d"/>
  </r>
  <r>
    <x v="0"/>
    <x v="7"/>
    <s v="n/d"/>
    <s v="n/d"/>
    <s v="n/d"/>
    <s v="n/d"/>
    <s v="n/d"/>
    <n v="4110"/>
    <n v="0"/>
    <s v="16.5.3.1."/>
    <s v="budżet państwa "/>
    <s v="Składka na ubezpieczenia społeczne dla pracowników nadzorujących sektor infrastruktury cyfrowej"/>
    <s v="Zgodnie z art. 53 ust. 1 w zw. z art. 41 pkt 8  projektu ustawy o zmianie ustawy o krajowym systemie cyberbezpieczeństwa oraz niektórych innych ustaw (UC32) minister własciwy do spraw informatyzacji będzie nadzorował podmioty w sektorze infrastruktury cyfrowej. W celu realizacji tego zadania przewiduje zatrudnienie 24 osób, za które pracodawca musi opłacić składki na ubezpieczenia społeczne."/>
    <n v="0"/>
    <n v="0"/>
    <n v="0"/>
    <n v="0"/>
    <n v="0"/>
    <s v="n/d"/>
    <s v="n/d"/>
    <s v="n/d"/>
    <s v="n/d"/>
  </r>
  <r>
    <x v="0"/>
    <x v="7"/>
    <s v="n/d"/>
    <s v="n/d"/>
    <s v="n/d"/>
    <s v="n/d"/>
    <s v="n/d"/>
    <n v="4120"/>
    <n v="0"/>
    <s v="16.5.3.1."/>
    <s v="budżet państwa "/>
    <s v="Składka na Fundusz Pracy dla pracowników nadzorujących sektor infrastruktury cyfrowej"/>
    <s v="Zgodnie z art. 53 ust. 1 w zw. z art. 41 pkt 8  projektu ustawy o zmianie ustawy o krajowym systemie cyberbezpieczeństwa oraz niektórych innych ustaw (UC32) minister własciwy do spraw informatyzacji będzie nadzorował podmioty w sektorze infrastruktury cyfrowej. W celu realizacji tego zadania przewiduje zatrudnienie 24 osób,  dla których pracodawca odprowadza składki do Funduszu Pracy."/>
    <n v="0"/>
    <n v="0"/>
    <n v="0"/>
    <n v="0"/>
    <n v="0"/>
    <s v="n/d"/>
    <s v="n/d"/>
    <s v="n/d"/>
    <s v="n/d"/>
  </r>
  <r>
    <x v="0"/>
    <x v="7"/>
    <s v="n/d"/>
    <s v="n/d"/>
    <s v="n/d"/>
    <s v="n/d"/>
    <s v="n/d"/>
    <n v="4120"/>
    <n v="0"/>
    <s v="16.5.3.1."/>
    <s v="budżet państwa "/>
    <s v="Składka na Fundusz Solidarnościowy dla pracowników nadzorujących sektor infrastruktury cyfrowej"/>
    <s v="Zgodnie z art. 53 ust. 1 w zw. z art. 41 pkt 8  projektu ustawy o zmianie ustawy o krajowym systemie cyberbezpieczeństwa oraz niektórych innych ustaw (UC32) minister własciwy do spraw informatyzacji będzie nadzorował podmioty w sektorze infrastruktury cyfrowej. W celu realizacji tego zadania przewiduje zatrudnienie 24 osób,  dla których pracodawca odprowadza składki do Funduszu Solidarnościowego."/>
    <n v="0"/>
    <n v="0"/>
    <n v="0"/>
    <n v="0"/>
    <n v="0"/>
    <s v="n/d"/>
    <s v="n/d"/>
    <s v="n/d"/>
    <s v="n/d"/>
  </r>
  <r>
    <x v="0"/>
    <x v="7"/>
    <s v="n/d"/>
    <s v="n/d"/>
    <s v="n/d"/>
    <s v="n/d"/>
    <s v="n/d"/>
    <n v="4710"/>
    <n v="0"/>
    <s v="16.5.3.1."/>
    <s v="budżet państwa "/>
    <s v="Składka na PPK dla pracowników nadzorujących sektor infrastruktury cyfrowej"/>
    <s v="Zgodnie z art. 53 ust. 1 w zw. z art. 41 pkt 8  projektu ustawy o zmianie ustawy o krajowym systemie cyberbezpieczeństwa oraz niektórych innych ustaw (UC32) minister własciwy do spraw informatyzacji będzie nadzorował podmioty w sektorze infrastruktury cyfrowej. W celu realizacji tego zadania przewiduje zatrudnienie 24 osób,  dla których pracodawca odprowadza składkę na Pracownicze Plany Kapitałowe."/>
    <n v="0"/>
    <n v="0"/>
    <n v="0"/>
    <n v="0"/>
    <n v="0"/>
    <s v="n/d"/>
    <s v="n/d"/>
    <s v="n/d"/>
    <s v="n/d"/>
  </r>
  <r>
    <x v="0"/>
    <x v="7"/>
    <s v="n/d"/>
    <s v="n/d"/>
    <s v="n/d"/>
    <s v="n/d"/>
    <s v="n/d"/>
    <n v="4000"/>
    <n v="0"/>
    <s v="16.5.3.1."/>
    <s v="budżet państwa "/>
    <s v="Koszt stanowisk pracy dla osób nadzorujacych sektory infrastruktury cyfrowej"/>
    <s v="Zgodnie z art. 53 ust. 1 w zw. z art. 41 pkt 8  projektu ustawy o zmianie ustawy o krajowym systemie cyberbezpieczeństwa oraz niektórych innych ustaw (UC32) minister własciwy do spraw informatyzacji będzie nadzorował podmioty w sektorze infrastruktury cyfrowej. W celu realizacji tego zadania przewiduje zatrudnienie 24 osób,  dla których musi utworzyć stanowisko pracy."/>
    <n v="0"/>
    <n v="0"/>
    <n v="0"/>
    <n v="0"/>
    <n v="0"/>
    <s v="n/d"/>
    <s v="n/d"/>
    <s v="n/d"/>
    <s v="n/d"/>
  </r>
  <r>
    <x v="0"/>
    <x v="7"/>
    <s v="n/d"/>
    <s v="n/d"/>
    <s v="n/d"/>
    <s v="n/d"/>
    <s v="n/d"/>
    <n v="4020"/>
    <n v="0"/>
    <s v="16.5.3.1."/>
    <s v="budżet państwa "/>
    <s v="Wynagrodzenie dla pracowników nadzorujących sektor zarządzania ICT"/>
    <s v="Zgodnie z art. 53 ust. 1 w zw. z art. 41 pkt 9b projektu ustawy o zmianie ustawy o krajowym systemie cyberbezpieczeństwa oraz niektórych innych ustaw (UC32) minister własciwy do spraw informatyzacji będzie nadzorował podmioty w sektorze zarządzania usługami ICT. W celu realizacji tego zadania przewiduje zatrudnienie 3 osób, dla których należy zapewnić wynagrodzenie."/>
    <n v="0"/>
    <n v="0"/>
    <n v="0"/>
    <n v="0"/>
    <n v="0"/>
    <s v="n/d"/>
    <s v="n/d"/>
    <s v="n/d"/>
    <s v="n/d"/>
  </r>
  <r>
    <x v="0"/>
    <x v="7"/>
    <s v="n/d"/>
    <s v="n/d"/>
    <s v="n/d"/>
    <s v="n/d"/>
    <s v="n/d"/>
    <n v="4040"/>
    <n v="0"/>
    <s v="16.5.3.1."/>
    <s v="budżet państwa "/>
    <s v="Dodatkowe wynagrodzenie roczne dla pracowników nadzorujących sektor zarządzania ICT"/>
    <s v="Zgodnie z art. 53 ust. 1 w zw. z art. 41 pkt 9b  projektu ustawy o zmianie ustawy o krajowym systemie cyberbezpieczeństwa oraz niektórych innych ustaw (UC32) minister własciwy do spraw informatyzacji będzie nadzorował podmioty w sektorze zarządzania usługami ICT. W celu realizacji tego zadania przewiduje zatrudnienie 3 osób, dla których należy zapewnić dodatkowe wynagrodzenie roczne."/>
    <n v="0"/>
    <n v="0"/>
    <n v="0"/>
    <n v="0"/>
    <n v="0"/>
    <s v="n/d"/>
    <s v="n/d"/>
    <s v="n/d"/>
    <s v="n/d"/>
  </r>
  <r>
    <x v="0"/>
    <x v="7"/>
    <s v="n/d"/>
    <s v="n/d"/>
    <s v="n/d"/>
    <s v="n/d"/>
    <s v="n/d"/>
    <n v="4110"/>
    <n v="0"/>
    <s v="16.5.3.1."/>
    <s v="budżet państwa "/>
    <s v="Składka na ubezpieczenia społeczne dla pracowników nadzorujących sektor zarządzania ICT"/>
    <s v="Zgodnie z art. 53 ust. 1 w zw. z art. 41 pkt 9b  projektu ustawy o zmianie ustawy o krajowym systemie cyberbezpieczeństwa oraz niektórych innych ustaw (UC32) minister własciwy do spraw informatyzacji będzie nadzorował podmioty w sektorze zarządzania usługami ICT. W celu realizacji tego zadania przewiduje zatrudnienie 3 osób, za które pracodawca musi opłacić składki na ubezpieczenia społeczne."/>
    <n v="0"/>
    <n v="0"/>
    <n v="0"/>
    <n v="0"/>
    <n v="0"/>
    <s v="n/d"/>
    <s v="n/d"/>
    <s v="n/d"/>
    <s v="n/d"/>
  </r>
  <r>
    <x v="0"/>
    <x v="7"/>
    <s v="n/d"/>
    <s v="n/d"/>
    <s v="n/d"/>
    <s v="n/d"/>
    <s v="n/d"/>
    <n v="4120"/>
    <n v="0"/>
    <s v="16.5.3.1."/>
    <s v="budżet państwa "/>
    <s v="Składka na Fundusz Pracy dla pracowników nadzorujących sektor zarządzania ICT"/>
    <s v="Zgodnie z art. 53 ust. 1 w zw. z art. 41 pkt 9b  projektu ustawy o zmianie ustawy o krajowym systemie cyberbezpieczeństwa oraz niektórych innych ustaw (UC32) minister własciwy do spraw informatyzacji będzie nadzorował podmioty w sektorze zarządzania usługami ICT. W celu realizacji tego zadania przewiduje zatrudnienie 3 osób,  dla których pracodawca odprowadza składki do Funduszu Pracy."/>
    <n v="0"/>
    <n v="0"/>
    <n v="0"/>
    <n v="0"/>
    <n v="0"/>
    <s v="n/d"/>
    <s v="n/d"/>
    <s v="n/d"/>
    <s v="n/d"/>
  </r>
  <r>
    <x v="0"/>
    <x v="7"/>
    <s v="n/d"/>
    <s v="n/d"/>
    <s v="n/d"/>
    <s v="n/d"/>
    <s v="n/d"/>
    <n v="4120"/>
    <n v="0"/>
    <s v="16.5.3.1."/>
    <s v="budżet państwa "/>
    <s v="Składka na Fundusz Solidarnościowy dla pracowników nadzorujących sektor zarządzania ICT"/>
    <s v="Zgodnie z art. 53 ust. 1 w zw. z art. 41 pkt 9b  projektu ustawy o zmianie ustawy o krajowym systemie cyberbezpieczeństwa oraz niektórych innych ustaw (UC32) minister własciwy do spraw informatyzacji będzie nadzorował podmioty w sektorze zarządzania usługami ICT. W celu realizacji tego zadania przewiduje zatrudnienie 3 osób,  dla których pracodawca odprowadza składki do Funduszu Solidarnościowego."/>
    <n v="0"/>
    <n v="0"/>
    <n v="0"/>
    <n v="0"/>
    <n v="0"/>
    <s v="n/d"/>
    <s v="n/d"/>
    <s v="n/d"/>
    <s v="n/d"/>
  </r>
  <r>
    <x v="0"/>
    <x v="7"/>
    <s v="n/d"/>
    <s v="n/d"/>
    <s v="n/d"/>
    <s v="n/d"/>
    <s v="n/d"/>
    <n v="4710"/>
    <n v="0"/>
    <s v="16.5.3.1."/>
    <s v="budżet państwa "/>
    <s v="Składka na PPK dla pracowników nadzorujących sektor zarządzania ICT"/>
    <s v="Zgodnie z art. 53 ust. 1 w zw. z art. 41 pkt 9b  projektu ustawy o zmianie ustawy o krajowym systemie cyberbezpieczeństwa oraz niektórych innych ustaw (UC32) minister własciwy do spraw informatyzacji będzie nadzorował podmioty w sektorze zarządzania usługami ICT. W celu realizacji tego zadania przewiduje zatrudnienie 3 osób,  dla których pracodawca odprowadza składkę na Pracownicze Plany Kapitałowe."/>
    <n v="0"/>
    <n v="0"/>
    <n v="0"/>
    <n v="0"/>
    <n v="0"/>
    <s v="n/d"/>
    <s v="n/d"/>
    <s v="n/d"/>
    <s v="n/d"/>
  </r>
  <r>
    <x v="0"/>
    <x v="7"/>
    <s v="n/d"/>
    <s v="n/d"/>
    <s v="n/d"/>
    <s v="n/d"/>
    <s v="n/d"/>
    <n v="4000"/>
    <n v="0"/>
    <s v="16.5.3.1."/>
    <s v="budżet państwa "/>
    <s v="Koszt stanowisk pracy dla osób nadzorujących sektor zarządzania ICT"/>
    <s v="Zgodnie z art. 53 ust. 1 w zw. z art. 41 pkt 9b  projektu ustawy o zmianie ustawy o krajowym systemie cyberbezpieczeństwa oraz niektórych innych ustaw (UC32) minister własciwy do spraw informatyzacji będzie nadzorował podmioty w sektorze zarządzania usługami ICT. W celu realizacji tego zadania przewiduje zatrudnienie 3 osób,  dla których musi utworzyć stanowisko pracy."/>
    <n v="0"/>
    <n v="0"/>
    <n v="0"/>
    <n v="0"/>
    <n v="0"/>
    <s v="n/d"/>
    <s v="n/d"/>
    <s v="n/d"/>
    <s v="n/d"/>
  </r>
  <r>
    <x v="0"/>
    <x v="7"/>
    <s v="n/d"/>
    <s v="n/d"/>
    <s v="n/d"/>
    <s v="n/d"/>
    <s v="n/d"/>
    <n v="4020"/>
    <n v="0"/>
    <s v="16.5.3.1."/>
    <s v="budżet państwa "/>
    <s v="Wynagrodzenie dla pracowników nadzorujących sektor dostawców usług cyfrowych"/>
    <s v="Zgodnie z art. 53 ust. 1 w zw. z art. 41a pkt 3 projektu ustawy o zmianie ustawy o krajowym systemie cyberbezpieczeństwa oraz niektórych innych ustaw (UC32) minister własciwy do spraw informatyzacji będzie nadzorował podmioty w sektorze dostawców usług cyfrowych. W celu realizacji tego zadania przewiduje zatrudnienie 2 osób, dla których należy zapewnić wynagrodzenie."/>
    <n v="0"/>
    <n v="0"/>
    <n v="0"/>
    <n v="0"/>
    <n v="0"/>
    <s v="n/d"/>
    <s v="n/d"/>
    <s v="n/d"/>
    <s v="n/d"/>
  </r>
  <r>
    <x v="0"/>
    <x v="7"/>
    <s v="n/d"/>
    <s v="n/d"/>
    <s v="n/d"/>
    <s v="n/d"/>
    <s v="n/d"/>
    <n v="4040"/>
    <n v="0"/>
    <s v="16.5.3.1."/>
    <s v="budżet państwa "/>
    <s v="Dodatkowe wynagrodzenie roczne dla pracowników nadzorujących sektor dostawców usług cyfrowych"/>
    <s v="Zgodnie z art. 53 ust. 1 w zw. z art. 41a pkt 3 projektu ustawy o zmianie ustawy o krajowym systemie cyberbezpieczeństwa oraz niektórych innych ustaw (UC32) minister własciwy do spraw informatyzacji będzie nadzorował podmioty w sektorze dostawców usług cyfrowych. W celu realizacji tego zadania przewiduje zatrudnienie 2 osób, dla których należy zapewnić dodatkowe wynagrodzenie roczne."/>
    <n v="0"/>
    <n v="0"/>
    <n v="0"/>
    <n v="0"/>
    <n v="0"/>
    <s v="n/d"/>
    <s v="n/d"/>
    <s v="n/d"/>
    <s v="n/d"/>
  </r>
  <r>
    <x v="0"/>
    <x v="7"/>
    <s v="n/d"/>
    <s v="n/d"/>
    <s v="n/d"/>
    <s v="n/d"/>
    <s v="n/d"/>
    <n v="4110"/>
    <n v="0"/>
    <s v="16.5.3.1."/>
    <s v="budżet państwa "/>
    <s v="Składka na ubezpieczenia społeczne dla pracowników nadzorujących sektor dostawców usług cyfrowych"/>
    <s v="Zgodnie z art. 53 ust. 1 w zw. z art. 41a pkt 3  projektu ustawy o zmianie ustawy o krajowym systemie cyberbezpieczeństwa oraz niektórych innych ustaw (UC32) minister własciwy do spraw informatyzacji będzie nadzorował podmioty w sektorze dostawców usług cyfrowych. W celu realizacji tego zadania przewiduje zatrudnienie 2 osób, za które pracodawca musi opłacić składki na ubezpieczenia społeczne."/>
    <n v="0"/>
    <n v="0"/>
    <n v="0"/>
    <n v="0"/>
    <n v="0"/>
    <s v="n/d"/>
    <s v="n/d"/>
    <s v="n/d"/>
    <s v="n/d"/>
  </r>
  <r>
    <x v="0"/>
    <x v="7"/>
    <s v="n/d"/>
    <s v="n/d"/>
    <s v="n/d"/>
    <s v="n/d"/>
    <s v="n/d"/>
    <n v="4120"/>
    <n v="0"/>
    <s v="16.5.3.1."/>
    <s v="budżet państwa "/>
    <s v="Składka na Fundusz Pracy dla pracowników nadzorujących sektor dostawców usług cyfrowych"/>
    <s v="Zgodnie z art. 53 ust. 1 w zw. z art. 41a pkt 3  projektu ustawy o zmianie ustawy o krajowym systemie cyberbezpieczeństwa oraz niektórych innych ustaw (UC32) minister własciwy do spraw informatyzacji będzie nadzorował podmioty w sektorze dostawców usług cyfrowych. W celu realizacji tego zadania przewiduje zatrudnienie 2 osób,  dla których pracodawca odprowadza składki do Funduszu Pracy."/>
    <n v="0"/>
    <n v="0"/>
    <n v="0"/>
    <n v="0"/>
    <n v="0"/>
    <s v="n/d"/>
    <s v="n/d"/>
    <s v="n/d"/>
    <s v="n/d"/>
  </r>
  <r>
    <x v="0"/>
    <x v="7"/>
    <s v="n/d"/>
    <s v="n/d"/>
    <s v="n/d"/>
    <s v="n/d"/>
    <s v="n/d"/>
    <n v="4120"/>
    <n v="0"/>
    <s v="16.5.3.1."/>
    <s v="budżet państwa "/>
    <s v="Składka na Fundusz Solidarnościowy dla pracowników nadzorujących sektor dostawców usług cyfrowych"/>
    <s v="Zgodnie z art. 53 ust. 1 w zw. z art. 41a pkt 3 projektu ustawy o zmianie ustawy o krajowym systemie cyberbezpieczeństwa oraz niektórych innych ustaw (UC32) minister własciwy do spraw informatyzacji będzie nadzorował podmioty w sektorze dostawców usług cyfrowych. W celu realizacji tego zadania przewiduje zatrudnienie 2 osób,  dla których pracodawca odprowadza składki do Funduszu Solidarnościowego."/>
    <n v="0"/>
    <n v="0"/>
    <n v="0"/>
    <n v="0"/>
    <n v="0"/>
    <s v="n/d"/>
    <s v="n/d"/>
    <s v="n/d"/>
    <s v="n/d"/>
  </r>
  <r>
    <x v="0"/>
    <x v="7"/>
    <s v="n/d"/>
    <s v="n/d"/>
    <s v="n/d"/>
    <s v="n/d"/>
    <s v="n/d"/>
    <n v="4710"/>
    <n v="0"/>
    <s v="16.5.3.1."/>
    <s v="budżet państwa "/>
    <s v="Składka na PPK dla pracowników nadzorujących sektor dostawców usług cyfrowych"/>
    <s v="Zgodnie z art. 53 ust. 1 w zw. z art. 41a pkt 3  projektu ustawy o zmianie ustawy o krajowym systemie cyberbezpieczeństwa oraz niektórych innych ustaw (UC32) minister własciwy do spraw informatyzacji będzie nadzorował podmioty w sektorze dostawców usług cyfrowych. W celu realizacji tego zadania przewiduje zatrudnienie 2 osób,  dla których pracodawca odprowadza składkę na Pracownicze Plany Kapitałowe."/>
    <n v="0"/>
    <n v="0"/>
    <n v="0"/>
    <n v="0"/>
    <n v="0"/>
    <s v="n/d"/>
    <s v="n/d"/>
    <s v="n/d"/>
    <s v="n/d"/>
  </r>
  <r>
    <x v="0"/>
    <x v="7"/>
    <s v="n/d"/>
    <s v="n/d"/>
    <s v="n/d"/>
    <s v="n/d"/>
    <s v="n/d"/>
    <n v="4000"/>
    <n v="0"/>
    <s v="16.5.3.1."/>
    <s v="budżet państwa "/>
    <s v="Koszt stanowisk pracy dla osób nadzorujących sektor dostawców usług cyfrowych"/>
    <s v="Zgodnie z art. 53 ust. 1 w zw. z art. 41a pkt 3  projektu ustawy o zmianie ustawy o krajowym systemie cyberbezpieczeństwa oraz niektórych innych ustaw (UC32) minister własciwy do spraw informatyzacji będzie nadzorował podmioty w sektorze dostawców usług cyfrowych. W celu realizacji tego zadania przewiduje zatrudnienie 2 osób,  dla których musi utworzyć stanowisko pracy."/>
    <n v="0"/>
    <n v="0"/>
    <n v="0"/>
    <n v="0"/>
    <n v="0"/>
    <s v="n/d"/>
    <s v="n/d"/>
    <s v="n/d"/>
    <s v="n/d"/>
  </r>
  <r>
    <x v="0"/>
    <x v="7"/>
    <s v="n/d"/>
    <s v="n/d"/>
    <s v="n/d"/>
    <s v="n/d"/>
    <s v="n/d"/>
    <n v="4020"/>
    <n v="0"/>
    <s v="16.5.3.1."/>
    <s v="budżet państwa "/>
    <s v="Wynagrodzenie dla pracowników nadzorujących sektor administracji publicznej"/>
    <s v="Zgodnie z art. 53 ust. 1 w zw. z art. 41b ust. 2 projektu ustawy o zmianie ustawy o krajowym systemie cyberbezpieczeństwa oraz niektórych innych ustaw (UC32) minister własciwy do spraw informatyzacji będzie nadzorował podmioty w sektorzeadministracji publicznej. W celu realizacji tego zadania przewiduje zatrudnienie 40 osób, dla których należy zapewnić wynagrodzenie."/>
    <n v="0"/>
    <n v="0"/>
    <n v="0"/>
    <n v="0"/>
    <n v="0"/>
    <s v="n/d"/>
    <s v="n/d"/>
    <s v="n/d"/>
    <s v="n/d"/>
  </r>
  <r>
    <x v="0"/>
    <x v="7"/>
    <s v="n/d"/>
    <s v="n/d"/>
    <s v="n/d"/>
    <s v="n/d"/>
    <s v="n/d"/>
    <n v="4040"/>
    <n v="0"/>
    <s v="16.5.3.1."/>
    <s v="budżet państwa "/>
    <s v="Dodatkowe wynagrodzenie roczne dla pracowników nadzorujących sektor administracji publicznej"/>
    <s v="Zgodnie z art. 53 ust. 1 w zw. z art. 41b ust. 2 projektu ustawy o zmianie ustawy o krajowym systemie cyberbezpieczeństwa oraz niektórych innych ustaw (UC32) minister własciwy do spraw informatyzacji będzie nadzorował podmioty w sektorze administracji publicznej. W celu realizacji tego zadania przewiduje zatrudnienie 40 osób, dla których należy zapewnić dodatkowe wynagrodzenie roczne."/>
    <n v="0"/>
    <n v="0"/>
    <n v="0"/>
    <n v="0"/>
    <n v="0"/>
    <s v="n/d"/>
    <s v="n/d"/>
    <s v="n/d"/>
    <s v="n/d"/>
  </r>
  <r>
    <x v="0"/>
    <x v="7"/>
    <s v="n/d"/>
    <s v="n/d"/>
    <s v="n/d"/>
    <s v="n/d"/>
    <s v="n/d"/>
    <n v="4110"/>
    <n v="0"/>
    <s v="16.5.3.1."/>
    <s v="budżet państwa "/>
    <s v="Składka na ubezpieczenia społeczne dla pracowników nadzorujących sektor administracji publicznej"/>
    <s v="Zgodnie art. 53 ust. 1 w zw. z art. 41b ust. 2  projektu ustawy o zmianie ustawy o krajowym systemie cyberbezpieczeństwa oraz niektórych innych ustaw (UC32) minister własciwy do spraw informatyzacji będzie nadzorował podmioty w sektorze administracji publicznje. W celu realizacji tego zadania przewiduje zatrudnienie 40 osób, za które pracodawca musi opłacić składki na ubezpieczenia społeczne."/>
    <n v="0"/>
    <n v="0"/>
    <n v="0"/>
    <n v="0"/>
    <n v="0"/>
    <s v="n/d"/>
    <s v="n/d"/>
    <s v="n/d"/>
    <s v="n/d"/>
  </r>
  <r>
    <x v="0"/>
    <x v="7"/>
    <s v="n/d"/>
    <s v="n/d"/>
    <s v="n/d"/>
    <s v="n/d"/>
    <s v="n/d"/>
    <n v="4120"/>
    <n v="0"/>
    <s v="16.5.3.1."/>
    <s v="budżet państwa "/>
    <s v="Składka na Fundusz Pracy dla pracowników nadzorujących sektor administracji publicznej"/>
    <s v="Zgodnie z art. 53 ust. 1 w zw. z art. 41b ust. 2  projektu ustawy o zmianie ustawy o krajowym systemie cyberbezpieczeństwa oraz niektórych innych ustaw (UC32) minister własciwy do spraw informatyzacji będzie nadzorował podmioty w sektorze administracji publicznej. W celu realizacji tego zadania przewiduje zatrudnienie 40 osób,  dla których pracodawca odprowadza składki do Funduszu Pracy."/>
    <n v="0"/>
    <n v="0"/>
    <n v="0"/>
    <n v="0"/>
    <n v="0"/>
    <s v="n/d"/>
    <s v="n/d"/>
    <s v="n/d"/>
    <s v="n/d"/>
  </r>
  <r>
    <x v="0"/>
    <x v="7"/>
    <s v="n/d"/>
    <s v="n/d"/>
    <s v="n/d"/>
    <s v="n/d"/>
    <s v="n/d"/>
    <n v="4120"/>
    <n v="0"/>
    <s v="16.5.3.1."/>
    <s v="budżet państwa "/>
    <s v="Składka na Fundusz Solidarnościowy dla pracowników nadzorujących sektor administracji publicznej"/>
    <s v="Zgodnie z art. 53 ust. 1 w zw. z art. 41b ust. 2 projektu ustawy o zmianie ustawy o krajowym systemie cyberbezpieczeństwa oraz niektórych innych ustaw (UC32) minister własciwy do spraw informatyzacji będzie nadzorował podmioty w sektorze administracji publicznej. W celu realizacji tego zadania przewiduje zatrudnienie 40 osób,  dla których pracodawca odprowadza składki do Funduszu Solidarnościowego."/>
    <n v="0"/>
    <n v="0"/>
    <n v="0"/>
    <n v="0"/>
    <n v="0"/>
    <s v="n/d"/>
    <s v="n/d"/>
    <s v="n/d"/>
    <s v="n/d"/>
  </r>
  <r>
    <x v="0"/>
    <x v="7"/>
    <s v="n/d"/>
    <s v="n/d"/>
    <s v="n/d"/>
    <s v="n/d"/>
    <s v="n/d"/>
    <n v="4710"/>
    <n v="0"/>
    <s v="16.5.3.1."/>
    <s v="budżet państwa "/>
    <s v="Składka na PPK dla pracowników nadzorujących sektor administracji publicznej"/>
    <s v="Zgodnie z art. 53 ust. 1 w zw. z art. 41b ust. 2  projektu ustawy o zmianie ustawy o krajowym systemie cyberbezpieczeństwa oraz niektórych innych ustaw (UC32) minister własciwy do spraw informatyzacji będzie nadzorował podmioty w sektorze administracji publicznej. W celu realizacji tego zadania przewiduje zatrudnienie 40 osób,  dla których pracodawca odprowadza składkę na Pracownicze Plany Kapitałowe."/>
    <n v="0"/>
    <n v="0"/>
    <n v="0"/>
    <n v="0"/>
    <n v="0"/>
    <s v="n/d"/>
    <s v="n/d"/>
    <s v="n/d"/>
    <s v="n/d"/>
  </r>
  <r>
    <x v="0"/>
    <x v="7"/>
    <s v="n/d"/>
    <s v="n/d"/>
    <s v="n/d"/>
    <s v="n/d"/>
    <s v="n/d"/>
    <n v="4000"/>
    <n v="0"/>
    <s v="16.5.3.1."/>
    <s v="budżet państwa "/>
    <s v="Koszt stanowisk pracy dla osób nadzorujących podmioty publiczne"/>
    <s v="Zgodnie z art. 53 ust. 1 w zw. z art. 41a pkt 3  projektu ustawy o zmianie ustawy o krajowym systemie cyberbezpieczeństwa oraz niektórych innych ustaw (UC32) minister własciwy do spraw informatyzacji będzie nadzorował podmioty w sektorze administracji publicznej. W celu realizacji tego zadania przewiduje zatrudnienie 40 osób,  dla których musi utworzyć stanowisko pracy."/>
    <n v="0"/>
    <n v="0"/>
    <n v="0"/>
    <n v="0"/>
    <n v="0"/>
    <s v="n/d"/>
    <s v="n/d"/>
    <s v="n/d"/>
    <s v="n/d"/>
  </r>
  <r>
    <x v="0"/>
    <x v="7"/>
    <s v="n/d"/>
    <s v="n/d"/>
    <s v="n/d"/>
    <s v="n/d"/>
    <s v="n/d"/>
    <n v="4000"/>
    <n v="0"/>
    <s v="16.5.3.1."/>
    <s v="budżet państwa "/>
    <s v="Koszt zakupu komputerów, drukarek i słuchawek TEMPEST klasy SDIP-27 Level A na potrzeby przetwarzania informacji niejawnych w związku z realizacją zadań Ministra Cyfryzacji w obszarze zarządzania kryzysowego w cyberprzestrzeni"/>
    <s v="Zgodnie z art.. 45a projektu ustawy o zmianie ustawy o krajowym systemie cyberbezpieczeństwa oraz niektórych innych ustaw (UC32) minister własciwy do spraw informatyzacji będzie pełnił funkcję organu odpowiedzialnego za zarządzanie incydentami i zarządzanie kryzysowe w cyberbezpieczeństwie na dużą skalę w wymiarze cywilnym. W celu realizacji tego zadania przewiduje zakup 4 zestawów komputerów, drukarek i słuchawek TEMPEST klasy SDIP-27 level A umożliwiające pracę nad informacjami niejawnymi."/>
    <n v="0"/>
    <n v="0"/>
    <n v="0"/>
    <n v="0"/>
    <n v="0"/>
    <s v="n/d"/>
    <s v="n/d"/>
    <s v="n/d"/>
    <s v="n/d"/>
  </r>
  <r>
    <x v="0"/>
    <x v="7"/>
    <s v="n/d"/>
    <s v="n/d"/>
    <s v="n/d"/>
    <s v="n/d"/>
    <s v="n/d"/>
    <n v="4240"/>
    <n v="0"/>
    <s v="16.5.3.1."/>
    <s v="budżet państwa "/>
    <s v="Koszt zakupu licencji do norm technicznych i innych dokumentów standaryzacyjnych z zakresu cyberbezpieczeństwa"/>
    <s v="Zgodnie z art. 53 ust. 1 w zw. z art. 40 -41b projektu ustawy o zmianie ustawy o krajowym systemie cyberbezpieczeństwa oraz niektórych innych ustaw (UC32) minister własciwy do spraw informatyzacji będzie jednym z organów właściwych do spraw cyberbezpieczeństwa nadzorującym podmioty kluczowe i podmioty ważen. W celu realizacji tego zadania przewiduje norm technicznych i dokumentów standaryzacyjnyc z zakresu cyberbezpieczeństwa, które umożliwią efektywne wykonywanie nadzoru."/>
    <n v="0"/>
    <n v="0"/>
    <n v="0"/>
    <n v="0"/>
    <n v="0"/>
    <s v="n/d"/>
    <s v="n/d"/>
    <s v="n/d"/>
    <s v="n/d"/>
  </r>
  <r>
    <x v="0"/>
    <x v="7"/>
    <s v="n/d"/>
    <s v="n/d"/>
    <s v="n/d"/>
    <s v="n/d"/>
    <s v="n/d"/>
    <n v="2830"/>
    <n v="0"/>
    <s v="16.5.3.4."/>
    <s v="podmioty pozostałe (z wyjątkiem PKP PLK S.A.)"/>
    <s v="Dotacja celowa na zakup infrastruktury dla CSIRT NASK"/>
    <s v="Zgodnie z art. 53 ust. 1 w zw. z art. 40 -41b projektu ustawy o zmianie ustawy o krajowym systemie cyberbezpieczeństwa oraz niektórych innych ustaw (UC32) minister własciwy do spraw informatyzacji będzie mógł udzielić zespołowi CSIRT NASK dotacji celowej na infrastrukturę niezbędną do wykonywania zadań."/>
    <n v="0"/>
    <n v="0"/>
    <n v="0"/>
    <n v="0"/>
    <n v="0"/>
    <s v="n/d"/>
    <s v="n/d"/>
    <s v="n/d"/>
    <s v="n/d"/>
  </r>
  <r>
    <x v="0"/>
    <x v="7"/>
    <s v="n/d"/>
    <s v="n/d"/>
    <s v="n/d"/>
    <s v="n/d"/>
    <s v="n/d"/>
    <n v="6230"/>
    <n v="0"/>
    <s v="16.5.3.4."/>
    <s v="podmioty pozostałe (z wyjątkiem PKP PLK S.A.)"/>
    <s v="Dotacja celowa na zakup infrastruktury dla CSIRT NASK"/>
    <s v="Zgodnie z art. 53 ust. 1 w zw. z art. 40 -41b projektu ustawy o zmianie ustawy o krajowym systemie cyberbezpieczeństwa oraz niektórych innych ustaw (UC32) minister własciwy do spraw informatyzacji będzie mógł udzielić zespołowi CSIRT NASK dotacji celowej na infrastrukturę niezbędną do wykonywania zadań."/>
    <n v="0"/>
    <n v="0"/>
    <n v="0"/>
    <n v="0"/>
    <n v="0"/>
    <s v="n/d"/>
    <s v="n/d"/>
    <s v="n/d"/>
    <s v="n/d"/>
  </r>
  <r>
    <x v="0"/>
    <x v="7"/>
    <s v="n/d"/>
    <s v="n/d"/>
    <s v="n/d"/>
    <s v="n/d"/>
    <s v="n/d"/>
    <n v="2830"/>
    <n v="0"/>
    <s v="16.5.3.4."/>
    <s v="podmioty pozostałe (z wyjątkiem PKP PLK S.A.)"/>
    <s v="Dotacja celowa dla NASK PIB na utworzenie CSIRT sektorowego dla sektorów infrastruktura cyfrowa/usługi cyfrowe/zarządzanie ICT"/>
    <s v="Zgodnie z art.. 44a ust. 1 oraz art.. 44d ust. 2 projektu ustawy o zmianie ustawy o krajowym systemie cyberbezpieczeństwa Minister Cyfryzacji powierzy zadanie funkcjonowania zespołu CSIRT sektorowego dla sektorów infrastruktury cyfrowej, usług cyfrowych i zarządzania ICT NASK - PIB"/>
    <n v="0"/>
    <n v="0"/>
    <n v="0"/>
    <n v="0"/>
    <n v="0"/>
    <s v="n/d"/>
    <s v="n/d"/>
    <s v="n/d"/>
    <s v="n/d"/>
  </r>
  <r>
    <x v="0"/>
    <x v="7"/>
    <s v="n/d"/>
    <s v="n/d"/>
    <s v="n/d"/>
    <s v="n/d"/>
    <s v="n/d"/>
    <n v="6230"/>
    <n v="0"/>
    <s v="16.5.3.4."/>
    <s v="podmioty pozostałe (z wyjątkiem PKP PLK S.A.)"/>
    <s v="Dotacja celowa dla NASK PIB na utworzenie CSIRT sektorowego dla sektorów infrastruktura cyfrowa/usługi cyfrowe/zarządzanie ICT"/>
    <s v="Zgodnie z art.. 44a ust. 1 oraz art.. 44d ust. 2 projektu ustawy o zmianie ustawy o krajowym systemie cyberbezpieczeństwa Minister Cyfryzacji powierzy zadanie funkcjonowania zespołu CSIRT sektorowego dla sektorów infrastruktury cyfrowej, usług cyfrowych i zarządzania ICT NASK - PIB"/>
    <n v="0"/>
    <n v="0"/>
    <n v="0"/>
    <n v="0"/>
    <n v="0"/>
    <s v="n/d"/>
    <s v="n/d"/>
    <s v="n/d"/>
    <s v="n/d"/>
  </r>
  <r>
    <x v="0"/>
    <x v="7"/>
    <s v="n/d"/>
    <s v="n/d"/>
    <s v="n/d"/>
    <s v="n/d"/>
    <s v="n/d"/>
    <n v="2830"/>
    <n v="0"/>
    <s v="16.5.3.4."/>
    <s v="podmioty pozostałe (z wyjątkiem PKP PLK S.A.)"/>
    <s v="Bezpieczne dane"/>
    <s v="Art. 39a projektu ustawy o zmianie ustawy o krajowym systemie cyberbezpieczeństwa"/>
    <n v="2414"/>
    <n v="0"/>
    <n v="0"/>
    <n v="0"/>
    <n v="0"/>
    <s v="n/d"/>
    <s v="n/d"/>
    <s v="n/d"/>
    <s v="n/d"/>
  </r>
  <r>
    <x v="0"/>
    <x v="8"/>
    <s v="Wspomaganie wdrażania nowych technologii w administracji publicznej"/>
    <s v="Organizacja kompleksowej obsługi spotkań, szkoleń i wydarzeń, w tym Hackatonu "/>
    <m/>
    <s v="-"/>
    <n v="2025"/>
    <n v="4000"/>
    <s v="Część 27"/>
    <s v="16.5.2.2."/>
    <m/>
    <s v="Organizacja wydarzeń wspierających proces wdrażania nowych technologii w administracji publicznej "/>
    <s v="Zorganizowanie konferencji, cyklu warsztatów oraz Hackatonu mającego na celu popularyzację i pozyskanie rozwiązań technicznych i organizacyjnych wdrażających nowoczesne, innowacyjne technologie do podmiotów sektora publicznego "/>
    <n v="1200"/>
    <n v="1320"/>
    <n v="1452"/>
    <m/>
    <m/>
    <s v="planowane"/>
    <m/>
    <m/>
    <m/>
  </r>
  <r>
    <x v="0"/>
    <x v="8"/>
    <s v="Wspomaganie wdrażania nowych technologii w administracji publicznej"/>
    <s v="Hackathon -  wdrożenie wybranego rozwiązania "/>
    <m/>
    <s v="-"/>
    <n v="2025"/>
    <n v="4000"/>
    <s v="Część 27"/>
    <s v="16.5.2.2."/>
    <m/>
    <s v="Wspomaganie wdrażania nowych technologii w administracji publicznej"/>
    <s v="Pokrycie kosztów wdrożenia rozwiązania/rozwiązań najwyżej ocenionych podczas Hackatonu "/>
    <n v="75"/>
    <n v="1125"/>
    <n v="1237"/>
    <m/>
    <m/>
    <s v="planowane"/>
    <m/>
    <m/>
    <m/>
  </r>
  <r>
    <x v="0"/>
    <x v="8"/>
    <s v="Wspomaganie wdrażania nowych technologii w administracji publicznej"/>
    <s v="Hackathon -  nagrody pieniężne dla zwycięskich 3 zespołów biorących udział w wydarzeniu "/>
    <m/>
    <s v="-"/>
    <n v="2025"/>
    <n v="4190"/>
    <s v="Część 27"/>
    <s v="16.5.2.2."/>
    <m/>
    <s v="Nagrody pieniężne dla lauratów konkursów programistycznych dot. nowych technologii w administracji publicznej "/>
    <s v="Wyłonione w ramach konkurencji zwycięskie zespoły otrzymają nagrody pieniężne "/>
    <n v="90"/>
    <n v="99"/>
    <n v="109"/>
    <m/>
    <m/>
    <s v="planowane"/>
    <m/>
    <m/>
    <m/>
  </r>
  <r>
    <x v="0"/>
    <x v="8"/>
    <s v="Delegacje krajowe"/>
    <s v="udział w spotkaniach, konferencjach i seminariach krajowych"/>
    <m/>
    <s v="-"/>
    <n v="2025"/>
    <n v="4000"/>
    <s v="Część 27"/>
    <s v="16.5.2.2."/>
    <m/>
    <s v="Delegacje krajowe"/>
    <s v="Udział w konferencjach tematycznych, wspracie instytucji publicznych na terenie kraju "/>
    <n v="25"/>
    <n v="28"/>
    <n v="30"/>
    <m/>
    <m/>
    <s v="planowane"/>
    <m/>
    <m/>
    <m/>
  </r>
  <r>
    <x v="0"/>
    <x v="8"/>
    <s v="Delegacja zagraniczne"/>
    <s v="Udział w grupach roboczych, obsługa spotkań międzynarodowych, zwłaszcza gremiów europejskich"/>
    <m/>
    <s v="-"/>
    <n v="2025"/>
    <n v="4000"/>
    <s v="Część 27"/>
    <s v="16.5.2.2."/>
    <m/>
    <s v="Delegacja zagraniczne"/>
    <s v="Udział w grupach roboczych, obsługa spotkań międzynarodowych, zwłaszcza gremiów europejskich"/>
    <n v="45"/>
    <n v="50"/>
    <n v="55"/>
    <m/>
    <m/>
    <s v="planowane"/>
    <m/>
    <m/>
    <m/>
  </r>
  <r>
    <x v="0"/>
    <x v="8"/>
    <s v="Usługa tłumaczeń "/>
    <s v="Tłumaczenia"/>
    <m/>
    <s v="-"/>
    <n v="2025"/>
    <n v="4000"/>
    <s v="Część 27"/>
    <s v="16.5.2.2."/>
    <m/>
    <s v="Usługa tłumaczeń "/>
    <s v="Zapewnienie usługi tłumaczenia materiałów niezbędnych do pracy k.o. "/>
    <n v="5"/>
    <n v="6"/>
    <n v="6"/>
    <m/>
    <m/>
    <s v="planowane"/>
    <m/>
    <m/>
    <m/>
  </r>
  <r>
    <x v="0"/>
    <x v="8"/>
    <s v="Wspomaganie wdrażania nowych technologii w administracji publicznej"/>
    <s v="Zamawianie badań, analiz i ekspertyz oraz prowadzenia ewaluacji polityk publicznych "/>
    <m/>
    <s v="-"/>
    <n v="2025"/>
    <n v="4000"/>
    <s v="Część 27"/>
    <s v="16.5.2.2."/>
    <m/>
    <s v="Identyfikacja obszaru e-sportu w celu opracowania wstępnych założeń legislacyjnych oraz identyfikacja obszaru Interentu Rzeczy, w szczególności w energetyce, transporcie, rolnictwie i przemyśle;"/>
    <s v="Opracowanie materiałów pozwalajacych na efektywne prowadzenie działań zmierzających do popularyzacji i wdrażania innowacyjnych technologii w sektorze publicznym oraz analiz zwiazanych ze zmianami legislacyjnymi"/>
    <n v="400"/>
    <n v="440"/>
    <n v="484"/>
    <m/>
    <m/>
    <s v="planowane"/>
    <m/>
    <m/>
    <m/>
  </r>
  <r>
    <x v="0"/>
    <x v="8"/>
    <s v="Doradztwo instytucjom publicznym "/>
    <s v="Opiniowanie i doradzanie instytucjom publicznym w zakresie rozpoznania potrzeb technologicznych"/>
    <m/>
    <s v="-"/>
    <n v="2025"/>
    <n v="4000"/>
    <s v="Część 27"/>
    <s v="16.5.2.2."/>
    <m/>
    <s v="Doradztwo innstytucjom publicznym "/>
    <s v="Zatrudnienie ekspertów w ramach zapewnienia wspracia dla Ministerstwa Cyfryzacji i współpracujących instytucji publicznych "/>
    <n v="750"/>
    <n v="825"/>
    <n v="908"/>
    <m/>
    <m/>
    <s v="planowane"/>
    <m/>
    <m/>
    <m/>
  </r>
  <r>
    <x v="0"/>
    <x v="8"/>
    <s v="Zakup narzędzi informatycznych i licencji niezbędnych do prowadzenia warsztatów "/>
    <s v="Zakup specjalistycznych narzędzi informatycznych i licencji wspomagajacych zespół w prowadzeniu warsztatów wewnętrznych i międzyinstytucjonalnych, prowadzących do wypracowania modelu pozyskiwania i wdrażania innowacji w sektorze publicznym  "/>
    <m/>
    <s v="-"/>
    <n v="2025"/>
    <n v="4000"/>
    <s v="Część 27"/>
    <s v="16.5.2.2."/>
    <m/>
    <s v="Zakup narzędzi informatycznych i licencji niezbędnych do prowadzenia warsztatów "/>
    <s v="Zakup specjalistycznych narzędzi informatycznych i licencji wspomagajacych zespół w prowadzeniu warsztatów wewnętrznych i międzyinstytucjonalnych, prowadzących do wypracowania modelu pozyskiwania i wdrażania innowacji w sektorze publicznym  "/>
    <n v="20"/>
    <n v="22"/>
    <n v="24"/>
    <m/>
    <m/>
    <s v="planowane"/>
    <m/>
    <m/>
    <m/>
  </r>
  <r>
    <x v="0"/>
    <x v="8"/>
    <s v="Dotacja"/>
    <s v="Zaprojektowanie i wdrożenie oraz utrzymanie i rozwój systemu służącego stworzeniu odpowiedniego zaplecza technicznego (platformy) w celu kompleksowej obsługi konkursów czy dialogów technicznych."/>
    <m/>
    <s v="-"/>
    <n v="2025"/>
    <n v="2800"/>
    <s v="Część 27"/>
    <s v="16.5.1.2."/>
    <m/>
    <s v="Dotacja na wdrożenie i utrzymanie rozwiązania informatyczego "/>
    <s v="Zaprojektowanie i wdrożenie oraz utrzymanie i rozwój systemu służącego stworzeniu odpowiedniego zaplecza technicznego (platformy) w celu kompleksowej obsługi konkursów czy dialogów technicznych."/>
    <n v="1500"/>
    <n v="300"/>
    <n v="300"/>
    <m/>
    <m/>
    <s v="planowane"/>
    <m/>
    <m/>
    <m/>
  </r>
  <r>
    <x v="0"/>
    <x v="9"/>
    <m/>
    <s v="Koszty umowy związane z zastępstwem procesowym w postępowaniu przed cypryjskim sądem"/>
    <m/>
    <m/>
    <m/>
    <n v="4000"/>
    <n v="0"/>
    <s v="22.1.1.1."/>
    <m/>
    <s v="zastępstwo procesowe"/>
    <s v="zabezpieczone koszty z tytułu zastępstwa procesowago w postępowaniu przed cypryjskim sądem na podstawie podpisanych umów."/>
    <n v="90"/>
    <m/>
    <m/>
    <m/>
    <m/>
    <s v="umowa"/>
    <s v="umowa "/>
    <s v="835/DP/21 z dnia 22.06.2021r."/>
    <s v="DR.K.CHRYSOSTOMIDES &amp; CO. LLC, a Lawyers' Limited Company incorporated uder the laws of the Rrepublic of Cyprus"/>
  </r>
  <r>
    <x v="0"/>
    <x v="9"/>
    <m/>
    <s v="Zakup usług obejmujący tłumaczenia "/>
    <m/>
    <m/>
    <m/>
    <n v="4000"/>
    <n v="0"/>
    <s v="22.1.1.1."/>
    <m/>
    <s v="tłumaczenia"/>
    <s v="zaplanowanie wydatków w ramach zakupu usług obejmujących tłumaczenia wynikają z zadań prawno-legislacyjnych realizowane w DP."/>
    <n v="40"/>
    <n v="40"/>
    <n v="40"/>
    <n v="40"/>
    <n v="40"/>
    <s v="planowane"/>
    <s v="planowane"/>
    <m/>
    <m/>
  </r>
  <r>
    <x v="0"/>
    <x v="9"/>
    <m/>
    <s v="Dieta dla rzecznika dyscyplinarnego"/>
    <m/>
    <m/>
    <m/>
    <n v="4170"/>
    <n v="0"/>
    <s v="22.1.1.1."/>
    <m/>
    <s v="dieta"/>
    <s v="zaplanowanie wydatków związanych z pracą Rzecznika Dyscyplinarnego."/>
    <n v="2"/>
    <n v="2"/>
    <n v="2"/>
    <n v="2"/>
    <n v="2"/>
    <s v="planowane"/>
    <s v="planowane"/>
    <m/>
    <m/>
  </r>
  <r>
    <x v="0"/>
    <x v="9"/>
    <m/>
    <s v="Zakup książek dotyczących pomocy prawnej i legislacji w DP"/>
    <m/>
    <m/>
    <m/>
    <n v="4240"/>
    <n v="0"/>
    <s v="22.1.1.1."/>
    <m/>
    <s v="zakup książek"/>
    <s v="zaplanowanie wydatków na zakup ksiązek dla Departamentu Prawnego, w celu realizacji powierzanych zadań."/>
    <n v="5"/>
    <n v="5"/>
    <n v="5"/>
    <n v="5"/>
    <n v="5"/>
    <s v="planowane"/>
    <s v="planowane"/>
    <m/>
    <m/>
  </r>
  <r>
    <x v="0"/>
    <x v="9"/>
    <m/>
    <s v="Zakup usługi obejmuje dostęp do informacji prawnej dla MC"/>
    <m/>
    <m/>
    <m/>
    <n v="4000"/>
    <n v="0"/>
    <s v="22.1.1.1."/>
    <m/>
    <s v="zakup usług"/>
    <s v="[LEX]zaplanowanie wydatków w ramach zakupu licencji na LEX wynika z potrzeby zapewnienia dodatkowego systemu informacji prawnej, oprócz SIP Legalis; zakup licencji do LEZ jest uzasadniony tym, że ten system posiada inną baże publikacji z obszaru prawa, niż wybrany przez COAR SIP Legalis"/>
    <n v="80"/>
    <n v="80"/>
    <n v="80"/>
    <n v="80"/>
    <n v="80"/>
    <s v="planowane"/>
    <s v="planowane"/>
    <m/>
    <m/>
  </r>
  <r>
    <x v="0"/>
    <x v="9"/>
    <m/>
    <s v="Zakup usługi obejmuje dostęp do informacji prawnej dla MC"/>
    <m/>
    <m/>
    <m/>
    <n v="4000"/>
    <n v="0"/>
    <s v="22.1.1.1."/>
    <m/>
    <s v="zakup usług"/>
    <s v="zaplanowanie wydatków w ramach zakupu licencji SIP (w wyniku udzielenia centralnego zamówienia przez COAR) wynika z potrzeby zapewnienia Systemu Informacji Prawnej dla MC"/>
    <n v="60"/>
    <n v="60"/>
    <n v="60"/>
    <n v="60"/>
    <n v="60"/>
    <s v="planowane"/>
    <s v="planowane"/>
    <m/>
    <m/>
  </r>
  <r>
    <x v="0"/>
    <x v="10"/>
    <m/>
    <m/>
    <m/>
    <m/>
    <m/>
    <n v="2830"/>
    <n v="0"/>
    <s v="16.5.1.2"/>
    <m/>
    <s v="Utrzymanie Systemu Inwentaryzacji Systemów Teleinformatycznych (SIST) i przeprowadzenie dwóch inwentaryzacji"/>
    <s v="Utrzymanie Systemu Inwentaryzacji Systemów Teleinformatycznych (SIST) i przeprowadzenie do dwóch inwentaryzacji (dalej zwane także: Zadaniem) Dane zbierane dzięki formularzom ankietowym zamieszczonym w SIST służą bezpośrednio Ministrowi Cyfryzacji do wsparcia procesów planistycznych oraz założeń programowych Wspólnej Infrastruktury Informatycznej Państwa i Architektury Informacyjnej Państwa. Wyniki Inwentaryzacji SIST są źródłem aktualnej informacji o systemach, rejestrach, które prowadzone są przez administrację publiczną."/>
    <n v="1000"/>
    <n v="1100"/>
    <n v="1133"/>
    <n v="1167"/>
    <n v="1202"/>
    <s v="podpisana umowa"/>
    <m/>
    <s v="Umowa dotacji nr 169/DPiS/24"/>
    <s v="Instytut Łączności - Państwowy Instytut Badawczy"/>
  </r>
  <r>
    <x v="0"/>
    <x v="10"/>
    <m/>
    <m/>
    <m/>
    <m/>
    <m/>
    <n v="4000"/>
    <n v="0"/>
    <s v="16.5.1.2"/>
    <m/>
    <s v="Aris - odnowienie wsparcia technicznego dla systemu modelowania architektury ARIS, usługi utrzymania, zapewnienie wsparcia ekspertów do konsultracji w zakresie funkcjonalności "/>
    <s v="Oprogramowanie wspierajace zbieranie informacji o infrastrukturze informatycznej kraju, umożliwiające przygotowanie planów optymalizacyjnych. Ponadto dostarcza dane do analiz w zakresie infrastruktury informatycznej. Długofalowym efektem będzie rozwój Architektury Informacyjnej Państwa adaptującej się do zmieniających ról poszczególnych organów państwowych."/>
    <n v="239"/>
    <n v="290"/>
    <n v="300"/>
    <n v="310"/>
    <n v="320"/>
    <s v="podpisana umowa"/>
    <m/>
    <s v="Umowa nr 82/DPiS/24"/>
    <s v="Ateris Spółka Akcyjna, z siedzibą w Poznaniu, adres: 60-622 Poznań, ul. Warmińska 1"/>
  </r>
  <r>
    <x v="0"/>
    <x v="10"/>
    <m/>
    <m/>
    <m/>
    <m/>
    <m/>
    <n v="4000"/>
    <n v="0"/>
    <s v="16.5.1.2"/>
    <m/>
    <s v="Świadczenie specjalistycznych usług z zakresu IT "/>
    <s v="BL AIP - opracowanie koncepcji rozwiązań architektonicznych, współpracą z jednostkami administracji publicznej w zakresie opracowania architektury informacyjnej danej jednostki, prowadzeniem spraw związanych z zapewnieniem interoperacyjności systemów teleinformatycznych podmiotów publicznych oraz trzymaniem repozytorium AIP niezbędne jest wsparcie eksperckie architektów oraz analityków systemowych.  _x000a__x000a_Zgodnie z nowym zarządzeniem dot. KRMC wszystkie projekty informatyczne będą miały obowiązek konsultacji z AIP. "/>
    <n v="1123"/>
    <n v="915"/>
    <s v="-"/>
    <s v="-"/>
    <s v="-"/>
    <s v="podpisana umowa"/>
    <m/>
    <s v="Umowa nr 94/DPiS/24"/>
    <s v="Transition Technologies-Software sp. z o.o. z siedzibą w Warszawie"/>
  </r>
  <r>
    <x v="0"/>
    <x v="10"/>
    <m/>
    <m/>
    <m/>
    <m/>
    <m/>
    <n v="2830"/>
    <n v="0"/>
    <s v="16.5.1.2"/>
    <m/>
    <s v="Utrzymanie i rozwój Architektury Informacyjnej Państwa"/>
    <s v="Celem realizacji zadania jest kontynuacja działań związanych z poprawą bezpieczeństwa państwa oraz wsparcie zadań zintegrowanej informatyzacji poprzez uzyskanie ładu architektonicznego w administracji państwowej w obrębie rozwiązań teleinformatycznych zorientowanych na świadczenie usług na rzecz społeczeństwa oraz zapewniających funkcjonowanie administracji. Zadania te nie zostały powierzone i nie są realizowane przez żaden inny organ państwa ani jednostkę organizacyjną Ministerstwa. Prace nad AIP wpisują się w strategiczną inicjatywę Unii Europejskiej dot. zapewnienia interoperacyjności publicznych usług elektronicznych na obszarze UE, której wdrożenie w Polsce wspiera Minister Cyfryzacji. Przy realizacji zadania uwzględnione zostaną wytyczne w tym zakresie wypracowane w ramach programu ISA (Interoperability Solutions for Administration), w tym przede wszystkim architektura referencyjna EIRA (European Interoperability Reference Architecture)."/>
    <n v="3991"/>
    <n v="5487"/>
    <n v="6035"/>
    <n v="6600"/>
    <n v="7200"/>
    <s v="podpisana umowa"/>
    <m/>
    <s v="Umowa dotacji nr 114/DPiS/24_x000a__x000a_ "/>
    <s v="Naukowa i Akademicka Sieci Komputerowa – Państwowy Instytut Badawczy"/>
  </r>
  <r>
    <x v="0"/>
    <x v="10"/>
    <m/>
    <m/>
    <m/>
    <m/>
    <m/>
    <n v="2830"/>
    <n v="0"/>
    <s v="16.5.1.2"/>
    <m/>
    <s v="EDIC "/>
    <s v="Dotacja na zadania związane z realizacją EDIC. EDIC jest instrumentem dla państw członkowskich umożliwiającym osiągnięcie ogólnych celów w ramach program „Droga ku cyfrowej dekadzie” do 2030 r. w celu przyspieszenia i uproszczenia tworzenia i realizacji projektów wielokrajowych. EDIC realizuje projekt wielokrajowy, wdrażając wspólną infrastrukturę, świadcząc usługi i łącząc podmioty publiczne, podmioty prywatne, użytkowników końcowych i przemysł, zgodnie z wolą państw. "/>
    <n v="1932"/>
    <n v="1932"/>
    <n v="1932"/>
    <n v="1932"/>
    <s v="-"/>
    <s v="planowane"/>
    <m/>
    <m/>
    <m/>
  </r>
  <r>
    <x v="0"/>
    <x v="10"/>
    <m/>
    <m/>
    <m/>
    <m/>
    <m/>
    <n v="4690"/>
    <n v="0"/>
    <s v="16.5.2.2"/>
    <m/>
    <s v="EDIC "/>
    <s v="Składka członkowska w organizacji. EDIC jest instrumentem dla państw członkowskich umożliwiającym osiągnięcie ogólnych celów w ramach program „Droga ku cyfrowej dekadzie” do 2030 r. w celu przyspieszenia i uproszczenia tworzenia i realizacji projektów wielokrajowych. EDIC realizuje projekt wielokrajowy, wdrażając wspólną infrastrukturę, świadcząc usługi i łącząc podmioty publiczne, podmioty prywatne, użytkowników końcowych i przemysł, zgodnie z wolą państw."/>
    <n v="158"/>
    <n v="158"/>
    <n v="158"/>
    <n v="158"/>
    <s v="-"/>
    <s v="planowane"/>
    <m/>
    <m/>
    <m/>
  </r>
  <r>
    <x v="0"/>
    <x v="10"/>
    <m/>
    <m/>
    <m/>
    <m/>
    <m/>
    <n v="4410"/>
    <n v="0"/>
    <s v="16.5.1.2"/>
    <m/>
    <s v="delegacje krajowe"/>
    <s v="udział w spotkaniach, konferencjach i seminariach krajowych"/>
    <m/>
    <m/>
    <m/>
    <m/>
    <m/>
    <s v="planowane"/>
    <m/>
    <m/>
    <m/>
  </r>
  <r>
    <x v="0"/>
    <x v="10"/>
    <m/>
    <m/>
    <m/>
    <m/>
    <m/>
    <n v="4420"/>
    <n v="0"/>
    <s v="16.5.1.2"/>
    <m/>
    <s v="delegacje zagraniczne "/>
    <s v="Udział w grupach roboczych, obsługa spotkań międzynarodowych, zwłaszcza gremiów europejskich"/>
    <m/>
    <m/>
    <m/>
    <m/>
    <m/>
    <s v="planowane"/>
    <m/>
    <m/>
    <m/>
  </r>
  <r>
    <x v="0"/>
    <x v="10"/>
    <m/>
    <m/>
    <m/>
    <m/>
    <m/>
    <n v="2830"/>
    <n v="0"/>
    <s v="16.5.1.2"/>
    <m/>
    <s v="Rozwój systemu MonAliZa 2.0"/>
    <s v="Prace rozwojowe systemu MonAliZa 2.0 w zakresie wsparcia monitorowania i zarządzania projektami, programami i portfelami zgodnie z oczekiwaniami interesariuszy oraz jego stabilizacja._x000a_W ramach prac zostaną wykonane: _x000a_- modyfikacje istniejących i tworzenie nowych funkcjonalności zapewniających kompleksowość monitorowania i zarządzania projektami, programami i portfelami,_x000a_- stabilizacja systemu."/>
    <n v="2000"/>
    <n v="5500"/>
    <n v="2200"/>
    <n v="2200"/>
    <n v="2200"/>
    <s v="procedowana umowa na 2024 / planowane na lata następne"/>
    <m/>
    <m/>
    <m/>
  </r>
  <r>
    <x v="0"/>
    <x v="10"/>
    <m/>
    <m/>
    <m/>
    <m/>
    <m/>
    <n v="2830"/>
    <n v="0"/>
    <s v="16.5.1.2"/>
    <m/>
    <s v="Utrzymanie systemu Monaliza 2.0 "/>
    <s v="Techniczne utrzymanie, w tym tzw &quot;mały&quot; rozwój (nieobejmujący zmiany lub rozbudowy funckjonalności) modułów systemu Monaliza po ich wdrożeniu"/>
    <n v="1000"/>
    <n v="2500"/>
    <n v="3000"/>
    <n v="3000"/>
    <n v="3000"/>
    <s v="podpisana"/>
    <m/>
    <s v="1630/DAIP/2022"/>
    <s v="Instytut Łączności - Państwowy Instytut Badawczy"/>
  </r>
  <r>
    <x v="0"/>
    <x v="10"/>
    <m/>
    <m/>
    <m/>
    <m/>
    <m/>
    <n v="4000"/>
    <n v="0"/>
    <s v="16.5.1.2"/>
    <m/>
    <s v="Rozwój systemu MonAliZa 2.0 "/>
    <s v="Prace rozwojowe systemu MonAliZa 2.0 w zakresie wsparcia monitorowania i zarządzania projektami, programami i portfelami zgodnie z oczekiwaniami interesariuszy oraz jego stabilizacja._x000a_W ramach prac zostaną wykonane: _x000a_- opracowanie koncepcji, założen oraz dokumentacji dla modyfikacji istniejących i tworzenia nowych funkcjonalności zapewniających kompleksowość monitorowania i zarządzania projektami, programami i portfelami."/>
    <n v="800"/>
    <n v="1200"/>
    <s v="-"/>
    <s v="-"/>
    <s v="-"/>
    <s v="podpisana umowa"/>
    <m/>
    <s v="112/DPIS/24"/>
    <s v="Britenet"/>
  </r>
  <r>
    <x v="0"/>
    <x v="10"/>
    <m/>
    <m/>
    <m/>
    <m/>
    <m/>
    <n v="4170"/>
    <n v="0"/>
    <s v="16.5.1.2"/>
    <m/>
    <s v="Obsługa KRMC "/>
    <s v="Zatrudnienie ekspretów w ramach działań związanych z obsługą KRMC - opiniowanie projektów KRMC"/>
    <n v="600"/>
    <n v="1200"/>
    <n v="1200"/>
    <n v="1200"/>
    <n v="1200"/>
    <s v="planowane"/>
    <m/>
    <m/>
    <m/>
  </r>
  <r>
    <x v="0"/>
    <x v="10"/>
    <m/>
    <m/>
    <m/>
    <m/>
    <m/>
    <n v="4000"/>
    <n v="0"/>
    <s v="16.5.1.2"/>
    <m/>
    <s v="Współpraca z samorządami - budowa jednego punktu kontaktu PKJST"/>
    <s v="Modyfikacja, uzupełnienie portalu samorzad.gov.pl, pod kątem utworzenia jednego punktu kontaktu z JST w celu wsparcia koordynacji współpracy administracji rządowej z samorządową oraz wdrażania AIP w JST i jego utrzymanie"/>
    <m/>
    <m/>
    <m/>
    <m/>
    <m/>
    <s v="planowane"/>
    <m/>
    <m/>
    <m/>
  </r>
  <r>
    <x v="0"/>
    <x v="10"/>
    <m/>
    <m/>
    <m/>
    <m/>
    <m/>
    <n v="2830"/>
    <n v="0"/>
    <s v="16.5.1.2"/>
    <m/>
    <s v="Rozwój systemu MonAliZa 2.0 "/>
    <s v="Testy (audyty) bezpieczeństwa systemu MonAliZa 2.0"/>
    <n v="550"/>
    <s v="-"/>
    <n v="550"/>
    <s v="-"/>
    <n v="550"/>
    <s v="planowane"/>
    <m/>
    <m/>
    <s v="NASK"/>
  </r>
  <r>
    <x v="0"/>
    <x v="10"/>
    <m/>
    <m/>
    <m/>
    <m/>
    <m/>
    <n v="4000"/>
    <n v="0"/>
    <s v="16.5.1.2"/>
    <m/>
    <s v="Współpraca z samorządami - budowa jednego punktu kontaktu PKJST"/>
    <s v="Opracowanie wymagań oraz wsparcie analityczne modyfikacji, uzupełnienia  portalu samorzad.gov.pl, pod kątem utworzenia jednego punktu kontaktu z JST w celu wsparcia koordynacji współpracy administracji rządowej z samorządową oraz wdrażania AIP w JST i jego utrzymanie"/>
    <n v="1200"/>
    <n v="1000"/>
    <n v="1000"/>
    <n v="1000"/>
    <n v="1000"/>
    <s v="podpisana umowa"/>
    <m/>
    <s v="112/DPIS/24"/>
    <s v="Britenet"/>
  </r>
  <r>
    <x v="0"/>
    <x v="10"/>
    <m/>
    <m/>
    <m/>
    <m/>
    <m/>
    <n v="4000"/>
    <n v="0"/>
    <s v="16.5.1.2"/>
    <m/>
    <s v="Obsługa KRMC "/>
    <s v="Obsluga posiedzeń Komitetu Rady Ministrów do spraw Cyfryzacji"/>
    <n v="80"/>
    <n v="20"/>
    <n v="20"/>
    <n v="20"/>
    <n v="20"/>
    <s v="planowane"/>
    <m/>
    <m/>
    <m/>
  </r>
  <r>
    <x v="0"/>
    <x v="10"/>
    <m/>
    <m/>
    <m/>
    <m/>
    <m/>
    <n v="4000"/>
    <n v="0"/>
    <s v="16.5.1.2"/>
    <m/>
    <s v="Utrzymanie systemu Monaliza 2.0 "/>
    <s v="Zakup certyfikatów do podłączenia się do Węzła Krajowego (3 lata) systemu MonALiZa 2.0"/>
    <n v="2"/>
    <n v="2"/>
    <n v="3"/>
    <n v="3"/>
    <n v="3"/>
    <s v="planowane"/>
    <m/>
    <m/>
    <m/>
  </r>
  <r>
    <x v="0"/>
    <x v="10"/>
    <m/>
    <m/>
    <m/>
    <m/>
    <m/>
    <n v="4000"/>
    <n v="0"/>
    <s v="16.5.1.2"/>
    <m/>
    <s v="Utrzymanie systemu Monaliza 2.0 "/>
    <s v="Zakup certyfikatów do podłączenia się do Węzła Krajowego (3 lata) systemu MonALiZa 2.0"/>
    <n v="2"/>
    <s v="-"/>
    <s v="-"/>
    <n v="2"/>
    <s v="-"/>
    <s v="planowane"/>
    <m/>
    <m/>
    <m/>
  </r>
  <r>
    <x v="0"/>
    <x v="10"/>
    <m/>
    <m/>
    <m/>
    <m/>
    <m/>
    <n v="4000"/>
    <n v="0"/>
    <s v="16.5.1.2"/>
    <m/>
    <s v="Współpraca z samorządami"/>
    <s v="Opracowanie i realizacja badań oraz doradztwo eksperckie dotyczącee zakresu i jakości procesów cyfryzacją administracji samorządowej"/>
    <n v="100"/>
    <n v="200"/>
    <n v="100"/>
    <n v="100"/>
    <n v="100"/>
    <s v="planowane"/>
    <m/>
    <m/>
    <m/>
  </r>
  <r>
    <x v="0"/>
    <x v="10"/>
    <m/>
    <m/>
    <m/>
    <m/>
    <m/>
    <n v="4000"/>
    <n v="0"/>
    <s v="16.5.1.2"/>
    <m/>
    <s v="Współpraca z samorządami"/>
    <s v="Organizacja konferencji, seminariów oraz spotkań w zakrsie koordynacji działań administracji rządowej z samrządową"/>
    <n v="300"/>
    <n v="300"/>
    <n v="300"/>
    <n v="300"/>
    <n v="300"/>
    <s v="planowane"/>
    <m/>
    <m/>
    <m/>
  </r>
  <r>
    <x v="0"/>
    <x v="10"/>
    <m/>
    <m/>
    <m/>
    <m/>
    <m/>
    <n v="4000"/>
    <n v="0"/>
    <s v="16.5.1.2"/>
    <m/>
    <s v="Utrzymanie AIS"/>
    <s v="Utrzymanie AIS, w tym modeli AIS oraz wsparcie budowy modeli AIST i wdrożeniu AIS w JST"/>
    <n v="0"/>
    <n v="3000"/>
    <n v="3000"/>
    <n v="3000"/>
    <n v="3000"/>
    <s v="planowane"/>
    <m/>
    <m/>
    <m/>
  </r>
  <r>
    <x v="0"/>
    <x v="10"/>
    <m/>
    <m/>
    <m/>
    <m/>
    <m/>
    <n v="4000"/>
    <n v="0"/>
    <s v="16.5.1.2"/>
    <m/>
    <s v="Usługa tłumacza"/>
    <s v="Usług zapewnienia tłumacza w ramach realizowanych spotkań z Komisją Europejską, w zakresie realizacji funkcji koordynacji działań mająch na celu realizację wytycznych Krajowego Planu Odbudowy - KPO."/>
    <n v="5"/>
    <n v="5"/>
    <n v="5"/>
    <n v="5"/>
    <n v="5"/>
    <s v="planowane"/>
    <m/>
    <m/>
    <m/>
  </r>
  <r>
    <x v="0"/>
    <x v="10"/>
    <m/>
    <m/>
    <m/>
    <m/>
    <m/>
    <n v="4000"/>
    <n v="0"/>
    <s v="16.5.1.2"/>
    <m/>
    <s v="Tworzenie materiałów i sprawozdań dotyczących dialogu społecznego i społeczeństwa obywatelskiego"/>
    <s v="ekspertyzy, badania i analizy oczekiwań społeczeństwa obywatelskiego powiązane z działaniami w obszarze partycypacji społecznej w obrębie prac nad dokumentami legislacyjnymi i pozalegislacyjnymi"/>
    <m/>
    <n v="300"/>
    <n v="300"/>
    <n v="300"/>
    <n v="300"/>
    <s v="planowane"/>
    <m/>
    <m/>
    <m/>
  </r>
  <r>
    <x v="0"/>
    <x v="10"/>
    <m/>
    <m/>
    <m/>
    <m/>
    <m/>
    <n v="4000"/>
    <n v="0"/>
    <s v="16.5.1.2"/>
    <m/>
    <s v="Działania informacyjno-promocyjne w obszarze dialogu społecznego"/>
    <s v="zakup materiałów informacyjnych, gadżetów związanych z promocją dialogu społecznego i konsultacji publicznych"/>
    <n v="20"/>
    <n v="20"/>
    <n v="20"/>
    <n v="20"/>
    <n v="20"/>
    <s v="planowane"/>
    <m/>
    <m/>
    <m/>
  </r>
  <r>
    <x v="0"/>
    <x v="10"/>
    <m/>
    <m/>
    <m/>
    <m/>
    <m/>
    <n v="4000"/>
    <n v="0"/>
    <s v="16.5.1.2"/>
    <m/>
    <s v="Prowadzenie konsultacji społecznych w procesie stanowienia prawa oraz projektów działań pozalegislacyjnych zgodnie z zasadami partycypacji społecznej"/>
    <s v="Organizacja konferencji, seminariów oraz spotkań konsultacyjnych, w tym spotkań branżowych, tworzenie dobrych praktyk w obszarze dialogu społecznego i konsultacji publicznych"/>
    <m/>
    <n v="300"/>
    <n v="300"/>
    <n v="300"/>
    <n v="300"/>
    <s v="planowane"/>
    <m/>
    <m/>
    <m/>
  </r>
  <r>
    <x v="0"/>
    <x v="10"/>
    <m/>
    <m/>
    <m/>
    <m/>
    <m/>
    <n v="4000"/>
    <n v="0"/>
    <s v="16.5.1.2"/>
    <m/>
    <s v="Zaprojektowanie i wdrożenie oraz utrzymanie i rozwój systemu służącego ułatwieniu komunikacji w obszarze dialogu społecznego i konsultacji publicznych"/>
    <s v="Realizacja zadania wspiera tworzenie dobrych praktyk i umacnianie roli konsultacji społecznych w życiu publicznym. Ponadto dostarczy dane do analiz w zakresie dialogu społecznego, oczekiwań społeczeństwa informacyjnego oraz rekomendacji do prac nad dokumentami legislacyjnymi i pozalegislacyjnymi."/>
    <m/>
    <n v="300"/>
    <n v="300"/>
    <s v="-"/>
    <s v="-"/>
    <s v="planowane"/>
    <m/>
    <m/>
    <m/>
  </r>
  <r>
    <x v="0"/>
    <x v="10"/>
    <m/>
    <m/>
    <m/>
    <m/>
    <m/>
    <n v="2830"/>
    <n v="0"/>
    <s v="16.5.1.2"/>
    <m/>
    <s v="Monitorowanie realizacji celów strategii cyfryzacji"/>
    <s v="W MC trwają prace nad nowym dokumentem starategicznym w obszarze cyfryzacji, po przyjęciu którego konieczne będzie monitorowanie stopnia realizacji założonych celów oraz efektywności wprowadzanych zmian. Istniejące obecnie źródła danych nie są wystarczająco dostosowane do potrzeb"/>
    <m/>
    <n v="300"/>
    <n v="300"/>
    <n v="300"/>
    <n v="300"/>
    <s v="planowane"/>
    <m/>
    <m/>
    <s v="Polski Instytut Ekonomiczny"/>
  </r>
  <r>
    <x v="0"/>
    <x v="10"/>
    <m/>
    <m/>
    <m/>
    <m/>
    <m/>
    <n v="4000"/>
    <n v="0"/>
    <s v="16.5.1.2"/>
    <m/>
    <s v="Obsługa prawna"/>
    <s v="W związku z prowadzonymi postępowaniami administracyjnymi niezbędne jest zapewnienie obsługi prawnej oraz zastępstwa procesowego."/>
    <n v="100"/>
    <n v="200"/>
    <n v="200"/>
    <s v="-"/>
    <s v="-"/>
    <s v="planowane"/>
    <m/>
    <m/>
    <m/>
  </r>
  <r>
    <x v="0"/>
    <x v="10"/>
    <m/>
    <m/>
    <m/>
    <m/>
    <m/>
    <n v="4000"/>
    <n v="0"/>
    <s v="16.5.1.2"/>
    <m/>
    <s v="Opracowanie graficzne, tłumaczenie i wydruk Strategii cyfryzacji"/>
    <s v="Nowy dokument strategiczny zostanie przyjęty na przełomie 2024/2025. Po akceptacji treści przez RM, konieczne będzie dostosowanie jego formy graficznej oraz tłumaczenie na potrzeby odbiorców zagranicznych "/>
    <n v="30"/>
    <s v="-"/>
    <s v="-"/>
    <s v="-"/>
    <s v="-"/>
    <s v="planowane"/>
    <m/>
    <m/>
    <m/>
  </r>
  <r>
    <x v="0"/>
    <x v="10"/>
    <m/>
    <m/>
    <m/>
    <m/>
    <m/>
    <n v="4000"/>
    <n v="0"/>
    <s v="16.5.1.2"/>
    <m/>
    <s v="CIO meeting w ramach prezydencji PL w radzie UE"/>
    <s v="Koszty organizacji spotkania w Gdańsku - dodatkowe koszty eventowe"/>
    <n v="50"/>
    <s v="-"/>
    <s v="-"/>
    <s v="-"/>
    <s v="-"/>
    <s v="planowane"/>
    <m/>
    <m/>
    <m/>
  </r>
  <r>
    <x v="0"/>
    <x v="11"/>
    <s v="nd"/>
    <s v="nd"/>
    <s v="nd"/>
    <s v="nd"/>
    <s v="nd"/>
    <n v="2830"/>
    <n v="0"/>
    <s v="6.3.1.4"/>
    <m/>
    <s v="finansowanie realizacji zadań ustawowych operatora OSE w związku z wdrażaniem Ogólnopolskiej Sieci Edukacyjnej - dotacja dla NASK -PIB, wydatki bieżące."/>
    <s v="Na podstawie art. 10 ust. 1 i art. 15 ust. 1 ustawy z dnia 27 października 2017 r. o Ogólnopolskiej Sieci Edukacyjnej (t.j. Dz. U. z 2022 r. poz. 2454), w związku z art. 150 ustawy z dnia 27 sierpnia 2009 r. o finansach publicznych (Dz. U. z 2023 r. poz. 1270, z późn. zm.), Minister Cyfryzacji planuje udzielić Naukowej i Akademickiej Sieci Komputerowej – Państwowemu Instytutowi Badawczemu dotacji celowej na finansowanie wykonywania przez NASK-PIB zadań operatora OSE. W 2025 r. przewiduje się m.in.:_x000a_1) wydatki na utrzymanie łączy telekomunikacyjnych, wykorzystywanych przez operatora OSE do świadczenia bezpłatnych usług szkołom ;_x000a_2) wydatki na utrzymanie i rozwój usług bezpieczeństwa sieciowego i teleinformatycznego świadczonych szkołom;_x000a_3) wydatki na działalność edukacyjną prowadzoną w ramach OSE;_x000a_4) wydatki własne operatora OSE, m.in.na utrzymanie personelu operatora OSE._x000a_"/>
    <n v="163500"/>
    <n v="163500"/>
    <n v="163500"/>
    <n v="163500"/>
    <n v="163500"/>
    <s v="planowane"/>
    <s v="planowane"/>
    <m/>
    <s v="NASK"/>
  </r>
  <r>
    <x v="0"/>
    <x v="11"/>
    <s v="nd"/>
    <s v="nd"/>
    <s v="nd"/>
    <s v="nd"/>
    <s v="nd"/>
    <n v="6230"/>
    <n v="0"/>
    <s v="6.3.1.4"/>
    <m/>
    <s v="finansowanie realizacji zadań ustawowych operatora OSE w związku z wdrażaniem Ogólnopolskiej Sieci Edukacyjnej - dotacja dla NASK -PIB, wydatki inwestycyjne"/>
    <s v="Wydatki inwestycyjne w ramach dotacji celowej, o której mowa w 2 wierszu. W 2025 r. przewiduje się m.in.: wydatki inwestycyjne przeznaczone m.in. na odtworzenie elementów infrastruktury sieci szkieletowej OSE, zakup systemu SWG zapewniającego kontrolę treści w dostępie do Internetu dla szkół, zakup systemu Cyber Assessment, wymianę urządzeń abonenckich w szkołach."/>
    <n v="500"/>
    <n v="500"/>
    <n v="500"/>
    <n v="500"/>
    <n v="500"/>
    <s v="planowane"/>
    <s v="planowane"/>
    <m/>
    <s v="NASK"/>
  </r>
  <r>
    <x v="0"/>
    <x v="11"/>
    <s v="nd"/>
    <s v="nd"/>
    <s v="nd"/>
    <s v="nd"/>
    <s v="nd"/>
    <n v="2830"/>
    <n v="0"/>
    <s v="6.3.1.4"/>
    <m/>
    <s v="dotacja celowa dla IŁ-PIB - wydatki bieżące"/>
    <s v="Na podstawie art. 150 w zw. z art. 127 ust. 1 pkt 1 ustawy z dnia 27 sierpnia 2009 r. o  finansach publicznych (Dz. U. z 2023 r. poz. 1270, z późn. zm.) oraz art. 37 ust. 1 ustawy z dnia 30 kwietnia 2010 r. o instytutach badawczych (Dz. U. z 2024 r. poz. 534, z późn. zm.), Minister Cyfryzacji planuje udzielić dotacji celowej dla Instytutu Łączności – Państwowego Instytutu Badawczego na finansowanie realizacji zadania pn. „Zapewnienie łączności satelitarnej na potrzeby wsparcia jednostek sektora finansów publicznych i innych podmiotów w wykonywaniu ich zadań publicznych”. "/>
    <n v="1866"/>
    <n v="1866"/>
    <n v="1866"/>
    <n v="1866"/>
    <n v="1866"/>
    <s v="planowane"/>
    <s v="planowane"/>
    <m/>
    <s v="IŁ-PIB"/>
  </r>
  <r>
    <x v="0"/>
    <x v="11"/>
    <s v="nd"/>
    <s v="nd"/>
    <s v="nd"/>
    <s v="nd"/>
    <s v="nd"/>
    <n v="2830"/>
    <n v="0"/>
    <s v="6.3.1.4"/>
    <m/>
    <s v="Dotacja celowa  dla Instytutu Łączności - Państwowego Instytutu Badawczego - wydatki bieżące"/>
    <s v="Na podstawie art. 150 w zw. z art. 127 ust. 1 pkt 1 ustawy z dnia 27 sierpnia 2009 r. o finansach publicznych (Dz. U. z 2023 r. poz. 1270, z późn. zm.) oraz art. 21 ust. 6 ustawy z dnia 30 kwietnia 2010 r. o instytutach badawczych (Dz. U. z 2024 r. poz. 534, z późn. zm.), Minister Cyfryzacji planuje udzielić dotacji celowej dla Instytutu Łączności – Państwowego Instytutu Badawczego na finansowanie realizacji w sposób ciągły prac badawczych i rozwojowych w obszarze dotyczącym rozwoju telekomunikacji, zgodnie z zakresem merytorycznym zadań określonych w art. 22 ww. ustawy instytutach badawczych, planowany wstępny zakres pracy:_x000a_a)_x0009_pomiary poziomów pól elektromagnetycznych (PEM) wytwarzanych przez stacje bazowe telefonii komórkowej,_x000a_b)_x0009_organizacja międzynarodowej Konferencji naukowej na temat telekomunikacji,_x000a_c)_x0009_  wsparcie w zakresie utrzymania systemu SI2PEM,_x000a_d)_x0009_wsparcie w zakresie współpracy krajowej i międzynarodowej dotyczącej gospodarki i  inżynierii widma radiowego w ramach CEPT, ITU i Administracji Polski,_x000a_e)_x0009_wsparcie merytoryczne, naukowe, badawcze i techniczne w zakresie satelitarnych systemów radionawigacyjnych i radiokomunikacyjnych, w tym przy analizie dokumentów technicznych będących przedmiotem prac grup/rad funkcjonujących w ramach ESA, EUSPA, UE zajmujących się ww. tematyką,_x000a_f)_x0009_prace badawczo-rozwojowe nad technologią szóstej generacji (6G) ─ analiza możliwości wykorzystania w Polsce\wsparcie merytoryczne, naukowe i badawcze dla administracji,_x000a_g)_x0009_wsparcie merytoryczne w zakresie nowelizacji aktów prawnych (rozporządzeń technicznych) z obszaru telekomunikacji,_x000a_h)_x0009_utrzymanie Systemu Informatycznego do spraw Monitorowania, Badania i Analiz (SIMBA)."/>
    <n v="12950"/>
    <n v="12580"/>
    <n v="12540"/>
    <n v="12900"/>
    <n v="12900"/>
    <s v="planowane"/>
    <s v="planowane"/>
    <m/>
    <s v="IŁ-PIB"/>
  </r>
  <r>
    <x v="0"/>
    <x v="11"/>
    <s v="nd"/>
    <s v="nd"/>
    <s v="nd"/>
    <s v="nd"/>
    <s v="nd"/>
    <n v="6230"/>
    <n v="0"/>
    <s v="6.3.1.4"/>
    <m/>
    <s v="Dotacja celowa  dla Instytutu Łączności - Państwowego Instytutu Badawczego - wydatki inwestycyjne"/>
    <s v="Wydatki inwestycyjne w ramach dotacji celowej, o której mowa w 5 wierszu. W 2025 r. wydatki będą przeznaczone na rozbudowę stacjonarnego monitoringu w ramach kampanii pomiarowej poziomów pól elektromagnetycznych (PEM) poprzez zakup stacji do stacjonarnego monitoringu PEM, rozwój komponentów Polskiego Systemu Monitorowania Galileo - w szczególności systemu Mobilny System Pomiarowy GNSS Galileo (MSP2G) poprzez doposażenie samochodu pomiarowego oraz wyposażenie serwerowni zapasowej niezbędnej do utrzymania systemów w razie awarii serwerowni głównej, w tym zakup serwerów, macierzy, szaf serwerowych, przewodów sieciowych, oprogramowania zabezpieczającego. "/>
    <n v="1450"/>
    <n v="420"/>
    <n v="460"/>
    <n v="100"/>
    <n v="100"/>
    <s v="planowane"/>
    <s v="planowane"/>
    <m/>
    <s v="IŁ-PIB"/>
  </r>
  <r>
    <x v="0"/>
    <x v="11"/>
    <s v="nd"/>
    <s v="nd"/>
    <s v="nd"/>
    <s v="nd"/>
    <s v="nd"/>
    <n v="4000"/>
    <n v="0"/>
    <s v="6.3.1.1"/>
    <m/>
    <s v="Działania edukacyjne i informacyjne"/>
    <s v="Mając na uwadze zadania DT oraz prace nad nowymi unijnymi regulacjami dotyczącymi ochrony prywatności i danych w komunikacji elektronicznej oraz stale rozwijające się usługi komunikacji elektronicznej, a co za tym idzie wzrost zagrożeń prywatności i danych podczas korzystania z tych usług, konieczne jest prowadzenie akcji edukacyjnych i informacyjnych dla użytkowników końcowych na temat takich zagrożeń oraz podejmowanie działań mających na celu ochronę ich interesów. Akcje takie mogą obejmować m.in. wydawanie ulotek, poradników, spotów, organizowanie warsztatów._x000a_Ponadto, w związku z planowanymi pracami nad projektem ustawy o ochronie małoletnich przed dostępem do treści szkodliwych w internecie, konieczne mogą być przewidziane ustawą działania edukacyjno-informacyjne ministra informatyzacji w zakresie zwiększania świadomości na temat szkodliwych skutków dostępu małoletnich do treści dla nich szkoldiwych w internecie."/>
    <n v="200"/>
    <n v="0"/>
    <n v="0"/>
    <n v="0"/>
    <n v="0"/>
    <s v="planowane"/>
    <s v="planowane"/>
    <m/>
    <s v="nd"/>
  </r>
  <r>
    <x v="0"/>
    <x v="11"/>
    <s v="nd"/>
    <s v="nd"/>
    <s v="nd"/>
    <s v="nd"/>
    <s v="nd"/>
    <n v="4000"/>
    <n v="0"/>
    <s v="6.3.1.1"/>
    <m/>
    <s v="organizacja wydarzenia COM-ITU"/>
    <s v="Polska recepcja w trakcie WSIS Forum. Ministerstwo Cyfryzacji wraz z Urzędem Komunikacji Elektronicznej, we współpracy ze Stałym Przedstawicielstwem RP przy Biurze Narodów Zjednoczonych w Genewie, corocznie współorganizuje Wydarzenie towarzyszące Forum Światowego Szczytu Społeczeństwa Informacyjnego (WSIS). "/>
    <n v="250"/>
    <n v="0"/>
    <n v="0"/>
    <n v="0"/>
    <n v="0"/>
    <s v="planowane"/>
    <s v="planowane"/>
    <m/>
    <s v="nd"/>
  </r>
  <r>
    <x v="0"/>
    <x v="11"/>
    <s v="nd"/>
    <s v="nd"/>
    <s v="nd"/>
    <s v="nd"/>
    <s v="nd"/>
    <n v="4540"/>
    <n v="0"/>
    <s v="6.3.1.1"/>
    <m/>
    <s v="składki do organizacji międzynarodowych"/>
    <s v="Obowiązek uiszczania składek do organizacji międzynarodowych wynikający z członkostwa RP w tych organizacjach."/>
    <n v="1650"/>
    <n v="1650"/>
    <n v="1650"/>
    <n v="1650"/>
    <n v="1650"/>
    <s v="wystąpienie MF"/>
    <m/>
    <m/>
    <s v="nd"/>
  </r>
  <r>
    <x v="0"/>
    <x v="11"/>
    <s v="nd"/>
    <s v="nd"/>
    <s v="nd"/>
    <s v="nd"/>
    <s v="nd"/>
    <n v="4530"/>
    <n v="0"/>
    <s v="6.3.1.4."/>
    <m/>
    <s v=" podatek VAT w wydatkach z KPO"/>
    <s v="W ramach wydatków budżetowych związanych z wdrażaniem inwestycji Krajowego Planu Odbudowy i Zwiększania Odporności przewiduje się wydatki na pokrycie udziału podatku VAT  w ramach realizacji Wniosku o udzielenie zamówienia publicznego numer 85/DT/24 na usługę przeprowadzenia analizy efektów interwencji w ramach inwestycji C.1.1.1 Krajowego Planu Odbudowy i Zwiększenia Odporności oraz I Priorytetu Funduszy Europejskich na  Rozwój Cyfrowy 2021–2027."/>
    <n v="29"/>
    <m/>
    <m/>
    <m/>
    <m/>
    <s v="wystąpienie MF"/>
    <s v="planowane"/>
    <m/>
    <s v="NASK"/>
  </r>
  <r>
    <x v="0"/>
    <x v="11"/>
    <s v="nd"/>
    <s v="nd"/>
    <s v="nd"/>
    <s v="nd"/>
    <s v="nd"/>
    <n v="4000"/>
    <n v="0"/>
    <s v="6.3.1.4."/>
    <m/>
    <s v="zakup usług pozostałych - prace przygotowawcze dot. systemu teleinformatycznego"/>
    <s v="Wydatki planowane do przekazania dla  Centralnego Ośrodka Informatyki z przeznaczeniem na wydatki związane z opracowaniem koncepcji lub rozpoczęciem prac wdrożeniowych dotyczących systemu teleinformatycznego do  obsługi spraw związanych z przeciwdziałaniem przemocy domowej._x000a_"/>
    <n v="5000"/>
    <n v="0"/>
    <n v="0"/>
    <n v="0"/>
    <n v="0"/>
    <s v="planowane"/>
    <s v="planowane"/>
    <m/>
    <s v="COI"/>
  </r>
  <r>
    <x v="0"/>
    <x v="11"/>
    <s v="nd"/>
    <s v="nd"/>
    <s v="nd"/>
    <s v="nd"/>
    <s v="nd"/>
    <n v="2350"/>
    <n v="0"/>
    <s v="6.3.1.1."/>
    <m/>
    <s v="kara za niewdrożenie Dyrektywy Parlamentu Europejskiego i Rady (UE) 2018/1972 (EKŁE)"/>
    <s v="Trybunał Sprawiedliwości Unii Europejskiej 14 marca 2024 r. wydał wyrok w sprawie C-452/22 Komisja/Polska –brak wdrożenia przepisów unijnej dyrektywy Parlamentu Europejskiego i Rady (UE) 2018/1972 z dnia 11 grudnia 2018 r. ustanawiającej Europejski kodeks łączności elektronicznej (dalej: „Dyrektywa EKŁE”) do prawa krajowego w wymaganym terminie. Zgodnie z wyrokiem orzeczono obowiązek zapłaty na rzecz Komisji Europejskiej okresowej kary pieniężnej w wysokości 50 000 EUR dziennie (do momentu implementacji Dyrektywy EKŁE). "/>
    <n v="30097"/>
    <n v="0"/>
    <n v="0"/>
    <n v="0"/>
    <n v="0"/>
    <s v="planowane"/>
    <s v="planowane"/>
    <m/>
    <s v="nd"/>
  </r>
  <r>
    <x v="0"/>
    <x v="11"/>
    <s v="nd"/>
    <s v="nd"/>
    <s v="nd"/>
    <s v="nd"/>
    <s v="nd"/>
    <n v="4000"/>
    <n v="0"/>
    <s v="6.3.1.4."/>
    <m/>
    <s v="Broadband Competence Offices (BCO) - organizacja spotkań informacyjnych, przygotowanie materiałów informacyjnych, usługi doradcze"/>
    <s v="W ramach wydatków związanych z pełnieniem funkcji Broadband Competence Office przewiduje się finansowanie działalności informacyjno-promocyjnej w zakresie informowania obywateli, przedsiębiorców i jednostek samorządu terytorialnego o inwestycjach szerokopasmowych realizowanych na terenie Polski i finansowanych ze źródeł publicznych i prywatnych (np. w postaci informatorów, poradników itp.), jak również finansowanie ewentualnych konferencji itp. poświęconych inwestycjom w sieci szerokopasmowe."/>
    <n v="100"/>
    <n v="100"/>
    <n v="100"/>
    <n v="100"/>
    <n v="100"/>
    <s v="planowane"/>
    <s v="planowane"/>
    <m/>
    <s v="nd"/>
  </r>
  <r>
    <x v="0"/>
    <x v="11"/>
    <s v="nd"/>
    <s v="nd"/>
    <s v="nd"/>
    <s v="nd"/>
    <s v="nd"/>
    <n v="4000"/>
    <n v="0"/>
    <s v="6.3.1.1."/>
    <m/>
    <s v="wykonanie ekspertyz i analiz"/>
    <s v="W związku z planowanym wejściem w życiem pod koniec 2024 r. Ustawy - Prawo komunikacji elektronicznej oraz realizacją innych bieżących zadań istnieje konieczność zlecania wykonania ekspertyz (analiz)."/>
    <n v="500"/>
    <n v="500"/>
    <n v="500"/>
    <n v="500"/>
    <n v="500"/>
    <s v="planowane"/>
    <s v="planowane"/>
    <m/>
    <s v="nd"/>
  </r>
  <r>
    <x v="0"/>
    <x v="11"/>
    <s v="nd"/>
    <s v="nd"/>
    <s v="nd"/>
    <s v="nd"/>
    <s v="nd"/>
    <n v="4000"/>
    <n v="0"/>
    <s v="6.3.1.1."/>
    <m/>
    <s v="działania mające na celu zwiększania świadomości społecznej i wiedzy na temat numerów 116111 i 116123"/>
    <s v="Mając na uwadze procedowaną ustawę Prawo komunikacji elektronicznej (druk sejmowy nr 423) i przyjętą przez posłów poprawkę podczas 2-giego czytania projektu w Sejmie obejmującą modyfikację art. 165 polegającą na wskazaniu, że minister właściwy ds.  informatyzacji prowadzi działania mające na celu na celu zwiększania świadomości społecznej i wiedzy na temat numerów 116111 i 116123, konieczne jest zabezpieczenie na ten cel koniecznych środków. "/>
    <n v="500"/>
    <n v="500"/>
    <n v="500"/>
    <n v="500"/>
    <n v="500"/>
    <s v="planowane"/>
    <s v="planowane"/>
    <m/>
    <s v="nd"/>
  </r>
  <r>
    <x v="0"/>
    <x v="11"/>
    <s v="nd"/>
    <s v="nd"/>
    <s v="nd"/>
    <s v="nd"/>
    <s v="nd"/>
    <n v="4000"/>
    <n v="0"/>
    <s v="6.3.1.1."/>
    <m/>
    <s v="organizacja wydarzenia Cyber Week: cyber&amp;telco attache trip "/>
    <s v="Cyber Week stanowi powiązanie ze sobą 4 wydarzeń organizowanych przez Departament Cyberbezpieczeństwa oraz Departament Telekomunikacji. Całość odbędzie się w dniach 12-16 maja 2025 r. w Krakowie jako wydarzenia organizowane w ramach Polskiej Prezydencji w UE. DT będzie odpowiedzialne za  zamówienie na wybór operatora logistycznej obsługi całego wydarzenia. DC  za  pozostałe kwestie. Niektóre wydatki w ramach organizacji tego wydarzenia moga być uznane za niekwalifikowalne w ramach środków na Prezydencję przyznawanych przez KPRM, w związku z tym istnieje konieczność zabezpieczenia dodatkowych środków w budżecie DT."/>
    <n v="274"/>
    <n v="0"/>
    <n v="0"/>
    <n v="0"/>
    <n v="0"/>
    <s v="planowane"/>
    <s v="planowane"/>
    <m/>
    <s v="nd"/>
  </r>
  <r>
    <x v="0"/>
    <x v="11"/>
    <s v="nd"/>
    <s v="nd"/>
    <s v="nd"/>
    <s v="nd"/>
    <s v="I -II kwartał 2025 r."/>
    <n v="4000"/>
    <n v="0"/>
    <s v="6.3.1.1."/>
    <m/>
    <s v="organizacja 2 warsztatów dotyczących plików cookies i technik śledzących "/>
    <s v="W ramach wydarzeń dotyczących Prezydencji Polskiej w UE DT planuje zorganizować dwa warsztaty w Stałym Przedstawicielstwie RP w Brukseli dotyczących plików cookies i technik śledzących (tematyka dotycząca ochrony prywatności). Zakłada się udział ok. 30 osób w każdym warsztacie. DT nie otrzyma na to wydarzenie środków na Prezydencję przyznawanych przez KPRM."/>
    <n v="15"/>
    <n v="0"/>
    <n v="0"/>
    <n v="0"/>
    <n v="0"/>
    <s v="planowane"/>
    <s v="planowane"/>
    <m/>
    <s v="nd"/>
  </r>
  <r>
    <x v="0"/>
    <x v="12"/>
    <m/>
    <s v="Wsparcie dla powszechnego stosowania elektronicznego zarządzania dokumentacją poprzez rozwój i udostępnienie nieodpłatnego systemu klasy EZD"/>
    <m/>
    <s v="KPO"/>
    <s v="2024-2026"/>
    <n v="4530"/>
    <n v="0"/>
    <s v="16.1.2.1"/>
    <s v="budżet państwa (z wyjątkiem GDDKiA)"/>
    <s v="Wsparcie dla powszechnego stosowania elektronicznego zarządzania dokumentacją poprzez rozwój i udostępnienie nieodpłatnego systemu klasy EZD"/>
    <s v=" Subinwestycja C2.1a.1: Wsparcie dla powszechnego stosowania elektronicznego zarządzania_x000a_dokumentacją poprzez rozwój i udostępnienie nieodpłatnego systemu klasy EZD, udostępnienie chmury SaaS2 EZD RP oraz wdrożenia systemu EZD w administracji publicznej RP"/>
    <m/>
    <m/>
    <n v="0"/>
    <m/>
    <m/>
    <m/>
    <m/>
    <m/>
    <m/>
  </r>
  <r>
    <x v="0"/>
    <x v="12"/>
    <m/>
    <s v="Poza umową na relizację przez COI niektórych zadań Ministra Cyfrzacji - FERC"/>
    <m/>
    <s v="nd"/>
    <m/>
    <n v="4000"/>
    <n v="0"/>
    <s v="16.5.1.2"/>
    <s v="budżet państwa (z wyjątkiem GDDKiA)"/>
    <s v="zadania biznesowe dotyczące nowego projektu Multiportal RP - FERC"/>
    <s v="zadania biznesowe dotyczące nowego projektu Multiportal RP - FERC"/>
    <n v="8195"/>
    <n v="8780"/>
    <n v="9425"/>
    <m/>
    <m/>
    <m/>
    <m/>
    <m/>
    <m/>
  </r>
  <r>
    <x v="0"/>
    <x v="12"/>
    <m/>
    <s v="Poza umową na relizację przez COI niektórych zadań Ministra Cyfrzacji"/>
    <m/>
    <s v="nd"/>
    <m/>
    <n v="4000"/>
    <n v="0"/>
    <s v="16.1.2.1"/>
    <s v="budżet państwa (z wyjątkiem GDDKiA)"/>
    <s v="Zapewnienie specjalistycznych usług z zakresu IT"/>
    <s v="Zapewnienie specjalistycznych usług z zakresu IT"/>
    <n v="4850"/>
    <n v="5335"/>
    <n v="5869"/>
    <m/>
    <m/>
    <m/>
    <m/>
    <m/>
    <m/>
  </r>
  <r>
    <x v="0"/>
    <x v="12"/>
    <m/>
    <s v="Poza umową na relizację przez COI niektórych zadań Ministra Cyfrzacji - odsprzedaż"/>
    <m/>
    <s v="nd"/>
    <m/>
    <n v="4000"/>
    <n v="0"/>
    <s v="16.5.1.2"/>
    <s v="budżet państwa (z wyjątkiem GDDKiA)"/>
    <s v="na świadczenie usługi dostępu do Internetu i usługi antyDDoS _x000a_w Lokalizacji I (Warszawa, ul. Barcicka 52/56) przez okres 36 miesięcy."/>
    <s v="na świadczenie usługi dostępu do Internetu i usługi antyDDoS _x000a_w Lokalizacji I (Warszawa, ul. Barcicka 52/56) przez okres 36 miesięcy."/>
    <n v="207"/>
    <n v="0"/>
    <n v="0"/>
    <m/>
    <m/>
    <m/>
    <m/>
    <m/>
    <m/>
  </r>
  <r>
    <x v="0"/>
    <x v="12"/>
    <m/>
    <s v="Poza umową na relizację przez COI niektórych zadań Ministra Cyfrzacji - odsprzedaż"/>
    <m/>
    <s v="nd"/>
    <m/>
    <n v="4000"/>
    <n v="0"/>
    <s v="16.1.2.1"/>
    <s v="budżet państwa (z wyjątkiem GDDKiA)"/>
    <s v="Świadczenie usługi dostępu do Internetu oraz usługi antyDDoS w Lokalizacji I"/>
    <s v="Świadczenie usługi dostępu do Internetu oraz usługi antyDDoS w Lokalizacji I"/>
    <n v="162"/>
    <n v="0"/>
    <n v="0"/>
    <m/>
    <m/>
    <m/>
    <m/>
    <m/>
    <m/>
  </r>
  <r>
    <x v="0"/>
    <x v="12"/>
    <m/>
    <s v="Poza umową na relizację przez COI niektórych zadań Ministra Cyfrzacji - odsprzedaż"/>
    <m/>
    <s v="nd"/>
    <m/>
    <n v="4000"/>
    <n v="0"/>
    <s v="16.1.2.1"/>
    <s v="budżet państwa (z wyjątkiem GDDKiA)"/>
    <s v="Świadczenie usługi do Internetu oraz usługi antyDDoS wraz_x000a_ z gwarancją w Lokalizacji II (11 Listopada 23)"/>
    <s v="Świadczenie usługi do Internetu oraz usługi antyDDoS wraz_x000a_ z gwarancją w Lokalizacji II (11 Listopada 23)"/>
    <n v="190"/>
    <n v="0"/>
    <n v="0"/>
    <m/>
    <m/>
    <m/>
    <m/>
    <m/>
    <m/>
  </r>
  <r>
    <x v="0"/>
    <x v="12"/>
    <m/>
    <s v="Poza umową na relizację przez COI niektórych zadań Ministra Cyfrzacji - odsprzedaż"/>
    <m/>
    <s v="nd"/>
    <m/>
    <n v="4000"/>
    <n v="0"/>
    <s v="16.1.2.1"/>
    <s v="budżet państwa (z wyjątkiem GDDKiA)"/>
    <s v="Aneks nr 9 - Powierzchnia - Kiosk &quot;Dystrybucyjny&quot; NASK"/>
    <s v="Aneks nr 9 - Powierzchnia - Kiosk &quot;Dystrybucyjny&quot; NASK"/>
    <n v="0"/>
    <n v="2947"/>
    <n v="0"/>
    <m/>
    <m/>
    <m/>
    <m/>
    <m/>
    <m/>
  </r>
  <r>
    <x v="0"/>
    <x v="12"/>
    <m/>
    <s v="Poza umową na relizację przez COI niektórych zadań Ministra Cyfrzacji - odsprzedaż"/>
    <m/>
    <s v="nd"/>
    <m/>
    <n v="4000"/>
    <n v="0"/>
    <s v="16.1.2.1"/>
    <s v="budżet państwa (z wyjątkiem GDDKiA)"/>
    <s v="Aneks nr 9 - Powierzchnia - Kiosk &quot;Rejestry państwowe&quot;NASK"/>
    <s v="Aneks nr 9 - Powierzchnia - Kiosk &quot;Rejestry państwowe&quot;NASK"/>
    <n v="0"/>
    <n v="2927"/>
    <n v="0"/>
    <m/>
    <m/>
    <m/>
    <m/>
    <m/>
    <m/>
  </r>
  <r>
    <x v="0"/>
    <x v="12"/>
    <m/>
    <s v="Poza umową na relizację przez COI niektórych zadań Ministra Cyfrzacji - odsprzedaż"/>
    <m/>
    <s v="nd"/>
    <m/>
    <n v="4000"/>
    <n v="0"/>
    <s v="16.1.2.1"/>
    <s v="budżet państwa (z wyjątkiem GDDKiA)"/>
    <s v="Aneks nr 9 - Powierzchnia - Kiosk &quot;RChO&quot; NASK"/>
    <s v="Aneks nr 9 - Powierzchnia - Kiosk &quot;RChO&quot; NASK"/>
    <n v="0"/>
    <n v="2919"/>
    <n v="0"/>
    <m/>
    <m/>
    <m/>
    <m/>
    <m/>
    <m/>
  </r>
  <r>
    <x v="0"/>
    <x v="12"/>
    <m/>
    <s v="Poza umową na relizację przez COI niektórych zadań Ministra Cyfrzacji - odsprzedaż"/>
    <m/>
    <s v="nd"/>
    <m/>
    <n v="4000"/>
    <n v="0"/>
    <s v="16.1.2.1"/>
    <s v="budżet państwa (z wyjątkiem GDDKiA)"/>
    <s v="Aneks nr 9 - Powierzchnia - Kiosk &quot;Niejawny&quot;NASK"/>
    <s v="Aneks nr 9 - Powierzchnia - Kiosk &quot;Niejawny&quot;NASK"/>
    <n v="0"/>
    <n v="3729"/>
    <n v="0"/>
    <m/>
    <m/>
    <m/>
    <m/>
    <m/>
    <m/>
  </r>
  <r>
    <x v="0"/>
    <x v="12"/>
    <m/>
    <s v="Poza umową na relizację przez COI niektórych zadań Ministra Cyfrzacji - odsprzedaż"/>
    <m/>
    <s v="nd"/>
    <m/>
    <n v="4000"/>
    <n v="0"/>
    <s v="16.1.2.1"/>
    <s v="budżet państwa (z wyjątkiem GDDKiA)"/>
    <s v="Aneks nr 9 - Powierzchnia - utrzymanie powierzchni niezajętej NASK"/>
    <s v="Aneks nr 9 - Powierzchnia - utrzymanie powierzchni niezajętej NASK"/>
    <n v="0"/>
    <n v="2487"/>
    <n v="0"/>
    <m/>
    <m/>
    <m/>
    <m/>
    <m/>
    <m/>
  </r>
  <r>
    <x v="0"/>
    <x v="12"/>
    <m/>
    <s v="Poza umową na relizację przez COI niektórych zadań Ministra Cyfrzacji - odsprzedaż"/>
    <m/>
    <s v="nd"/>
    <m/>
    <n v="4000"/>
    <n v="0"/>
    <s v="16.1.2.1"/>
    <s v="budżet państwa (z wyjątkiem GDDKiA)"/>
    <s v="Aneks nr 9 - Utrzymanie powierzchni biurowej NASK"/>
    <s v="Aneks nr 9 - Utrzymanie powierzchni biurowej NASK"/>
    <n v="0"/>
    <n v="4829"/>
    <n v="0"/>
    <m/>
    <m/>
    <m/>
    <m/>
    <m/>
    <m/>
  </r>
  <r>
    <x v="0"/>
    <x v="12"/>
    <m/>
    <s v="Poza umową na relizację przez COI niektórych zadań Ministra Cyfrzacji - odsprzedaż"/>
    <m/>
    <s v="nd"/>
    <m/>
    <n v="4000"/>
    <n v="0"/>
    <s v="16.1.2.1"/>
    <s v="budżet państwa (z wyjątkiem GDDKiA)"/>
    <s v="Aneks nr 9 - Usługi dodatkowe"/>
    <s v="Aneks nr 9 - Usługi dodatkowe"/>
    <n v="0"/>
    <n v="64"/>
    <n v="0"/>
    <m/>
    <m/>
    <m/>
    <m/>
    <m/>
    <m/>
  </r>
  <r>
    <x v="0"/>
    <x v="12"/>
    <m/>
    <s v="Poza umową na relizację przez COI niektórych zadań Ministra Cyfrzacji - odsprzedaż"/>
    <m/>
    <s v="nd"/>
    <m/>
    <n v="4000"/>
    <n v="0"/>
    <s v="16.1.2.1"/>
    <s v="budżet państwa (z wyjątkiem GDDKiA)"/>
    <s v="Aneks nr 9 - Energia elektryczna"/>
    <s v="Aneks nr 9 - Energia elektryczna"/>
    <n v="0"/>
    <n v="1211"/>
    <n v="0"/>
    <m/>
    <m/>
    <m/>
    <m/>
    <m/>
    <m/>
  </r>
  <r>
    <x v="0"/>
    <x v="12"/>
    <m/>
    <s v="Poza umową na relizację przez COI niektórych zadań Ministra Cyfrzacji - odsprzedaż"/>
    <m/>
    <s v="nd"/>
    <m/>
    <n v="4000"/>
    <n v="0"/>
    <s v="16.1.2.1"/>
    <s v="budżet państwa (z wyjątkiem GDDKiA)"/>
    <s v="Aneks nr 9 - Ochrona kwalfikowana"/>
    <s v="Aneks nr 9 - Ochrona kwalfikowana"/>
    <n v="0"/>
    <n v="984"/>
    <n v="0"/>
    <m/>
    <m/>
    <m/>
    <m/>
    <m/>
    <m/>
  </r>
  <r>
    <x v="0"/>
    <x v="12"/>
    <m/>
    <s v="Poza umową na relizację przez COI niektórych zadań Ministra Cyfrzacji - odsprzedaż"/>
    <m/>
    <s v="nd"/>
    <m/>
    <n v="4000"/>
    <n v="0"/>
    <s v="16.5.1.2"/>
    <s v="budżet państwa (z wyjątkiem GDDKiA)"/>
    <s v="Zakupy pod Otwarte Dane 3.0"/>
    <s v="Zakupy pod Otwarte Dane 3.0"/>
    <n v="615"/>
    <n v="0"/>
    <n v="0"/>
    <m/>
    <m/>
    <m/>
    <m/>
    <m/>
    <m/>
  </r>
  <r>
    <x v="0"/>
    <x v="12"/>
    <s v="inny - środki krajowe"/>
    <s v="Umowa na realizację przez COI niektórych zadań Ministra Cyfryzacji"/>
    <s v="nd"/>
    <s v="nd"/>
    <m/>
    <n v="4000"/>
    <n v="0"/>
    <s v="16.1.2.1"/>
    <s v="budżet państwa (z wyjątkiem GDDKiA)"/>
    <s v="Zadania biznesowe dotyczące Ambasady Danych"/>
    <s v="Zadania biznesowe dotyczące Ambasady Danych"/>
    <n v="646"/>
    <m/>
    <m/>
    <m/>
    <m/>
    <m/>
    <m/>
    <m/>
    <m/>
  </r>
  <r>
    <x v="0"/>
    <x v="12"/>
    <s v="inny - środki krajowe"/>
    <s v="Umowa na realizację przez COI niektórych zadań Ministra Cyfryzacji"/>
    <s v="nd"/>
    <s v="nd"/>
    <m/>
    <n v="4000"/>
    <n v="0"/>
    <s v="16.1.2.1"/>
    <s v="budżet państwa (z wyjątkiem GDDKiA)"/>
    <s v="Wsparcie w przygotowaniu dokumentacji projektowej do FERC – Ambasada Danych"/>
    <s v="Wsparcie w przygotowaniu dokumentacji projektowej do FERC – Ambasada Danych"/>
    <n v="250"/>
    <m/>
    <m/>
    <m/>
    <m/>
    <m/>
    <m/>
    <m/>
    <m/>
  </r>
  <r>
    <x v="0"/>
    <x v="12"/>
    <s v="inny - środki krajowe"/>
    <s v="Umowa na realizację przez COI niektórych zadań Ministra Cyfryzacji"/>
    <s v="nd"/>
    <s v="nd"/>
    <m/>
    <n v="4000"/>
    <n v="0"/>
    <s v="16.1.2.1"/>
    <s v="budżet państwa (z wyjątkiem GDDKiA)"/>
    <s v="Utrzymanie Ambasady Danych"/>
    <s v="Utrzymanie Ambasady Danych"/>
    <n v="0"/>
    <m/>
    <m/>
    <m/>
    <m/>
    <m/>
    <m/>
    <m/>
    <m/>
  </r>
  <r>
    <x v="0"/>
    <x v="12"/>
    <s v="inny - środki krajowe"/>
    <s v="Umowa na realizację przez COI niektórych zadań Ministra Cyfryzacji"/>
    <s v="nd"/>
    <s v="nd"/>
    <m/>
    <n v="4000"/>
    <n v="0"/>
    <s v="16.5.1.2"/>
    <s v="budżet państwa (z wyjątkiem GDDKiA)"/>
    <s v="Utrzymanie Bazy Mężów Zaufania"/>
    <s v="Utrzymanie Bazy Mężów Zaufania"/>
    <m/>
    <m/>
    <m/>
    <m/>
    <m/>
    <m/>
    <m/>
    <m/>
    <m/>
  </r>
  <r>
    <x v="0"/>
    <x v="12"/>
    <s v="inny - środki krajowe"/>
    <s v="Umowa na realizację przez COI niektórych zadań Ministra Cyfryzacji"/>
    <s v="nd"/>
    <s v="nd"/>
    <m/>
    <n v="4000"/>
    <n v="0"/>
    <s v="16.5.1.2"/>
    <s v="budżet państwa (z wyjątkiem GDDKiA)"/>
    <s v="Utrzymanie CC SPOC"/>
    <s v="Utrzymanie CC SPOC"/>
    <n v="4477"/>
    <m/>
    <m/>
    <m/>
    <m/>
    <m/>
    <m/>
    <m/>
    <m/>
  </r>
  <r>
    <x v="0"/>
    <x v="12"/>
    <s v="inny - środki krajowe"/>
    <s v="Umowa na realizację przez COI niektórych zadań Ministra Cyfryzacji"/>
    <s v="nd"/>
    <s v="nd"/>
    <m/>
    <n v="4000"/>
    <n v="0"/>
    <s v="16.1.2.1"/>
    <s v="budżet państwa (z wyjątkiem GDDKiA)"/>
    <s v="Utrzymanie CRW"/>
    <s v="Utrzymanie CRW"/>
    <n v="6268"/>
    <m/>
    <m/>
    <m/>
    <m/>
    <m/>
    <m/>
    <m/>
    <m/>
  </r>
  <r>
    <x v="0"/>
    <x v="12"/>
    <s v="inny - środki krajowe"/>
    <s v="Umowa na realizację przez COI niektórych zadań Ministra Cyfryzacji"/>
    <s v="nd"/>
    <s v="nd"/>
    <m/>
    <n v="4000"/>
    <n v="0"/>
    <s v="16.1.2.1"/>
    <s v="budżet państwa (z wyjątkiem GDDKiA)"/>
    <s v="Zadania biznesowe dotyczące CRW"/>
    <s v="Zadania biznesowe dotyczące CRW"/>
    <n v="1753"/>
    <m/>
    <m/>
    <m/>
    <m/>
    <m/>
    <m/>
    <m/>
    <m/>
  </r>
  <r>
    <x v="0"/>
    <x v="12"/>
    <s v="inny - środki krajowe"/>
    <s v="Umowa na realizację przez COI niektórych zadań Ministra Cyfryzacji"/>
    <s v="nd"/>
    <s v="nd"/>
    <m/>
    <n v="4000"/>
    <n v="0"/>
    <s v="16.1.2.1"/>
    <s v="budżet państwa (z wyjątkiem GDDKiA)"/>
    <s v="Prace utrzymaniowe dla dane.gov.pl"/>
    <s v="Prace utrzymaniowe dla dane.gov.pl"/>
    <n v="4598"/>
    <m/>
    <m/>
    <m/>
    <m/>
    <m/>
    <m/>
    <m/>
    <m/>
  </r>
  <r>
    <x v="0"/>
    <x v="12"/>
    <s v="inny - środki krajowe"/>
    <s v="Umowa na realizację przez COI niektórych zadań Ministra Cyfryzacji"/>
    <s v="nd"/>
    <s v="nd"/>
    <m/>
    <n v="4000"/>
    <n v="0"/>
    <s v="16.5.1.2"/>
    <s v="budżet państwa (z wyjątkiem GDDKiA)"/>
    <s v="eDoręczenia udostępnianie/operacje"/>
    <s v="eDoręczenia udostępnianie/operacje"/>
    <n v="1130"/>
    <m/>
    <m/>
    <m/>
    <m/>
    <m/>
    <m/>
    <m/>
    <m/>
  </r>
  <r>
    <x v="0"/>
    <x v="12"/>
    <s v="inny - środki krajowe"/>
    <s v="Umowa na realizację przez COI niektórych zadań Ministra Cyfryzacji"/>
    <s v="nd"/>
    <s v="nd"/>
    <m/>
    <n v="4000"/>
    <n v="0"/>
    <s v="16.5.1.2"/>
    <s v="budżet państwa (z wyjątkiem GDDKiA)"/>
    <s v="Utrzymanie eDoręczenia"/>
    <s v="Utrzymanie eDoręczenia"/>
    <n v="4911"/>
    <m/>
    <m/>
    <m/>
    <m/>
    <m/>
    <m/>
    <m/>
    <m/>
  </r>
  <r>
    <x v="0"/>
    <x v="12"/>
    <s v="inny - środki krajowe"/>
    <s v="Umowa na realizację przez COI niektórych zadań Ministra Cyfryzacji"/>
    <s v="nd"/>
    <s v="nd"/>
    <m/>
    <n v="4000"/>
    <n v="0"/>
    <s v="16.5.1.2"/>
    <s v="budżet państwa (z wyjątkiem GDDKiA)"/>
    <s v="Zadania biznesowe dotyczące eDoręczenia"/>
    <s v="Zadania biznesowe dotyczące eDoręczenia"/>
    <n v="4840"/>
    <m/>
    <m/>
    <m/>
    <m/>
    <m/>
    <m/>
    <m/>
    <m/>
  </r>
  <r>
    <x v="0"/>
    <x v="12"/>
    <s v="inny - środki krajowe"/>
    <s v="Umowa na realizację przez COI niektórych zadań Ministra Cyfryzacji"/>
    <s v="nd"/>
    <s v="nd"/>
    <m/>
    <n v="4000"/>
    <n v="0"/>
    <s v="16.5.1.2"/>
    <s v="budżet państwa (z wyjątkiem GDDKiA)"/>
    <s v="Działania informacyjno-wdrożeniowe w ramach projektu eDoręczenia"/>
    <s v="Działania informacyjno-wdrożeniowe w ramach projektu eDoręczenia"/>
    <n v="222"/>
    <m/>
    <m/>
    <m/>
    <m/>
    <m/>
    <m/>
    <m/>
    <m/>
  </r>
  <r>
    <x v="0"/>
    <x v="12"/>
    <s v="inny - środki krajowe"/>
    <s v="Umowa na realizację przez COI niektórych zadań Ministra Cyfryzacji"/>
    <s v="nd"/>
    <s v="nd"/>
    <m/>
    <n v="4000"/>
    <n v="0"/>
    <s v="16.1.2.1"/>
    <s v="budżet państwa (z wyjątkiem GDDKiA)"/>
    <s v="Utrzymanie eDziennik"/>
    <s v="Utrzymanie eDziennik"/>
    <n v="1333"/>
    <m/>
    <m/>
    <m/>
    <m/>
    <m/>
    <m/>
    <m/>
    <m/>
  </r>
  <r>
    <x v="0"/>
    <x v="12"/>
    <s v="inny - środki krajowe"/>
    <s v="Umowa na realizację przez COI niektórych zadań Ministra Cyfryzacji"/>
    <s v="nd"/>
    <s v="nd"/>
    <m/>
    <n v="4000"/>
    <n v="0"/>
    <s v="16.5.1.2"/>
    <s v="budżet państwa (z wyjątkiem GDDKiA)"/>
    <s v="Zadania biznesowe dotyczące mObywatel.gov.pl"/>
    <s v="Zadania biznesowe dotyczące mObywatel.gov.pl"/>
    <n v="1472"/>
    <m/>
    <m/>
    <m/>
    <m/>
    <m/>
    <m/>
    <m/>
    <m/>
  </r>
  <r>
    <x v="0"/>
    <x v="12"/>
    <s v="inny - środki krajowe"/>
    <s v="Umowa na realizację przez COI niektórych zadań Ministra Cyfryzacji"/>
    <s v="nd"/>
    <s v="nd"/>
    <m/>
    <n v="4000"/>
    <n v="0"/>
    <s v="16.5.1.2"/>
    <s v="budżet państwa (z wyjątkiem GDDKiA)"/>
    <s v="Zadania biznesowe dotyczące ekosystem  2.0 - w tym Generator Formularzy"/>
    <s v="Zadania biznesowe dotyczące ekosystem  2.0 - w tym Generator Formularzy"/>
    <n v="1472"/>
    <m/>
    <m/>
    <m/>
    <m/>
    <m/>
    <m/>
    <m/>
    <m/>
  </r>
  <r>
    <x v="0"/>
    <x v="12"/>
    <s v="inny - środki krajowe"/>
    <s v="Umowa na realizację przez COI niektórych zadań Ministra Cyfryzacji"/>
    <s v="nd"/>
    <s v="nd"/>
    <m/>
    <n v="4000"/>
    <n v="0"/>
    <s v="16.5.1.2"/>
    <s v="budżet państwa (z wyjątkiem GDDKiA)"/>
    <s v="Zadania biznesowe dotyczące usług  wyborczych mężów zaufania - Baza MZ oraz aplikacja MZ"/>
    <s v="Zadania biznesowe dotyczące usług  wyborczych mężów zaufania - Baza MZ oraz aplikacja MZ"/>
    <n v="490"/>
    <m/>
    <m/>
    <m/>
    <m/>
    <m/>
    <m/>
    <m/>
    <m/>
  </r>
  <r>
    <x v="0"/>
    <x v="12"/>
    <s v="inny - środki krajowe"/>
    <s v="Umowa na realizację przez COI niektórych zadań Ministra Cyfryzacji"/>
    <s v="nd"/>
    <s v="nd"/>
    <m/>
    <n v="4000"/>
    <n v="0"/>
    <s v="16.5.1.2"/>
    <s v="budżet państwa (z wyjątkiem GDDKiA)"/>
    <s v="Zadania biznesowe dotyczące Capchta COI/MC"/>
    <s v="Zadania biznesowe dotyczące Capchta COI/MC"/>
    <n v="490"/>
    <m/>
    <m/>
    <m/>
    <m/>
    <m/>
    <m/>
    <m/>
    <m/>
  </r>
  <r>
    <x v="0"/>
    <x v="12"/>
    <s v="inny - środki krajowe"/>
    <s v="Umowa na realizację przez COI niektórych zadań Ministra Cyfryzacji"/>
    <s v="nd"/>
    <s v="nd"/>
    <m/>
    <n v="4000"/>
    <n v="0"/>
    <s v="16.5.1.2"/>
    <s v="budżet państwa (z wyjątkiem GDDKiA)"/>
    <s v="Zadania biznesowe dotyczące nForms"/>
    <s v="Zadania biznesowe dotyczące nForms"/>
    <n v="245"/>
    <m/>
    <m/>
    <m/>
    <m/>
    <m/>
    <m/>
    <m/>
    <m/>
  </r>
  <r>
    <x v="0"/>
    <x v="12"/>
    <s v="inny - środki krajowe"/>
    <s v="Umowa na realizację przez COI niektórych zadań Ministra Cyfryzacji"/>
    <s v="nd"/>
    <s v="nd"/>
    <m/>
    <n v="4000"/>
    <n v="0"/>
    <s v="16.1.2.1"/>
    <s v="budżet państwa (z wyjątkiem GDDKiA)"/>
    <s v="Zadania biznesowe dotyczące CRWD"/>
    <s v="Zadania biznesowe dotyczące CRWD"/>
    <n v="491"/>
    <m/>
    <m/>
    <m/>
    <m/>
    <m/>
    <m/>
    <m/>
    <m/>
  </r>
  <r>
    <x v="0"/>
    <x v="12"/>
    <s v="inny - środki krajowe"/>
    <s v="Umowa na realizację przez COI niektórych zadań Ministra Cyfryzacji"/>
    <s v="nd"/>
    <s v="nd"/>
    <m/>
    <n v="4000"/>
    <n v="0"/>
    <s v="16.5.1.2"/>
    <s v="budżet państwa (z wyjątkiem GDDKiA)"/>
    <s v="Zadania biznesowe dotyczące ePłatności w zakresie dotacji i porozumień"/>
    <s v="Zadania biznesowe dotyczące ePłatności w zakresie dotacji i porozumień"/>
    <n v="245"/>
    <m/>
    <m/>
    <m/>
    <m/>
    <m/>
    <m/>
    <m/>
    <m/>
  </r>
  <r>
    <x v="0"/>
    <x v="12"/>
    <s v="inny - środki krajowe"/>
    <s v="Umowa na realizację przez COI niektórych zadań Ministra Cyfryzacji"/>
    <s v="nd"/>
    <s v="nd"/>
    <m/>
    <n v="4000"/>
    <n v="0"/>
    <s v="16.5.1.2"/>
    <s v="budżet państwa (z wyjątkiem GDDKiA)"/>
    <s v="Ciepło - utrzymanie"/>
    <s v="Ciepło - utrzymanie"/>
    <n v="1461"/>
    <m/>
    <m/>
    <m/>
    <m/>
    <m/>
    <m/>
    <m/>
    <m/>
  </r>
  <r>
    <x v="0"/>
    <x v="12"/>
    <s v="inny - środki krajowe"/>
    <s v="Umowa na realizację przez COI niektórych zadań Ministra Cyfryzacji"/>
    <s v="nd"/>
    <s v="nd"/>
    <m/>
    <n v="4000"/>
    <n v="0"/>
    <s v="16.5.1.2"/>
    <s v="budżet państwa (z wyjątkiem GDDKiA)"/>
    <s v="Generator formularze - utrzymanie"/>
    <s v="Generator formularze - utrzymanie"/>
    <n v="6440"/>
    <m/>
    <m/>
    <m/>
    <m/>
    <m/>
    <m/>
    <m/>
    <m/>
  </r>
  <r>
    <x v="0"/>
    <x v="12"/>
    <s v="inny - środki krajowe"/>
    <s v="Umowa na realizację przez COI niektórych zadań Ministra Cyfryzacji"/>
    <s v="nd"/>
    <s v="nd"/>
    <m/>
    <n v="4000"/>
    <n v="0"/>
    <s v="16.5.1.2"/>
    <s v="budżet państwa (z wyjątkiem GDDKiA)"/>
    <s v="ePUAP udostępnianie/operacje"/>
    <s v="ePUAP udostępnianie/operacje"/>
    <n v="586"/>
    <m/>
    <m/>
    <m/>
    <m/>
    <m/>
    <m/>
    <m/>
    <m/>
  </r>
  <r>
    <x v="0"/>
    <x v="12"/>
    <s v="inny - środki krajowe"/>
    <s v="Umowa na realizację przez COI niektórych zadań Ministra Cyfryzacji"/>
    <s v="nd"/>
    <s v="nd"/>
    <m/>
    <n v="4000"/>
    <n v="0"/>
    <s v="16.5.1.2"/>
    <s v="budżet państwa (z wyjątkiem GDDKiA)"/>
    <s v="Utrzymanie ePUAP"/>
    <s v="Utrzymanie ePUAP"/>
    <n v="15000"/>
    <m/>
    <m/>
    <m/>
    <m/>
    <m/>
    <m/>
    <m/>
    <m/>
  </r>
  <r>
    <x v="0"/>
    <x v="12"/>
    <s v="inny - środki krajowe"/>
    <s v="Umowa na realizację przez COI niektórych zadań Ministra Cyfryzacji"/>
    <s v="nd"/>
    <s v="nd"/>
    <m/>
    <n v="4000"/>
    <n v="0"/>
    <s v="16.5.1.2"/>
    <s v="budżet państwa (z wyjątkiem GDDKiA)"/>
    <s v="Utrzymanie Laptop dla Nauczyciela"/>
    <s v="Utrzymanie Laptop dla Nauczyciela"/>
    <n v="3441"/>
    <m/>
    <m/>
    <m/>
    <m/>
    <m/>
    <m/>
    <m/>
    <m/>
  </r>
  <r>
    <x v="0"/>
    <x v="12"/>
    <s v="inny - środki krajowe"/>
    <s v="Umowa na realizację przez COI niektórych zadań Ministra Cyfryzacji"/>
    <s v="nd"/>
    <s v="nd"/>
    <m/>
    <n v="4000"/>
    <n v="0"/>
    <s v="16.5.1.2"/>
    <s v="budżet państwa (z wyjątkiem GDDKiA)"/>
    <s v="Utrzymanie KAP"/>
    <s v="Utrzymanie KAP"/>
    <n v="2554"/>
    <m/>
    <m/>
    <m/>
    <m/>
    <m/>
    <m/>
    <m/>
    <m/>
  </r>
  <r>
    <x v="0"/>
    <x v="12"/>
    <s v="inny - środki krajowe"/>
    <s v="Umowa na realizację przez COI niektórych zadań Ministra Cyfryzacji"/>
    <s v="nd"/>
    <s v="nd"/>
    <m/>
    <n v="4000"/>
    <n v="0"/>
    <s v="16.5.1.2"/>
    <s v="budżet państwa (z wyjątkiem GDDKiA)"/>
    <s v="Zadania biznesowe dla KPP"/>
    <s v="Zadania biznesowe dla KPP"/>
    <n v="1213"/>
    <m/>
    <m/>
    <m/>
    <m/>
    <m/>
    <m/>
    <m/>
    <m/>
  </r>
  <r>
    <x v="0"/>
    <x v="12"/>
    <s v="inny - środki krajowe"/>
    <s v="Umowa na realizację przez COI niektórych zadań Ministra Cyfryzacji"/>
    <s v="nd"/>
    <s v="nd"/>
    <m/>
    <n v="4000"/>
    <n v="0"/>
    <s v="16.5.1.2"/>
    <s v="budżet państwa (z wyjątkiem GDDKiA)"/>
    <s v="Analiza modyfikacji struktury podmiotów w KPP"/>
    <s v="Analiza modyfikacji struktury podmiotów w KPP"/>
    <n v="272"/>
    <m/>
    <m/>
    <m/>
    <m/>
    <m/>
    <m/>
    <m/>
    <m/>
  </r>
  <r>
    <x v="0"/>
    <x v="12"/>
    <s v="inny - środki krajowe"/>
    <s v="Umowa na realizację przez COI niektórych zadań Ministra Cyfryzacji"/>
    <s v="nd"/>
    <s v="nd"/>
    <m/>
    <n v="4000"/>
    <n v="0"/>
    <s v="16.1.2.1"/>
    <s v="budżet państwa (z wyjątkiem GDDKiA)"/>
    <s v="Zadania biznesowe dotyczące Krajowego Centrum Przetwarzania Danych"/>
    <s v="Zadania biznesowe dotyczące Krajowego Centrum Przetwarzania Danych"/>
    <n v="1726"/>
    <m/>
    <m/>
    <m/>
    <m/>
    <m/>
    <m/>
    <m/>
    <m/>
  </r>
  <r>
    <x v="0"/>
    <x v="12"/>
    <s v="inny - środki krajowe"/>
    <s v="Umowa na realizację przez COI niektórych zadań Ministra Cyfryzacji"/>
    <s v="nd"/>
    <s v="nd"/>
    <m/>
    <n v="4000"/>
    <n v="0"/>
    <s v="16.1.2.1"/>
    <s v="budżet państwa (z wyjątkiem GDDKiA)"/>
    <s v="Wsparcie w przygotowaniu dokumentacji projektowej do KPO – KCPD"/>
    <s v="Wsparcie w przygotowaniu dokumentacji projektowej do KPO – KCPD"/>
    <n v="513"/>
    <m/>
    <m/>
    <m/>
    <m/>
    <m/>
    <m/>
    <m/>
    <m/>
  </r>
  <r>
    <x v="0"/>
    <x v="12"/>
    <s v="inny - środki krajowe"/>
    <s v="Umowa na realizację przez COI niektórych zadań Ministra Cyfryzacji"/>
    <s v="nd"/>
    <s v="nd"/>
    <m/>
    <n v="4000"/>
    <n v="0"/>
    <s v="16.1.2.1"/>
    <s v="budżet państwa (z wyjątkiem GDDKiA)"/>
    <s v="Utrzymanie Kronik@"/>
    <s v="Utrzymanie Kronik@"/>
    <n v="2182"/>
    <m/>
    <m/>
    <m/>
    <m/>
    <m/>
    <m/>
    <m/>
    <m/>
  </r>
  <r>
    <x v="0"/>
    <x v="12"/>
    <s v="inny - środki krajowe"/>
    <s v="Umowa na realizację przez COI niektórych zadań Ministra Cyfryzacji"/>
    <s v="nd"/>
    <s v="nd"/>
    <m/>
    <n v="4000"/>
    <n v="0"/>
    <s v="16.1.2.1"/>
    <s v="budżet państwa (z wyjątkiem GDDKiA)"/>
    <s v="Przeniesienie systemu Kronik@ na infrastrukturę COI"/>
    <s v="Przeniesienie systemu Kronik@ na infrastrukturę COI"/>
    <n v="244"/>
    <m/>
    <m/>
    <m/>
    <m/>
    <m/>
    <m/>
    <m/>
    <m/>
  </r>
  <r>
    <x v="0"/>
    <x v="12"/>
    <s v="inny - środki krajowe"/>
    <s v="Umowa na realizację przez COI niektórych zadań Ministra Cyfryzacji"/>
    <s v="nd"/>
    <s v="nd"/>
    <m/>
    <n v="4000"/>
    <n v="0"/>
    <s v="16.1.2.1"/>
    <s v="budżet państwa (z wyjątkiem GDDKiA)"/>
    <s v="LSI utrzymanie"/>
    <s v="LSI utrzymanie"/>
    <n v="3334"/>
    <m/>
    <m/>
    <m/>
    <m/>
    <m/>
    <m/>
    <m/>
    <m/>
  </r>
  <r>
    <x v="0"/>
    <x v="12"/>
    <s v="inny - środki krajowe"/>
    <s v="Umowa na realizację przez COI niektórych zadań Ministra Cyfryzacji"/>
    <s v="nd"/>
    <s v="nd"/>
    <m/>
    <n v="4000"/>
    <n v="0"/>
    <s v="16.1.2.1"/>
    <s v="budżet państwa (z wyjątkiem GDDKiA)"/>
    <s v="Prace biznesowe w ramach tzw. „małego rozwoju”"/>
    <s v="Prace biznesowe w ramach tzw. „małego rozwoju”"/>
    <n v="6"/>
    <m/>
    <m/>
    <m/>
    <m/>
    <m/>
    <m/>
    <m/>
    <m/>
  </r>
  <r>
    <x v="0"/>
    <x v="12"/>
    <s v="inny - środki krajowe"/>
    <s v="Umowa na realizację przez COI niektórych zadań Ministra Cyfryzacji"/>
    <s v="nd"/>
    <s v="nd"/>
    <m/>
    <n v="4000"/>
    <n v="0"/>
    <s v="16.5.1.2"/>
    <s v="budżet państwa (z wyjątkiem GDDKiA)"/>
    <s v="Mapa inwestycji – prace utrzymaniowe"/>
    <s v="Mapa inwestycji – prace utrzymaniowe"/>
    <m/>
    <m/>
    <m/>
    <m/>
    <m/>
    <m/>
    <m/>
    <m/>
    <m/>
  </r>
  <r>
    <x v="0"/>
    <x v="12"/>
    <s v="inny - środki krajowe"/>
    <s v="Umowa na realizację przez COI niektórych zadań Ministra Cyfryzacji"/>
    <s v="nd"/>
    <s v="nd"/>
    <m/>
    <n v="4000"/>
    <n v="0"/>
    <s v="16.5.1.2"/>
    <s v="budżet państwa (z wyjątkiem GDDKiA)"/>
    <s v="Działania biznesowe dotyczące Ekosystemu mObywatel App "/>
    <s v="Działania biznesowe dotyczące Ekosystemu mObywatel App "/>
    <n v="8878"/>
    <m/>
    <m/>
    <m/>
    <m/>
    <m/>
    <m/>
    <m/>
    <m/>
  </r>
  <r>
    <x v="0"/>
    <x v="12"/>
    <s v="inny - środki krajowe"/>
    <s v="Umowa na realizację przez COI niektórych zadań Ministra Cyfryzacji"/>
    <s v="nd"/>
    <s v="nd"/>
    <m/>
    <n v="4000"/>
    <n v="0"/>
    <s v="16.5.1.2"/>
    <s v="budżet państwa (z wyjątkiem GDDKiA)"/>
    <s v="Działania promocyjne dotyczące Ekosystemu mObywatel App "/>
    <s v="Działania promocyjne dotyczące Ekosystemu mObywatel App "/>
    <n v="3000"/>
    <m/>
    <m/>
    <m/>
    <m/>
    <m/>
    <m/>
    <m/>
    <m/>
  </r>
  <r>
    <x v="0"/>
    <x v="12"/>
    <s v="inny - środki krajowe"/>
    <s v="Umowa na realizację przez COI niektórych zadań Ministra Cyfryzacji"/>
    <s v="nd"/>
    <s v="nd"/>
    <m/>
    <n v="4000"/>
    <n v="0"/>
    <s v="16.5.1.2"/>
    <s v="budżet państwa (z wyjątkiem GDDKiA)"/>
    <s v="Standaryzacja mObywatel app"/>
    <s v="Standaryzacja mObywatel app"/>
    <n v="7"/>
    <m/>
    <m/>
    <m/>
    <m/>
    <m/>
    <m/>
    <m/>
    <m/>
  </r>
  <r>
    <x v="0"/>
    <x v="12"/>
    <s v="inny - środki krajowe"/>
    <s v="Umowa na realizację przez COI niektórych zadań Ministra Cyfryzacji"/>
    <s v="nd"/>
    <s v="nd"/>
    <m/>
    <n v="4000"/>
    <n v="0"/>
    <s v="16.5.1.2"/>
    <s v="budżet państwa (z wyjątkiem GDDKiA)"/>
    <s v="Utrzymanie mObywatel"/>
    <s v="Utrzymanie mObywatel"/>
    <n v="11534"/>
    <m/>
    <m/>
    <m/>
    <m/>
    <m/>
    <m/>
    <m/>
    <m/>
  </r>
  <r>
    <x v="0"/>
    <x v="12"/>
    <s v="inny - środki krajowe"/>
    <s v="Umowa na realizację przez COI niektórych zadań Ministra Cyfryzacji"/>
    <s v="nd"/>
    <s v="nd"/>
    <m/>
    <n v="4000"/>
    <n v="0"/>
    <s v="16.5.1.2"/>
    <s v="budżet państwa (z wyjątkiem GDDKiA)"/>
    <s v="Nowe koncepcje mObywatel webowy"/>
    <s v="Nowe koncepcje mObywatel webowy"/>
    <n v="1634"/>
    <m/>
    <m/>
    <m/>
    <m/>
    <m/>
    <m/>
    <m/>
    <m/>
  </r>
  <r>
    <x v="0"/>
    <x v="12"/>
    <s v="inny - środki krajowe"/>
    <s v="Umowa na realizację przez COI niektórych zadań Ministra Cyfryzacji"/>
    <s v="nd"/>
    <s v="nd"/>
    <m/>
    <n v="4000"/>
    <n v="0"/>
    <s v="16.5.1.2"/>
    <s v="budżet państwa (z wyjątkiem GDDKiA)"/>
    <s v="Zadania promocyjne mObywatel webowy"/>
    <s v="Zadania promocyjne mObywatel webowy"/>
    <n v="5"/>
    <m/>
    <m/>
    <m/>
    <m/>
    <m/>
    <m/>
    <m/>
    <m/>
  </r>
  <r>
    <x v="0"/>
    <x v="12"/>
    <s v="inny - środki krajowe"/>
    <s v="Umowa na realizację przez COI niektórych zadań Ministra Cyfryzacji"/>
    <s v="nd"/>
    <s v="nd"/>
    <m/>
    <n v="4000"/>
    <n v="0"/>
    <s v="16.5.1.2"/>
    <s v="budżet państwa (z wyjątkiem GDDKiA)"/>
    <s v="Zadania biznesowe dotyczące Platformy Systemu Zdalnej Pracy oraz Nauki"/>
    <s v="Zadania biznesowe dotyczące Platformy Systemu Zdalnej Pracy oraz Nauki"/>
    <m/>
    <m/>
    <m/>
    <m/>
    <m/>
    <m/>
    <m/>
    <m/>
    <m/>
  </r>
  <r>
    <x v="0"/>
    <x v="12"/>
    <s v="inny - środki krajowe"/>
    <s v="Umowa na realizację przez COI niektórych zadań Ministra Cyfryzacji"/>
    <s v="nd"/>
    <s v="nd"/>
    <m/>
    <n v="4000"/>
    <n v="0"/>
    <s v="16.5.1.2"/>
    <s v="budżet państwa (z wyjątkiem GDDKiA)"/>
    <s v="Przeprowadzenie badań użyteczności rozwijającej się platformy"/>
    <s v="Przeprowadzenie badań użyteczności rozwijającej się platformy"/>
    <n v="2"/>
    <m/>
    <m/>
    <m/>
    <m/>
    <m/>
    <m/>
    <m/>
    <m/>
  </r>
  <r>
    <x v="0"/>
    <x v="12"/>
    <s v="inny - środki krajowe"/>
    <s v="Umowa na realizację przez COI niektórych zadań Ministra Cyfryzacji"/>
    <s v="nd"/>
    <s v="nd"/>
    <m/>
    <n v="4000"/>
    <n v="0"/>
    <s v="16.5.1.2"/>
    <s v="budżet państwa (z wyjątkiem GDDKiA)"/>
    <s v="Standaryzacja Portal RP"/>
    <s v="Standaryzacja Portal RP"/>
    <n v="7"/>
    <m/>
    <m/>
    <m/>
    <m/>
    <m/>
    <m/>
    <m/>
    <m/>
  </r>
  <r>
    <x v="0"/>
    <x v="12"/>
    <s v="inny - środki krajowe"/>
    <s v="Umowa na realizację przez COI niektórych zadań Ministra Cyfryzacji"/>
    <s v="nd"/>
    <s v="nd"/>
    <m/>
    <n v="4000"/>
    <n v="0"/>
    <s v="16.5.1.2"/>
    <s v="budżet państwa (z wyjątkiem GDDKiA)"/>
    <s v="Utrzymanie Portal RP"/>
    <s v="Utrzymanie Portal RP"/>
    <n v="9747"/>
    <m/>
    <m/>
    <m/>
    <m/>
    <m/>
    <m/>
    <m/>
    <m/>
  </r>
  <r>
    <x v="0"/>
    <x v="12"/>
    <s v="inny - środki krajowe"/>
    <s v="Umowa na realizację przez COI niektórych zadań Ministra Cyfryzacji"/>
    <s v="nd"/>
    <s v="nd"/>
    <m/>
    <n v="4000"/>
    <n v="0"/>
    <s v="16.5.1.2"/>
    <s v="budżet państwa (z wyjątkiem GDDKiA)"/>
    <s v="Zadania biznesowe dotyczace Portalu RP w tym m.in.:_x000a_- Pressroom, Mediaroom, Senderservice, WIWAR_x000a_- Susza_x000a_- Rejestr urbanistyczny (tym Walidator)_x000a_- widget cookies_x000a_- RDP_x000a_- KPK OZE_x000a_- Dzienniki urzędowe_x000a_- wykaz prac RM i PRM_x000a_- Baza Ministrów_x000a_- chatbot_x000a_- rekomendacje DESI_x000a_- migracje podmiotów na gov.pl i samorzad.gov.pl_x000a_- szkolenia z prostego języka, dostępności i GovPress"/>
    <s v="Zadania biznesowe dotyczace Portalu RP w tym m.in.:_x000a_- Pressroom, Mediaroom, Senderservice, WIWAR_x000a_- Susza_x000a_- Rejestr urbanistyczny (tym Walidator)_x000a_- widget cookies_x000a_- RDP_x000a_- KPK OZE_x000a_- Dzienniki urzędowe_x000a_- wykaz prac RM i PRM_x000a_- Baza Ministrów_x000a_- chatbot_x000a_- rekomendacje DESI_x000a_- migracje podmiotów na gov.pl i samorzad.gov.pl_x000a_- szkolenia z prostego języka, dostępności i GovPress"/>
    <m/>
    <m/>
    <m/>
    <m/>
    <m/>
    <m/>
    <m/>
    <m/>
    <m/>
  </r>
  <r>
    <x v="0"/>
    <x v="12"/>
    <s v="inny - środki krajowe"/>
    <s v="Umowa na realizację przez COI niektórych zadań Ministra Cyfryzacji"/>
    <s v="nd"/>
    <s v="nd"/>
    <m/>
    <n v="4000"/>
    <n v="0"/>
    <s v="16.5.1.2"/>
    <s v="budżet państwa (z wyjątkiem GDDKiA)"/>
    <s v="Media Room - utrzymanie (czerwiec)"/>
    <s v="Media Room - utrzymanie (czerwiec)"/>
    <n v="2110"/>
    <m/>
    <m/>
    <m/>
    <m/>
    <m/>
    <m/>
    <m/>
    <m/>
  </r>
  <r>
    <x v="0"/>
    <x v="12"/>
    <s v="inny - środki krajowe"/>
    <s v="Umowa na realizację przez COI niektórych zadań Ministra Cyfryzacji"/>
    <s v="nd"/>
    <s v="nd"/>
    <m/>
    <n v="4000"/>
    <n v="0"/>
    <s v="16.5.1.2"/>
    <s v="budżet państwa (z wyjątkiem GDDKiA)"/>
    <s v="Walidator plików GML - utrzymanie (lipiec)"/>
    <s v="Walidator plików GML - utrzymanie (lipiec)"/>
    <n v="2457"/>
    <m/>
    <m/>
    <m/>
    <m/>
    <m/>
    <m/>
    <m/>
    <m/>
  </r>
  <r>
    <x v="0"/>
    <x v="12"/>
    <s v="inny - środki krajowe"/>
    <s v="Umowa na realizację przez COI niektórych zadań Ministra Cyfryzacji"/>
    <s v="nd"/>
    <s v="nd"/>
    <m/>
    <n v="4000"/>
    <n v="0"/>
    <s v="16.5.1.2"/>
    <s v="budżet państwa (z wyjątkiem GDDKiA)"/>
    <s v="Press Room - utrzymanie (sierpień)"/>
    <s v="Press Room - utrzymanie (sierpień)"/>
    <n v="3699"/>
    <m/>
    <m/>
    <m/>
    <m/>
    <m/>
    <m/>
    <m/>
    <m/>
  </r>
  <r>
    <x v="0"/>
    <x v="12"/>
    <s v="inny - środki krajowe"/>
    <s v="Umowa na realizację przez COI niektórych zadań Ministra Cyfryzacji"/>
    <s v="nd"/>
    <s v="nd"/>
    <m/>
    <n v="4000"/>
    <n v="0"/>
    <s v="16.5.1.2"/>
    <s v="budżet państwa (z wyjątkiem GDDKiA)"/>
    <s v="Wsparcie w przygotowaniu dokumentacji projektowej do FERC – Portal RP"/>
    <s v="Wsparcie w przygotowaniu dokumentacji projektowej do FERC – Portal RP"/>
    <n v="541"/>
    <m/>
    <m/>
    <m/>
    <m/>
    <m/>
    <m/>
    <m/>
    <m/>
  </r>
  <r>
    <x v="0"/>
    <x v="12"/>
    <s v="inny - środki krajowe"/>
    <s v="Umowa na realizację przez COI niektórych zadań Ministra Cyfryzacji"/>
    <s v="nd"/>
    <s v="nd"/>
    <m/>
    <n v="4000"/>
    <n v="0"/>
    <s v="16.5.1.2"/>
    <s v="budżet państwa (z wyjątkiem GDDKiA)"/>
    <s v="Zadania biznesowe dotyczące Pracy w Polsce"/>
    <s v="Zadania biznesowe dotyczące Pracy w Polsce"/>
    <m/>
    <m/>
    <m/>
    <m/>
    <m/>
    <m/>
    <m/>
    <m/>
    <m/>
  </r>
  <r>
    <x v="0"/>
    <x v="12"/>
    <s v="inny - środki krajowe"/>
    <s v="Umowa na realizację przez COI niektórych zadań Ministra Cyfryzacji"/>
    <s v="nd"/>
    <s v="nd"/>
    <m/>
    <n v="4000"/>
    <n v="0"/>
    <s v="16.1.2.1"/>
    <s v="budżet państwa (z wyjątkiem GDDKiA)"/>
    <s v="Prace związane z realizacją przez COI zadań MC"/>
    <s v="Prace związane z realizacją przez COI zadań MC"/>
    <m/>
    <m/>
    <m/>
    <m/>
    <m/>
    <m/>
    <m/>
    <m/>
    <m/>
  </r>
  <r>
    <x v="0"/>
    <x v="12"/>
    <s v="inny - środki krajowe"/>
    <s v="Umowa na realizację przez COI niektórych zadań Ministra Cyfryzacji"/>
    <s v="nd"/>
    <s v="nd"/>
    <m/>
    <n v="4000"/>
    <n v="0"/>
    <s v="16.1.2.1"/>
    <s v="budżet państwa (z wyjątkiem GDDKiA)"/>
    <s v="Opracowywanie propozycji wsparcia MC w konsultacjach społecznych"/>
    <s v="Opracowywanie propozycji wsparcia MC w konsultacjach społecznych"/>
    <n v="18"/>
    <m/>
    <m/>
    <m/>
    <m/>
    <m/>
    <m/>
    <m/>
    <m/>
  </r>
  <r>
    <x v="0"/>
    <x v="12"/>
    <s v="inny - środki krajowe"/>
    <s v="Umowa na realizację przez COI niektórych zadań Ministra Cyfryzacji"/>
    <s v="nd"/>
    <s v="nd"/>
    <m/>
    <n v="4000"/>
    <n v="0"/>
    <s v="16.1.2.1"/>
    <s v="budżet państwa (z wyjątkiem GDDKiA)"/>
    <s v="Opracowywanie propozycji zmiany strony MC"/>
    <s v="Opracowywanie propozycji zmiany strony MC"/>
    <n v="62"/>
    <m/>
    <m/>
    <m/>
    <m/>
    <m/>
    <m/>
    <m/>
    <m/>
  </r>
  <r>
    <x v="0"/>
    <x v="12"/>
    <s v="inny - środki krajowe"/>
    <s v="Umowa na realizację przez COI niektórych zadań Ministra Cyfryzacji"/>
    <s v="nd"/>
    <s v="nd"/>
    <m/>
    <n v="4000"/>
    <n v="0"/>
    <s v="16.1.2.1"/>
    <s v="budżet państwa (z wyjątkiem GDDKiA)"/>
    <s v="Opracowywanie innych propozycji dla MC związanych z promocją MC lub jego identyfikacją w tym tworzenie grafik"/>
    <s v="Opracowywanie innych propozycji dla MC związanych z promocją MC lub jego identyfikacją w tym tworzenie grafik"/>
    <n v="518"/>
    <m/>
    <m/>
    <m/>
    <m/>
    <m/>
    <m/>
    <m/>
    <m/>
  </r>
  <r>
    <x v="0"/>
    <x v="12"/>
    <s v="inny - środki krajowe"/>
    <s v="Umowa na realizację przez COI niektórych zadań Ministra Cyfryzacji"/>
    <s v="nd"/>
    <s v="nd"/>
    <m/>
    <n v="4000"/>
    <n v="0"/>
    <s v="16.1.2.1"/>
    <s v="budżet państwa (z wyjątkiem GDDKiA)"/>
    <s v="Promocje"/>
    <s v="Promocje"/>
    <m/>
    <m/>
    <m/>
    <m/>
    <m/>
    <m/>
    <m/>
    <m/>
    <m/>
  </r>
  <r>
    <x v="0"/>
    <x v="12"/>
    <s v="inny - środki krajowe"/>
    <s v="Umowa na realizację przez COI niektórych zadań Ministra Cyfryzacji"/>
    <s v="nd"/>
    <s v="nd"/>
    <m/>
    <n v="4000"/>
    <n v="0"/>
    <s v="16.1.2.1"/>
    <s v="budżet państwa (z wyjątkiem GDDKiA)"/>
    <s v="eIDAS 2.0 – Uzgodnienia przedprojektowe"/>
    <s v="eIDAS 2.0 – Uzgodnienia przedprojektowe"/>
    <n v="24"/>
    <m/>
    <m/>
    <m/>
    <m/>
    <m/>
    <m/>
    <m/>
    <m/>
  </r>
  <r>
    <x v="0"/>
    <x v="12"/>
    <s v="inny - środki krajowe"/>
    <s v="Umowa na realizację przez COI niektórych zadań Ministra Cyfryzacji"/>
    <s v="nd"/>
    <s v="nd"/>
    <m/>
    <n v="4000"/>
    <n v="0"/>
    <s v="16.5.1.2"/>
    <s v="budżet państwa (z wyjątkiem GDDKiA)"/>
    <s v="Zadania biznesowe dotyczące Prokuratorii"/>
    <s v="Zadania biznesowe dotyczące Prokuratorii"/>
    <n v="2893"/>
    <m/>
    <m/>
    <m/>
    <m/>
    <m/>
    <m/>
    <m/>
    <m/>
  </r>
  <r>
    <x v="0"/>
    <x v="12"/>
    <s v="inny - środki krajowe"/>
    <s v="Umowa na realizację przez COI niektórych zadań Ministra Cyfryzacji"/>
    <s v="nd"/>
    <s v="nd"/>
    <m/>
    <n v="4000"/>
    <n v="0"/>
    <s v="16.5.1.2"/>
    <s v="budżet państwa (z wyjątkiem GDDKiA)"/>
    <s v="Innowacje technologiczne dotyczące PUE ZUS "/>
    <s v="Innowacje technologiczne dotyczące PUE ZUS "/>
    <n v="2"/>
    <m/>
    <m/>
    <m/>
    <m/>
    <m/>
    <m/>
    <m/>
    <m/>
  </r>
  <r>
    <x v="0"/>
    <x v="12"/>
    <s v="inny - środki krajowe"/>
    <s v="Umowa na realizację przez COI niektórych zadań Ministra Cyfryzacji"/>
    <s v="nd"/>
    <s v="nd"/>
    <m/>
    <n v="4000"/>
    <n v="0"/>
    <s v="16.1.2.1"/>
    <s v="budżet państwa (z wyjątkiem GDDKiA)"/>
    <s v="SRP udostępnianie/operacje"/>
    <s v="SRP udostępnianie/operacje"/>
    <n v="784"/>
    <m/>
    <m/>
    <m/>
    <m/>
    <m/>
    <m/>
    <m/>
    <m/>
  </r>
  <r>
    <x v="0"/>
    <x v="12"/>
    <s v="inny - środki krajowe"/>
    <s v="Umowa na realizację przez COI niektórych zadań Ministra Cyfryzacji"/>
    <s v="nd"/>
    <s v="nd"/>
    <m/>
    <n v="4000"/>
    <n v="0"/>
    <s v="16.1.2.1"/>
    <s v="budżet państwa (z wyjątkiem GDDKiA)"/>
    <s v="Utrzymanie SRP - usługi własne "/>
    <s v="Utrzymanie SRP - usługi własne "/>
    <n v="30703"/>
    <m/>
    <m/>
    <m/>
    <m/>
    <m/>
    <m/>
    <m/>
    <m/>
  </r>
  <r>
    <x v="0"/>
    <x v="12"/>
    <s v="inny - środki krajowe"/>
    <s v="Umowa na realizację przez COI niektórych zadań Ministra Cyfryzacji"/>
    <s v="nd"/>
    <s v="nd"/>
    <m/>
    <n v="4000"/>
    <n v="0"/>
    <s v="16.1.2.1"/>
    <s v="budżet państwa (z wyjątkiem GDDKiA)"/>
    <s v="Zadania biznesowe dotyczące SRP"/>
    <s v="Zadania biznesowe dotyczące SRP"/>
    <n v="9950"/>
    <m/>
    <m/>
    <m/>
    <m/>
    <m/>
    <m/>
    <m/>
    <m/>
  </r>
  <r>
    <x v="0"/>
    <x v="12"/>
    <s v="inny - środki krajowe"/>
    <s v="Umowa na realizację przez COI niektórych zadań Ministra Cyfryzacji"/>
    <s v="nd"/>
    <s v="nd"/>
    <m/>
    <n v="4000"/>
    <n v="0"/>
    <s v="16.1.2.1"/>
    <s v="budżet państwa (z wyjątkiem GDDKiA)"/>
    <s v="Zadania promocyjne SRP"/>
    <s v="Zadania promocyjne SRP"/>
    <n v="3"/>
    <m/>
    <m/>
    <m/>
    <m/>
    <m/>
    <m/>
    <m/>
    <m/>
  </r>
  <r>
    <x v="0"/>
    <x v="12"/>
    <s v="inny - środki krajowe"/>
    <s v="Umowa na realizację przez COI niektórych zadań Ministra Cyfryzacji"/>
    <s v="nd"/>
    <s v="nd"/>
    <m/>
    <n v="4000"/>
    <n v="0"/>
    <s v="16.1.2.1"/>
    <s v="budżet państwa (z wyjątkiem GDDKiA)"/>
    <s v="Nowelizacja ustawy o pomocy obywatelom Ukrainy - działania biznesowe"/>
    <s v="Nowelizacja ustawy o pomocy obywatelom Ukrainy - działania biznesowe"/>
    <m/>
    <m/>
    <m/>
    <m/>
    <m/>
    <m/>
    <m/>
    <m/>
    <m/>
  </r>
  <r>
    <x v="0"/>
    <x v="12"/>
    <s v="inny - środki krajowe"/>
    <s v="Umowa na realizację przez COI niektórych zadań Ministra Cyfryzacji"/>
    <s v="nd"/>
    <s v="nd"/>
    <m/>
    <n v="4000"/>
    <n v="0"/>
    <s v="16.1.2.1"/>
    <s v="budżet państwa (z wyjątkiem GDDKiA)"/>
    <s v="Rozwój BUSC (SRP) - działania biznesowe"/>
    <s v="Rozwój BUSC (SRP) - działania biznesowe"/>
    <n v="16"/>
    <m/>
    <m/>
    <m/>
    <m/>
    <m/>
    <m/>
    <m/>
    <m/>
  </r>
  <r>
    <x v="0"/>
    <x v="12"/>
    <s v="inny - środki krajowe"/>
    <s v="Umowa na realizację przez COI niektórych zadań Ministra Cyfryzacji"/>
    <s v="nd"/>
    <s v="nd"/>
    <m/>
    <n v="4000"/>
    <n v="0"/>
    <s v="16.5.1.2"/>
    <s v="budżet państwa (z wyjątkiem GDDKiA)"/>
    <s v="Utrzymanie aplikacji Susza"/>
    <s v="Utrzymanie aplikacji Susza"/>
    <n v="1775"/>
    <m/>
    <m/>
    <m/>
    <m/>
    <m/>
    <m/>
    <m/>
    <m/>
  </r>
  <r>
    <x v="0"/>
    <x v="12"/>
    <s v="inny - środki krajowe"/>
    <s v="Umowa na realizację przez COI niektórych zadań Ministra Cyfryzacji"/>
    <s v="nd"/>
    <s v="nd"/>
    <m/>
    <n v="4000"/>
    <n v="0"/>
    <s v="16.5.1.2"/>
    <s v="budżet państwa (z wyjątkiem GDDKiA)"/>
    <s v="Prace utrzymaniowe dotyczące WIIP"/>
    <s v="Prace utrzymaniowe dotyczące WIIP"/>
    <n v="17948"/>
    <m/>
    <m/>
    <m/>
    <m/>
    <m/>
    <m/>
    <m/>
    <m/>
  </r>
  <r>
    <x v="0"/>
    <x v="12"/>
    <s v="inny - środki krajowe"/>
    <s v="Umowa na realizację przez COI niektórych zadań Ministra Cyfryzacji"/>
    <s v="nd"/>
    <s v="nd"/>
    <m/>
    <n v="4000"/>
    <n v="0"/>
    <s v="16.5.1.2"/>
    <s v="budżet państwa (z wyjątkiem GDDKiA)"/>
    <s v="Zadania biznesowe dotyczące WIIP"/>
    <s v="Zadania biznesowe dotyczące WIIP"/>
    <n v="8732"/>
    <m/>
    <m/>
    <m/>
    <m/>
    <m/>
    <m/>
    <m/>
    <m/>
  </r>
  <r>
    <x v="0"/>
    <x v="12"/>
    <s v="inny - środki krajowe"/>
    <s v="Umowa na realizację przez COI niektórych zadań Ministra Cyfryzacji"/>
    <s v="nd"/>
    <s v="nd"/>
    <m/>
    <n v="4000"/>
    <n v="0"/>
    <s v="16.5.1.2"/>
    <s v="budżet państwa (z wyjątkiem GDDKiA)"/>
    <s v="Projekt rozwoju oprogramowania systemu ZUCH - działania biznesowe"/>
    <s v="Projekt rozwoju oprogramowania systemu ZUCH - działania biznesowe"/>
    <n v="327"/>
    <m/>
    <m/>
    <m/>
    <m/>
    <m/>
    <m/>
    <m/>
    <m/>
  </r>
  <r>
    <x v="0"/>
    <x v="12"/>
    <s v="inny - środki krajowe"/>
    <s v="Umowa na realizację przez COI niektórych zadań Ministra Cyfryzacji"/>
    <s v="nd"/>
    <s v="nd"/>
    <m/>
    <n v="4000"/>
    <n v="0"/>
    <s v="16.5.1.2"/>
    <s v="budżet państwa (z wyjątkiem GDDKiA)"/>
    <s v="Utrzymanie ZUCH"/>
    <s v="Utrzymanie ZUCH"/>
    <n v="3667"/>
    <m/>
    <m/>
    <m/>
    <m/>
    <m/>
    <m/>
    <m/>
    <m/>
  </r>
  <r>
    <x v="0"/>
    <x v="12"/>
    <s v="inny - środki krajowe"/>
    <s v="Umowa na realizację przez COI niektórych zadań Ministra Cyfryzacji"/>
    <s v="nd"/>
    <s v="nd"/>
    <m/>
    <n v="4000"/>
    <n v="0"/>
    <s v="16.1.2.1"/>
    <s v="budżet państwa (z wyjątkiem GDDKiA)"/>
    <s v="RCT udostępnianie/operacje"/>
    <s v="RCT udostępnianie/operacje"/>
    <n v="49"/>
    <m/>
    <m/>
    <m/>
    <m/>
    <m/>
    <m/>
    <m/>
    <m/>
  </r>
  <r>
    <x v="0"/>
    <x v="12"/>
    <s v="inny - środki krajowe"/>
    <s v="Umowa na realizację przez COI niektórych zadań Ministra Cyfryzacji"/>
    <s v="nd"/>
    <s v="nd"/>
    <m/>
    <n v="4000"/>
    <n v="0"/>
    <s v="16.1.2.1"/>
    <s v="budżet państwa (z wyjątkiem GDDKiA)"/>
    <s v="Utrzymanie WK, PZ, SIE (RCT)"/>
    <s v="Utrzymanie WK, PZ, SIE (RCT)"/>
    <n v="16803"/>
    <m/>
    <m/>
    <m/>
    <m/>
    <m/>
    <m/>
    <m/>
    <m/>
  </r>
  <r>
    <x v="0"/>
    <x v="12"/>
    <s v="inny - środki krajowe"/>
    <s v="Umowa na realizację przez COI niektórych zadań Ministra Cyfryzacji"/>
    <s v="nd"/>
    <s v="nd"/>
    <m/>
    <n v="4000"/>
    <n v="0"/>
    <s v="16.1.2.1"/>
    <s v="budżet państwa (z wyjątkiem GDDKiA)"/>
    <s v="Zadania biznesowe dotyczące RCT"/>
    <s v="Zadania biznesowe dotyczące RCT"/>
    <n v="7388"/>
    <m/>
    <m/>
    <m/>
    <m/>
    <m/>
    <m/>
    <m/>
    <m/>
  </r>
  <r>
    <x v="0"/>
    <x v="12"/>
    <s v="inny - środki krajowe"/>
    <s v="Umowa na realizację przez COI niektórych zadań Ministra Cyfryzacji"/>
    <s v="nd"/>
    <s v="nd"/>
    <m/>
    <n v="4000"/>
    <n v="0"/>
    <s v="16.1.2.1"/>
    <s v="budżet państwa (z wyjątkiem GDDKiA)"/>
    <s v="Wsparcie w przygotowaniu dokumentacji projektowej do FERC – RCT"/>
    <s v="Wsparcie w przygotowaniu dokumentacji projektowej do FERC – RCT"/>
    <n v="327"/>
    <m/>
    <m/>
    <m/>
    <m/>
    <m/>
    <m/>
    <m/>
    <m/>
  </r>
  <r>
    <x v="0"/>
    <x v="12"/>
    <s v="inny - środki krajowe"/>
    <s v="Umowa na realizację przez COI niektórych zadań Ministra Cyfryzacji"/>
    <s v="nd"/>
    <s v="nd"/>
    <m/>
    <n v="4000"/>
    <n v="0"/>
    <s v="16.1.2.1"/>
    <s v="budżet państwa (z wyjątkiem GDDKiA)"/>
    <s v="Węzeł podpisu - utrzymanie (kwiecień)"/>
    <s v="Węzeł podpisu - utrzymanie (kwiecień)"/>
    <n v="7682"/>
    <m/>
    <m/>
    <m/>
    <m/>
    <m/>
    <m/>
    <m/>
    <m/>
  </r>
  <r>
    <x v="0"/>
    <x v="12"/>
    <s v="inny - środki krajowe"/>
    <s v="Umowa na realizację przez COI niektórych zadań Ministra Cyfryzacji"/>
    <s v="nd"/>
    <s v="nd"/>
    <m/>
    <n v="4000"/>
    <n v="0"/>
    <s v="16.1.2.1"/>
    <s v="budżet państwa (z wyjątkiem GDDKiA)"/>
    <s v="RCT – Węzeł Transgraniczny - Zadania biznesowe"/>
    <s v="RCT – Węzeł Transgraniczny - Zadania biznesowe"/>
    <n v="1887"/>
    <m/>
    <m/>
    <m/>
    <m/>
    <m/>
    <m/>
    <m/>
    <m/>
  </r>
  <r>
    <x v="0"/>
    <x v="12"/>
    <s v="inny - środki krajowe"/>
    <s v="Umowa na realizację przez COI niektórych zadań Ministra Cyfryzacji"/>
    <s v="nd"/>
    <s v="nd"/>
    <m/>
    <n v="4000"/>
    <n v="0"/>
    <s v="16.1.2.1"/>
    <s v="budżet państwa (z wyjątkiem GDDKiA)"/>
    <s v="Zadania biznesowe dotyczące ZIR i RID"/>
    <s v="Zadania biznesowe dotyczące ZIR i RID"/>
    <n v="904"/>
    <m/>
    <m/>
    <m/>
    <m/>
    <m/>
    <m/>
    <m/>
    <m/>
  </r>
  <r>
    <x v="0"/>
    <x v="12"/>
    <s v="inny - środki krajowe"/>
    <s v="Umowa na realizację przez COI niektórych zadań Ministra Cyfryzacji"/>
    <s v="nd"/>
    <s v="nd"/>
    <m/>
    <n v="4000"/>
    <n v="0"/>
    <s v="16.1.2.1"/>
    <s v="budżet państwa (z wyjątkiem GDDKiA)"/>
    <s v="ZIR administrowanie"/>
    <s v="ZIR administrowanie"/>
    <n v="11637"/>
    <m/>
    <m/>
    <m/>
    <m/>
    <m/>
    <m/>
    <m/>
    <m/>
  </r>
  <r>
    <x v="0"/>
    <x v="12"/>
    <s v="inny - środki krajowe"/>
    <s v="Umowa na realizację przez COI niektórych zadań Ministra Cyfryzacji"/>
    <s v="nd"/>
    <s v="nd"/>
    <m/>
    <n v="4000"/>
    <n v="0"/>
    <s v="16.5.1.2"/>
    <s v="budżet państwa (z wyjątkiem GDDKiA)"/>
    <s v="E-Płatności utrzymanie (lipiec)"/>
    <s v="E-Płatności utrzymanie (lipiec)"/>
    <n v="4553"/>
    <m/>
    <m/>
    <m/>
    <m/>
    <m/>
    <m/>
    <m/>
    <m/>
  </r>
  <r>
    <x v="0"/>
    <x v="12"/>
    <s v="inny - środki krajowe"/>
    <s v="Umowa na realizację przez COI niektórych zadań Ministra Cyfryzacji"/>
    <s v="nd"/>
    <s v="nd"/>
    <m/>
    <n v="4000"/>
    <n v="0"/>
    <s v="16.1.2.1"/>
    <s v="budżet państwa (z wyjątkiem GDDKiA)"/>
    <s v="Środek identyfikacji dla osoby prawnej - uzgodnienia przedprojektowe"/>
    <s v="Środek identyfikacji dla osoby prawnej - uzgodnienia przedprojektowe"/>
    <n v="3690"/>
    <m/>
    <m/>
    <m/>
    <m/>
    <m/>
    <m/>
    <m/>
    <m/>
  </r>
  <r>
    <x v="0"/>
    <x v="12"/>
    <s v="inny - środki krajowe"/>
    <s v="Umowa na realizację przez COI niektórych zadań Ministra Cyfryzacji"/>
    <s v="nd"/>
    <s v="nd"/>
    <m/>
    <n v="4000"/>
    <n v="0"/>
    <s v="16.5.1.2"/>
    <s v="budżet państwa (z wyjątkiem GDDKiA)"/>
    <s v="Zadania biznesowe dotyczące Portalu AI"/>
    <s v="Zadania biznesowe dotyczące Portalu AI"/>
    <n v="400"/>
    <m/>
    <m/>
    <m/>
    <m/>
    <m/>
    <m/>
    <m/>
    <m/>
  </r>
  <r>
    <x v="0"/>
    <x v="12"/>
    <s v="inny - środki krajowe"/>
    <s v="Umowa na realizację przez COI niektórych zadań Ministra Cyfryzacji"/>
    <s v="nd"/>
    <s v="nd"/>
    <m/>
    <n v="4000"/>
    <n v="0"/>
    <s v="16.5.1.2"/>
    <s v="budżet państwa (z wyjątkiem GDDKiA)"/>
    <s v="Utrzymanie Portalu AI"/>
    <s v="Utrzymanie Portalu AI"/>
    <n v="738"/>
    <m/>
    <m/>
    <m/>
    <m/>
    <m/>
    <m/>
    <m/>
    <m/>
  </r>
  <r>
    <x v="0"/>
    <x v="12"/>
    <s v="inny - środki krajowe"/>
    <s v="Umowa na realizację przez COI niektórych zadań Ministra Cyfryzacji - odsprzedaż"/>
    <s v="nd"/>
    <s v="nd"/>
    <m/>
    <n v="4000"/>
    <n v="0"/>
    <s v="16.1.2.1"/>
    <s v="budżet państwa (z wyjątkiem GDDKiA)"/>
    <s v="Świadczenie usług wysyłania krótkich wiadomości tekstowych (SMS) przez 24 miesiące (2 części)."/>
    <s v="Świadczenie usług wysyłania krótkich wiadomości tekstowych (SMS) przez 24 miesiące (2 części)."/>
    <m/>
    <m/>
    <m/>
    <m/>
    <m/>
    <m/>
    <m/>
    <m/>
    <m/>
  </r>
  <r>
    <x v="0"/>
    <x v="12"/>
    <s v="inny - środki krajowe"/>
    <s v="Umowa na realizację przez COI niektórych zadań Ministra Cyfryzacji - odsprzedaż"/>
    <s v="nd"/>
    <s v="nd"/>
    <m/>
    <n v="4000"/>
    <n v="0"/>
    <s v="16.1.2.1"/>
    <s v="budżet państwa (z wyjątkiem GDDKiA)"/>
    <s v="Wsparcie i rozbudowa oprogramowania narzędziowego dla_x000a_środowiska KN w celu zapewnienia pomocy technicznej, dostępu do poprawek oraz praw do_x000a_nowych wersji oprogramowania na okres 12 miesięcy"/>
    <s v="Wsparcie i rozbudowa oprogramowania narzędziowego dla_x000a_środowiska KN w celu zapewnienia pomocy technicznej, dostępu do poprawek oraz praw do_x000a_nowych wersji oprogramowania na okres 12 miesięcy"/>
    <n v="129"/>
    <m/>
    <m/>
    <m/>
    <m/>
    <m/>
    <m/>
    <m/>
    <m/>
  </r>
  <r>
    <x v="0"/>
    <x v="12"/>
    <s v="inny - środki krajowe"/>
    <s v="Umowa na realizację przez COI niektórych zadań Ministra Cyfryzacji - odsprzedaż"/>
    <s v="nd"/>
    <s v="nd"/>
    <m/>
    <n v="4000"/>
    <n v="0"/>
    <s v="16.1.2.1"/>
    <s v="budżet państwa (z wyjątkiem GDDKiA)"/>
    <s v="Testy bezpieczeństwa 18 mcy"/>
    <s v="Testy bezpieczeństwa 18 mcy"/>
    <n v="507"/>
    <m/>
    <m/>
    <m/>
    <m/>
    <m/>
    <m/>
    <m/>
    <m/>
  </r>
  <r>
    <x v="0"/>
    <x v="12"/>
    <s v="inny - środki krajowe"/>
    <s v="Umowa na realizację przez COI niektórych zadań Ministra Cyfryzacji - odsprzedaż"/>
    <s v="nd"/>
    <s v="nd"/>
    <m/>
    <n v="4000"/>
    <n v="0"/>
    <s v="16.1.2.1"/>
    <s v="budżet państwa (z wyjątkiem GDDKiA)"/>
    <s v="Świadczenie serwisu pogwarancyjnego i usług wsparcia technicznego_x000a_ dla urządzeń i oprogramowania na potrzeby KN (bezpieczna łączność) - serwis pogwarancyjny systemu ochrony informacji niejawnych z wykorzystaniem szyfratorów IP KRYPTON K2 na 12 m-cy"/>
    <s v="Świadczenie serwisu pogwarancyjnego i usług wsparcia technicznego_x000a_ dla urządzeń i oprogramowania na potrzeby KN (bezpieczna łączność) - serwis pogwarancyjny systemu ochrony informacji niejawnych z wykorzystaniem szyfratorów IP KRYPTON K2 na 12 m-cy"/>
    <n v="284"/>
    <m/>
    <m/>
    <m/>
    <m/>
    <m/>
    <m/>
    <m/>
    <m/>
  </r>
  <r>
    <x v="0"/>
    <x v="12"/>
    <s v="inny - środki krajowe"/>
    <s v="Umowa na realizację przez COI niektórych zadań Ministra Cyfryzacji - odsprzedaż"/>
    <s v="nd"/>
    <s v="nd"/>
    <m/>
    <n v="4000"/>
    <n v="0"/>
    <s v="16.1.2.1"/>
    <s v="budżet państwa (z wyjątkiem GDDKiA)"/>
    <s v="Przedłużenie wsparcia technicznego oprogramowania Red Hat Jboss wraz z dostawą subskrypcji/_x000a_zakup usługi wsparcia technicznego oprogramowania Euro Application Platform na 12 miesięcy"/>
    <s v="Przedłużenie wsparcia technicznego oprogramowania Red Hat Jboss wraz z dostawą subskrypcji/_x000a_zakup usługi wsparcia technicznego oprogramowania Euro Application Platform na 12 miesięcy"/>
    <n v="1525"/>
    <m/>
    <m/>
    <m/>
    <m/>
    <m/>
    <m/>
    <m/>
    <m/>
  </r>
  <r>
    <x v="0"/>
    <x v="12"/>
    <s v="inny - środki krajowe"/>
    <s v="Umowa na realizację przez COI niektórych zadań Ministra Cyfryzacji - odsprzedaż"/>
    <s v="nd"/>
    <s v="nd"/>
    <m/>
    <n v="4000"/>
    <n v="0"/>
    <s v="16.1.2.1"/>
    <s v="budżet państwa (z wyjątkiem GDDKiA)"/>
    <s v="Proxy do ZIR (działania administracyjne)"/>
    <s v="Proxy do ZIR (działania administracyjne)"/>
    <n v="251"/>
    <m/>
    <m/>
    <m/>
    <m/>
    <m/>
    <m/>
    <m/>
    <m/>
  </r>
  <r>
    <x v="0"/>
    <x v="12"/>
    <s v="inny - środki krajowe"/>
    <s v="Umowa na realizację przez COI niektórych zadań Ministra Cyfryzacji - odsprzedaż"/>
    <s v="nd"/>
    <s v="nd"/>
    <m/>
    <n v="4000"/>
    <n v="0"/>
    <s v="16.1.2.1"/>
    <s v="budżet państwa (z wyjątkiem GDDKiA)"/>
    <s v="Certyfikaty i Pieczęcie elektroniczne zbiorczo ( zapadające 2025, 2026, 2027)"/>
    <s v="Certyfikaty i Pieczęcie elektroniczne zbiorczo ( zapadające 2025, 2026, 2027)"/>
    <n v="115"/>
    <m/>
    <m/>
    <m/>
    <m/>
    <m/>
    <m/>
    <m/>
    <m/>
  </r>
  <r>
    <x v="0"/>
    <x v="12"/>
    <s v="inny - środki krajowe"/>
    <s v="Umowa na realizację przez COI niektórych zadań Ministra Cyfryzacji - odsprzedaż"/>
    <s v="nd"/>
    <s v="nd"/>
    <m/>
    <n v="4000"/>
    <n v="0"/>
    <s v="16.1.2.1"/>
    <s v="budżet państwa (z wyjątkiem GDDKiA)"/>
    <s v="Wsparcie i rozbudowa oprogramowania narzędziowego (5 części)"/>
    <s v="Wsparcie i rozbudowa oprogramowania narzędziowego (5 części)"/>
    <n v="382"/>
    <m/>
    <m/>
    <m/>
    <m/>
    <m/>
    <m/>
    <m/>
    <m/>
  </r>
  <r>
    <x v="0"/>
    <x v="12"/>
    <s v="inny - środki krajowe"/>
    <s v="Umowa na realizację przez COI niektórych zadań Ministra Cyfryzacji - odsprzedaż"/>
    <s v="nd"/>
    <s v="nd"/>
    <m/>
    <n v="4000"/>
    <n v="0"/>
    <s v="16.1.2.1"/>
    <s v="budżet państwa (z wyjątkiem GDDKiA)"/>
    <s v="Rozbudowa Skanera Tenable o moduł WAS 5FQDN (rok) i odnowienie wsparcia "/>
    <s v="Rozbudowa Skanera Tenable o moduł WAS 5FQDN (rok) i odnowienie wsparcia "/>
    <n v="63"/>
    <m/>
    <m/>
    <m/>
    <m/>
    <m/>
    <m/>
    <m/>
    <m/>
  </r>
  <r>
    <x v="0"/>
    <x v="12"/>
    <s v="inny - środki krajowe"/>
    <s v="Umowa na realizację przez COI niektórych zadań Ministra Cyfryzacji - odsprzedaż"/>
    <s v="nd"/>
    <s v="nd"/>
    <m/>
    <n v="4000"/>
    <n v="0"/>
    <s v="16.5.1.2"/>
    <s v="budżet państwa (z wyjątkiem GDDKiA)"/>
    <s v="Zakup wsparcia technicznego (godzin eksperckich) na potrzeby_x000a_ systemów Rządowej Chmury Obliczeniowej."/>
    <s v="Zakup wsparcia technicznego (godzin eksperckich) na potrzeby_x000a_ systemów Rządowej Chmury Obliczeniowej."/>
    <n v="1035.9999998963999"/>
    <m/>
    <m/>
    <m/>
    <m/>
    <m/>
    <m/>
    <m/>
    <m/>
  </r>
  <r>
    <x v="0"/>
    <x v="12"/>
    <s v="inny - środki krajowe"/>
    <s v="Umowa na realizację przez COI niektórych zadań Ministra Cyfryzacji - odsprzedaż"/>
    <s v="nd"/>
    <s v="nd"/>
    <m/>
    <n v="4000"/>
    <n v="0"/>
    <s v="16.1.2.1"/>
    <s v="budżet państwa (z wyjątkiem GDDKiA)"/>
    <s v="odnowienia certyfikatów Asecco ( zbiorczo) 2025"/>
    <s v="odnowienia certyfikatów Asecco ( zbiorczo) 2025"/>
    <n v="89"/>
    <m/>
    <m/>
    <m/>
    <m/>
    <m/>
    <m/>
    <m/>
    <m/>
  </r>
  <r>
    <x v="0"/>
    <x v="12"/>
    <s v="inny - środki krajowe"/>
    <s v="Umowa na realizację przez COI niektórych zadań Ministra Cyfryzacji - odsprzedaż"/>
    <s v="nd"/>
    <s v="nd"/>
    <m/>
    <n v="4000"/>
    <n v="0"/>
    <s v="16.1.2.1"/>
    <s v="budżet państwa (z wyjątkiem GDDKiA)"/>
    <s v="Świadczenie usług serwisu i wsparcia technicznego deduplikatorów EMC w okresie 24 m-cy ( ODNOWIENIE )"/>
    <s v="Świadczenie usług serwisu i wsparcia technicznego deduplikatorów EMC w okresie 24 m-cy ( ODNOWIENIE )"/>
    <n v="605"/>
    <m/>
    <m/>
    <m/>
    <m/>
    <m/>
    <m/>
    <m/>
    <m/>
  </r>
  <r>
    <x v="0"/>
    <x v="12"/>
    <s v="inny - środki krajowe"/>
    <s v="Umowa na realizację przez COI niektórych zadań Ministra Cyfryzacji - odsprzedaż"/>
    <s v="nd"/>
    <s v="nd"/>
    <m/>
    <n v="4000"/>
    <n v="0"/>
    <s v="16.1.2.1"/>
    <s v="budżet państwa (z wyjątkiem GDDKiA)"/>
    <s v="zapewnienie 24 miesiecznego wsparcia technicznego dla licencji na oprogramowanie ( 2 części)-_x000a_ część II"/>
    <s v="zapewnienie 24 miesiecznego wsparcia technicznego dla licencji na oprogramowanie ( 2 części)-_x000a_ część II"/>
    <n v="264"/>
    <m/>
    <m/>
    <m/>
    <m/>
    <m/>
    <m/>
    <m/>
    <m/>
  </r>
  <r>
    <x v="0"/>
    <x v="12"/>
    <s v="inny - środki krajowe"/>
    <s v="Umowa na realizację przez COI niektórych zadań Ministra Cyfryzacji - odsprzedaż"/>
    <s v="nd"/>
    <s v="nd"/>
    <m/>
    <n v="4000"/>
    <n v="0"/>
    <s v="16.1.2.1"/>
    <s v="budżet państwa (z wyjątkiem GDDKiA)"/>
    <s v="zapewnienie wsparcia technicznego dla środowiska do zarządzania kodem źródłowym dla 1000_x000a_ użytkowników na okres 12 miesięcy- ZMIANA NA KOSZTY WŁASNE"/>
    <s v="zapewnienie wsparcia technicznego dla środowiska do zarządzania kodem źródłowym dla 1000_x000a_ użytkowników na okres 12 miesięcy- ZMIANA NA KOSZTY WŁASNE"/>
    <n v="178"/>
    <m/>
    <m/>
    <m/>
    <m/>
    <m/>
    <m/>
    <m/>
    <m/>
  </r>
  <r>
    <x v="0"/>
    <x v="12"/>
    <s v="inny - środki krajowe"/>
    <s v="Umowa na realizację przez COI niektórych zadań Ministra Cyfryzacji - odsprzedaż"/>
    <s v="nd"/>
    <s v="nd"/>
    <m/>
    <n v="4000"/>
    <n v="0"/>
    <s v="16.1.2.1"/>
    <s v="budżet państwa (z wyjątkiem GDDKiA)"/>
    <s v="Zapewnienie usługi wsparcia technicznego_x000a_ dla posiadanego przez Zamawiającego oprogramowania Redhat Enterprise Linux for Virtual Datacenters Standard na 12 miesięcy"/>
    <s v="Zapewnienie usługi wsparcia technicznego_x000a_ dla posiadanego przez Zamawiającego oprogramowania Redhat Enterprise Linux for Virtual Datacenters Standard na 12 miesięcy"/>
    <n v="171"/>
    <m/>
    <m/>
    <m/>
    <m/>
    <m/>
    <m/>
    <m/>
    <m/>
  </r>
  <r>
    <x v="0"/>
    <x v="12"/>
    <s v="inny - środki krajowe"/>
    <s v="Umowa na realizację przez COI niektórych zadań Ministra Cyfryzacji - odsprzedaż"/>
    <s v="nd"/>
    <s v="nd"/>
    <m/>
    <n v="4000"/>
    <n v="0"/>
    <s v="16.1.2.1"/>
    <s v="budżet państwa (z wyjątkiem GDDKiA)"/>
    <s v="Zapewnienie świadczenia usługi wsparcia technicznego na oprogramowanie i sprzęt IBM_x000a_ ( połączono z postepowaniem szyna danych )_x000a_Wymiana_zakup sprzętu, konwersja licencji oraz  zapewnienie świadczenia_x000a_ usługi wsparcia technicznego na oprogramowanie i sprzętu IBM"/>
    <s v="Zapewnienie świadczenia usługi wsparcia technicznego na oprogramowanie i sprzęt IBM_x000a_ ( połączono z postepowaniem szyna danych )_x000a_Wymiana_zakup sprzętu, konwersja licencji oraz  zapewnienie świadczenia_x000a_ usługi wsparcia technicznego na oprogramowanie i sprzętu IBM"/>
    <n v="3900"/>
    <m/>
    <m/>
    <m/>
    <m/>
    <m/>
    <m/>
    <m/>
    <m/>
  </r>
  <r>
    <x v="0"/>
    <x v="12"/>
    <s v="inny - środki krajowe"/>
    <s v="Umowa na realizację przez COI niektórych zadań Ministra Cyfryzacji - odsprzedaż"/>
    <s v="nd"/>
    <s v="nd"/>
    <m/>
    <n v="4000"/>
    <n v="0"/>
    <s v="16.1.2.1"/>
    <s v="budżet państwa (z wyjątkiem GDDKiA)"/>
    <s v="Opłata za utrzymanie adresacji IP zgodnie z umową nr COI/U/3202/36/2013 - _x000a_zarządzanie adresacją udostępnioną przez KPRM i COI - Opłata roczna- odnowienie"/>
    <s v="Opłata za utrzymanie adresacji IP zgodnie z umową nr COI/U/3202/36/2013 - _x000a_zarządzanie adresacją udostępnioną przez KPRM i COI - Opłata roczna- odnowienie"/>
    <n v="11"/>
    <m/>
    <m/>
    <m/>
    <m/>
    <m/>
    <m/>
    <m/>
    <m/>
  </r>
  <r>
    <x v="0"/>
    <x v="12"/>
    <s v="inny - środki krajowe"/>
    <s v="Umowa na realizację przez COI niektórych zadań Ministra Cyfryzacji - odsprzedaż"/>
    <s v="nd"/>
    <s v="nd"/>
    <m/>
    <n v="4000"/>
    <n v="0"/>
    <s v="16.5.1.2"/>
    <s v="budżet państwa (z wyjątkiem GDDKiA)"/>
    <s v="zapewnienie usługi wsparcia technicznego dla czterech ruterów wraz z wyposażeniem  na okres 36 miesięcy "/>
    <s v="zapewnienie usługi wsparcia technicznego dla czterech ruterów wraz z wyposażeniem  na okres 36 miesięcy "/>
    <n v="2384"/>
    <m/>
    <m/>
    <m/>
    <m/>
    <m/>
    <m/>
    <m/>
    <m/>
  </r>
  <r>
    <x v="0"/>
    <x v="12"/>
    <s v="inny - środki krajowe"/>
    <s v="Umowa na realizację przez COI niektórych zadań Ministra Cyfryzacji - odsprzedaż"/>
    <s v="nd"/>
    <s v="nd"/>
    <m/>
    <n v="4000"/>
    <n v="0"/>
    <s v="16.1.2.1"/>
    <s v="budżet państwa (z wyjątkiem GDDKiA)"/>
    <s v="Dzierżawy włókien światłowodowych na okres 36 miesięcy- Część I"/>
    <s v="Dzierżawy włókien światłowodowych na okres 36 miesięcy- Część I"/>
    <n v="236"/>
    <m/>
    <m/>
    <m/>
    <m/>
    <m/>
    <m/>
    <m/>
    <m/>
  </r>
  <r>
    <x v="0"/>
    <x v="12"/>
    <s v="inny - środki krajowe"/>
    <s v="Umowa na realizację przez COI niektórych zadań Ministra Cyfryzacji - odsprzedaż"/>
    <s v="nd"/>
    <s v="nd"/>
    <m/>
    <n v="4000"/>
    <n v="0"/>
    <s v="16.1.2.1"/>
    <s v="budżet państwa (z wyjątkiem GDDKiA)"/>
    <s v="świadczenie usług telekomunikacyjnych transmisji danych w sieci MPLS VPN"/>
    <s v="świadczenie usług telekomunikacyjnych transmisji danych w sieci MPLS VPN"/>
    <n v="196"/>
    <m/>
    <m/>
    <m/>
    <m/>
    <m/>
    <m/>
    <m/>
    <m/>
  </r>
  <r>
    <x v="0"/>
    <x v="12"/>
    <s v="inny - środki krajowe"/>
    <s v="Umowa na realizację przez COI niektórych zadań Ministra Cyfryzacji - odsprzedaż"/>
    <s v="nd"/>
    <s v="nd"/>
    <m/>
    <n v="4000"/>
    <n v="0"/>
    <s v="16.5.1.2"/>
    <s v="budżet państwa (z wyjątkiem GDDKiA)"/>
    <s v="zapewnienie usługi wsparcia technicznego dla systemu DNS na okres 36 miesięcy "/>
    <s v="zapewnienie usługi wsparcia technicznego dla systemu DNS na okres 36 miesięcy "/>
    <n v="1269"/>
    <m/>
    <m/>
    <m/>
    <m/>
    <m/>
    <m/>
    <m/>
    <m/>
  </r>
  <r>
    <x v="0"/>
    <x v="12"/>
    <s v="inny - środki krajowe"/>
    <s v="Umowa na realizację przez COI niektórych zadań Ministra Cyfryzacji - odsprzedaż"/>
    <s v="nd"/>
    <s v="nd"/>
    <m/>
    <n v="4000"/>
    <n v="0"/>
    <s v="16.1.2.1"/>
    <s v="budżet państwa (z wyjątkiem GDDKiA)"/>
    <s v="dla części I : Świadczenie usługi dostępu do Internetu w Lokalizacji I (ul. Pawińskiego 17/21,Warszawa)"/>
    <s v="dla części I : Świadczenie usługi dostępu do Internetu w Lokalizacji I (ul. Pawińskiego 17/21,Warszawa)"/>
    <n v="89"/>
    <m/>
    <m/>
    <m/>
    <m/>
    <m/>
    <m/>
    <m/>
    <m/>
  </r>
  <r>
    <x v="0"/>
    <x v="12"/>
    <s v="inny - środki krajowe"/>
    <s v="Umowa na realizację przez COI niektórych zadań Ministra Cyfryzacji - odsprzedaż"/>
    <s v="nd"/>
    <s v="nd"/>
    <m/>
    <n v="4000"/>
    <n v="0"/>
    <s v="16.1.2.1"/>
    <s v="budżet państwa (z wyjątkiem GDDKiA)"/>
    <s v="dla część II : Świadczenie usługi dostępu do Internetu w Lokalizacji II (ul. 11 Listopada 23)Warszawa)"/>
    <s v="dla część II : Świadczenie usługi dostępu do Internetu w Lokalizacji II (ul. 11 Listopada 23)Warszawa)"/>
    <n v="100"/>
    <m/>
    <m/>
    <m/>
    <m/>
    <m/>
    <m/>
    <m/>
    <m/>
  </r>
  <r>
    <x v="0"/>
    <x v="12"/>
    <s v="inny - środki krajowe"/>
    <s v="Umowa na realizację przez COI niektórych zadań Ministra Cyfryzacji - odsprzedaż"/>
    <s v="nd"/>
    <s v="nd"/>
    <m/>
    <n v="4000"/>
    <n v="0"/>
    <s v="16.1.2.1"/>
    <s v="budżet państwa (z wyjątkiem GDDKiA)"/>
    <s v="odnowienie usług wsparcia technicznego dla  2 urządzeń FortiGate 800D na okres 24 miesięcy"/>
    <s v="odnowienie usług wsparcia technicznego dla  2 urządzeń FortiGate 800D na okres 24 miesięcy"/>
    <n v="510"/>
    <m/>
    <m/>
    <m/>
    <m/>
    <m/>
    <m/>
    <m/>
    <m/>
  </r>
  <r>
    <x v="0"/>
    <x v="12"/>
    <s v="inny - środki krajowe"/>
    <s v="Umowa na realizację przez COI niektórych zadań Ministra Cyfryzacji - odsprzedaż"/>
    <s v="nd"/>
    <s v="nd"/>
    <m/>
    <n v="4000"/>
    <n v="0"/>
    <s v="16.5.1.2"/>
    <s v="budżet państwa (z wyjątkiem GDDKiA)"/>
    <s v="zapewnienie wsparcia technicznego dla oprogramowania (3 części) -   część nr 1 zamówienia &quot;Dostawa serwerów wraz z oprogramowaniem, napędów taśmowych i taśm magnetycznych"/>
    <s v="zapewnienie wsparcia technicznego dla oprogramowania (3 części) -   część nr 1 zamówienia &quot;Dostawa serwerów wraz z oprogramowaniem, napędów taśmowych i taśm magnetycznych"/>
    <n v="85"/>
    <m/>
    <m/>
    <m/>
    <m/>
    <m/>
    <m/>
    <m/>
    <m/>
  </r>
  <r>
    <x v="0"/>
    <x v="12"/>
    <s v="inny - środki krajowe"/>
    <s v="Umowa na realizację przez COI niektórych zadań Ministra Cyfryzacji - odsprzedaż"/>
    <s v="nd"/>
    <s v="nd"/>
    <m/>
    <n v="4000"/>
    <n v="0"/>
    <s v="16.1.2.1"/>
    <s v="budżet państwa (z wyjątkiem GDDKiA)"/>
    <s v="zapewnienie usługi wsparcia technicznego dla szafy rack i przełączników sieciowych"/>
    <s v="zapewnienie usługi wsparcia technicznego dla szafy rack i przełączników sieciowych"/>
    <n v="1491"/>
    <m/>
    <m/>
    <m/>
    <m/>
    <m/>
    <m/>
    <m/>
    <m/>
  </r>
  <r>
    <x v="0"/>
    <x v="12"/>
    <s v="inny - środki krajowe"/>
    <s v="Umowa na realizację przez COI niektórych zadań Ministra Cyfryzacji - odsprzedaż"/>
    <s v="nd"/>
    <s v="nd"/>
    <m/>
    <n v="4000"/>
    <n v="0"/>
    <s v="16.5.1.2"/>
    <s v="budżet państwa (z wyjątkiem GDDKiA)"/>
    <s v="zapewnienie wsparcia technicznego dla  platformy sprzętowej i Oprogramowania do monitorowania"/>
    <s v="zapewnienie wsparcia technicznego dla  platformy sprzętowej i Oprogramowania do monitorowania"/>
    <n v="1925"/>
    <m/>
    <m/>
    <m/>
    <m/>
    <m/>
    <m/>
    <m/>
    <m/>
  </r>
  <r>
    <x v="0"/>
    <x v="12"/>
    <s v="inny - środki krajowe"/>
    <s v="Umowa na realizację przez COI niektórych zadań Ministra Cyfryzacji - odsprzedaż"/>
    <s v="nd"/>
    <s v="nd"/>
    <m/>
    <n v="4000"/>
    <n v="0"/>
    <s v="16.5.1.2"/>
    <s v="budżet państwa (z wyjątkiem GDDKiA)"/>
    <s v="zapewnienie usługi wsparcia technicznego dla systemu IBM Qradar "/>
    <s v="zapewnienie usługi wsparcia technicznego dla systemu IBM Qradar "/>
    <n v="3048"/>
    <m/>
    <m/>
    <m/>
    <m/>
    <m/>
    <m/>
    <m/>
    <m/>
  </r>
  <r>
    <x v="0"/>
    <x v="12"/>
    <s v="inny - środki krajowe"/>
    <s v="Umowa na realizację przez COI niektórych zadań Ministra Cyfryzacji - odsprzedaż"/>
    <s v="nd"/>
    <s v="nd"/>
    <m/>
    <n v="4000"/>
    <n v="0"/>
    <s v="16.5.1.2"/>
    <s v="budżet państwa (z wyjątkiem GDDKiA)"/>
    <s v="zapewnienie usługi wsparcia technicznego dla Platformy w zakresie systemów klasy ITSM i SAM"/>
    <s v="zapewnienie usługi wsparcia technicznego dla Platformy w zakresie systemów klasy ITSM i SAM"/>
    <n v="4286"/>
    <m/>
    <m/>
    <m/>
    <m/>
    <m/>
    <m/>
    <m/>
    <m/>
  </r>
  <r>
    <x v="0"/>
    <x v="12"/>
    <s v="inny - środki krajowe"/>
    <s v="Umowa na realizację przez COI niektórych zadań Ministra Cyfryzacji - odsprzedaż"/>
    <s v="nd"/>
    <s v="nd"/>
    <m/>
    <n v="4000"/>
    <n v="0"/>
    <s v="16.1.2.1"/>
    <s v="budżet państwa (z wyjątkiem GDDKiA)"/>
    <s v="zapewnienie wsparcia technicznego dla urządzeń wraz z oprogramowaniem ( 4 części)_x000a_część IV – Dostawa oprogramowania Oracle lub równoważnego _x000a_wraz ze wsparciem technicznym"/>
    <s v="zapewnienie wsparcia technicznego dla urządzeń wraz z oprogramowaniem ( 4 części)_x000a_część IV – Dostawa oprogramowania Oracle lub równoważnego _x000a_wraz ze wsparciem technicznym"/>
    <n v="2208"/>
    <m/>
    <m/>
    <m/>
    <m/>
    <m/>
    <m/>
    <m/>
    <m/>
  </r>
  <r>
    <x v="0"/>
    <x v="12"/>
    <s v="inny - środki krajowe"/>
    <s v="Umowa na realizację przez COI niektórych zadań Ministra Cyfryzacji - odsprzedaż"/>
    <s v="nd"/>
    <s v="nd"/>
    <m/>
    <n v="4000"/>
    <n v="0"/>
    <s v="16.1.2.1"/>
    <s v="budżet państwa (z wyjątkiem GDDKiA)"/>
    <s v="zapewnienie wsparcia technicznego dla trzech modułów kryptograficznych HSM_x000a_ (Hardware Security Module) na okres 24 miesięcy"/>
    <s v="zapewnienie wsparcia technicznego dla trzech modułów kryptograficznych HSM_x000a_ (Hardware Security Module) na okres 24 miesięcy"/>
    <n v="447"/>
    <m/>
    <m/>
    <m/>
    <m/>
    <m/>
    <m/>
    <m/>
    <m/>
  </r>
  <r>
    <x v="0"/>
    <x v="12"/>
    <s v="inny - środki krajowe"/>
    <s v="Umowa na realizację przez COI niektórych zadań Ministra Cyfryzacji - odsprzedaż"/>
    <s v="nd"/>
    <s v="nd"/>
    <m/>
    <n v="4000"/>
    <n v="0"/>
    <s v="16.1.2.1"/>
    <s v="budżet państwa (z wyjątkiem GDDKiA)"/>
    <s v="odnowienie świadczenie usługi APN  na 12 m-cy"/>
    <s v="odnowienie świadczenie usługi APN  na 12 m-cy"/>
    <n v="147"/>
    <m/>
    <m/>
    <m/>
    <m/>
    <m/>
    <m/>
    <m/>
    <m/>
  </r>
  <r>
    <x v="0"/>
    <x v="12"/>
    <s v="inny - środki krajowe"/>
    <s v="Umowa na realizację przez COI niektórych zadań Ministra Cyfryzacji - odsprzedaż"/>
    <s v="nd"/>
    <s v="nd"/>
    <m/>
    <n v="4000"/>
    <n v="0"/>
    <s v="16.1.2.1"/>
    <s v="budżet państwa (z wyjątkiem GDDKiA)"/>
    <s v="zapewnienie wsparcia technicznego dla oprogramowania DynaTrace i licencji DynaTrace lub równoważnych"/>
    <s v="zapewnienie wsparcia technicznego dla oprogramowania DynaTrace i licencji DynaTrace lub równoważnych"/>
    <n v="11704"/>
    <m/>
    <m/>
    <m/>
    <m/>
    <m/>
    <m/>
    <m/>
    <m/>
  </r>
  <r>
    <x v="0"/>
    <x v="12"/>
    <s v="inny - środki krajowe"/>
    <s v="Umowa na realizację przez COI niektórych zadań Ministra Cyfryzacji - odsprzedaż"/>
    <s v="nd"/>
    <s v="nd"/>
    <m/>
    <n v="4000"/>
    <n v="0"/>
    <s v="16.1.2.1"/>
    <s v="budżet państwa (z wyjątkiem GDDKiA)"/>
    <s v="zapewnienie usług wsparcia technicznego dla urządzeń_x000a_sieciowych Load Balancer F5 Networks BIG-IP 7250 wraz z oprogramowaniem"/>
    <s v="zapewnienie usług wsparcia technicznego dla urządzeń_x000a_sieciowych Load Balancer F5 Networks BIG-IP 7250 wraz z oprogramowaniem"/>
    <n v="570"/>
    <m/>
    <m/>
    <m/>
    <m/>
    <m/>
    <m/>
    <m/>
    <m/>
  </r>
  <r>
    <x v="0"/>
    <x v="12"/>
    <s v="inny - środki krajowe"/>
    <s v="Umowa na realizację przez COI niektórych zadań Ministra Cyfryzacji - odsprzedaż"/>
    <s v="nd"/>
    <s v="nd"/>
    <m/>
    <n v="4000"/>
    <n v="0"/>
    <s v="16.5.1.2"/>
    <s v="budżet państwa (z wyjątkiem GDDKiA)"/>
    <s v="zapewnienie wsparcia technicznego na  oprogramowanie wraz z licencjami dla Wirtualizatora A na okres 36 m-cy"/>
    <s v="zapewnienie wsparcia technicznego na  oprogramowanie wraz z licencjami dla Wirtualizatora A na okres 36 m-cy"/>
    <n v="1364"/>
    <m/>
    <m/>
    <m/>
    <m/>
    <m/>
    <m/>
    <m/>
    <m/>
  </r>
  <r>
    <x v="0"/>
    <x v="12"/>
    <s v="inny - środki krajowe"/>
    <s v="Umowa na realizację przez COI niektórych zadań Ministra Cyfryzacji - odsprzedaż"/>
    <s v="nd"/>
    <s v="nd"/>
    <m/>
    <n v="4000"/>
    <n v="0"/>
    <s v="16.1.2.1"/>
    <s v="budżet państwa (z wyjątkiem GDDKiA)"/>
    <s v="zapewnienie wsparcia eksperckiego dla oprogramowania  DynaTrace"/>
    <s v="zapewnienie wsparcia eksperckiego dla oprogramowania  DynaTrace"/>
    <n v="506"/>
    <m/>
    <m/>
    <m/>
    <m/>
    <m/>
    <m/>
    <m/>
    <m/>
  </r>
  <r>
    <x v="0"/>
    <x v="12"/>
    <s v="inny - środki krajowe"/>
    <s v="Umowa na realizację przez COI niektórych zadań Ministra Cyfryzacji - odsprzedaż"/>
    <s v="nd"/>
    <s v="nd"/>
    <m/>
    <n v="4000"/>
    <n v="0"/>
    <s v="16.5.1.2"/>
    <s v="budżet państwa (z wyjątkiem GDDKiA)"/>
    <s v="zapewnienie wsparcia technicznego dla systemu o monitorowania i analizowania przepływów_x000a_ sieciowych na okres 36 miesięcy "/>
    <s v="zapewnienie wsparcia technicznego dla systemu o monitorowania i analizowania przepływów_x000a_ sieciowych na okres 36 miesięcy "/>
    <n v="1430"/>
    <m/>
    <m/>
    <m/>
    <m/>
    <m/>
    <m/>
    <m/>
    <m/>
  </r>
  <r>
    <x v="0"/>
    <x v="12"/>
    <s v="inny - środki krajowe"/>
    <s v="Umowa na realizację przez COI niektórych zadań Ministra Cyfryzacji - odsprzedaż"/>
    <s v="nd"/>
    <s v="nd"/>
    <m/>
    <n v="4000"/>
    <n v="0"/>
    <s v="16.1.2.1"/>
    <s v="budżet państwa (z wyjątkiem GDDKiA)"/>
    <s v="zapewnienie wsparcia technicznego dla czterech routerów wraz z wyposażeniem na okres 36 miesięcy"/>
    <s v="zapewnienie wsparcia technicznego dla czterech routerów wraz z wyposażeniem na okres 36 miesięcy"/>
    <n v="611"/>
    <m/>
    <m/>
    <m/>
    <m/>
    <m/>
    <m/>
    <m/>
    <m/>
  </r>
  <r>
    <x v="0"/>
    <x v="12"/>
    <s v="inny - środki krajowe"/>
    <s v="Umowa na realizację przez COI niektórych zadań Ministra Cyfryzacji - odsprzedaż"/>
    <s v="nd"/>
    <s v="nd"/>
    <m/>
    <n v="4000"/>
    <n v="0"/>
    <s v="16.5.1.2"/>
    <s v="budżet państwa (z wyjątkiem GDDKiA)"/>
    <s v="zapewnienie wsparcia technicznego na  8 wirtualnych appliance (klasy NGFW), 2 konsoli _x000a_zarządzających na okres 36 miesięcy"/>
    <s v="zapewnienie wsparcia technicznego na  8 wirtualnych appliance (klasy NGFW), 2 konsoli _x000a_zarządzających na okres 36 miesięcy"/>
    <n v="1445"/>
    <m/>
    <m/>
    <m/>
    <m/>
    <m/>
    <m/>
    <m/>
    <m/>
  </r>
  <r>
    <x v="0"/>
    <x v="12"/>
    <s v="inny - środki krajowe"/>
    <s v="Umowa na realizację przez COI niektórych zadań Ministra Cyfryzacji - odsprzedaż"/>
    <s v="nd"/>
    <s v="nd"/>
    <m/>
    <n v="4000"/>
    <n v="0"/>
    <s v="16.1.2.1"/>
    <s v="budżet państwa (z wyjątkiem GDDKiA)"/>
    <s v="zapewnienie wsparcia technicznego dla subskrypcji Oprogramowania Xray (Data Center)"/>
    <s v="zapewnienie wsparcia technicznego dla subskrypcji Oprogramowania Xray (Data Center)"/>
    <n v="183"/>
    <m/>
    <m/>
    <m/>
    <m/>
    <m/>
    <m/>
    <m/>
    <m/>
  </r>
  <r>
    <x v="0"/>
    <x v="12"/>
    <s v="inny - środki krajowe"/>
    <s v="Umowa na realizację przez COI niektórych zadań Ministra Cyfryzacji - odsprzedaż"/>
    <s v="nd"/>
    <s v="nd"/>
    <m/>
    <n v="4000"/>
    <n v="0"/>
    <s v="16.5.1.2"/>
    <s v="budżet państwa (z wyjątkiem GDDKiA)"/>
    <s v="Świadczenie usługi dostępu do Internetu i usługi antyDDoS dla_x000a_ jednej lokalizacji przez okres 36 miesięcy."/>
    <s v="Świadczenie usługi dostępu do Internetu i usługi antyDDoS dla_x000a_ jednej lokalizacji przez okres 36 miesięcy."/>
    <n v="320"/>
    <m/>
    <m/>
    <m/>
    <m/>
    <m/>
    <m/>
    <m/>
    <m/>
  </r>
  <r>
    <x v="0"/>
    <x v="12"/>
    <s v="inny - środki krajowe"/>
    <s v="Umowa na realizację przez COI niektórych zadań Ministra Cyfryzacji - odsprzedaż"/>
    <s v="nd"/>
    <s v="nd"/>
    <m/>
    <n v="4000"/>
    <n v="0"/>
    <s v="16.5.1.2"/>
    <s v="budżet państwa (z wyjątkiem GDDKiA)"/>
    <s v="zapewnienie wsparcia technicznego na oprogramowanie i licencje dla Wirtualizatora C- część III"/>
    <s v="zapewnienie wsparcia technicznego na oprogramowanie i licencje dla Wirtualizatora C- część III"/>
    <n v="3955"/>
    <m/>
    <m/>
    <m/>
    <m/>
    <m/>
    <m/>
    <m/>
    <m/>
  </r>
  <r>
    <x v="0"/>
    <x v="12"/>
    <s v="inny - środki krajowe"/>
    <s v="Umowa na realizację przez COI niektórych zadań Ministra Cyfryzacji - odsprzedaż"/>
    <s v="nd"/>
    <s v="nd"/>
    <m/>
    <n v="4000"/>
    <n v="0"/>
    <s v="16.5.1.2"/>
    <s v="budżet państwa (z wyjątkiem GDDKiA)"/>
    <s v="zapewnienie _x000a_36-miesięcznego wsparcia technicznego świadczonego przez producenta _x000a_Oprogramowania wraz z licencjami dla Wirtualizatora "/>
    <s v="zapewnienie _x000a_36-miesięcznego wsparcia technicznego świadczonego przez producenta _x000a_Oprogramowania wraz z licencjami dla Wirtualizatora "/>
    <n v="944"/>
    <m/>
    <m/>
    <m/>
    <m/>
    <m/>
    <m/>
    <m/>
    <m/>
  </r>
  <r>
    <x v="0"/>
    <x v="12"/>
    <s v="inny - środki krajowe"/>
    <s v="Umowa na realizację przez COI niektórych zadań Ministra Cyfryzacji - odsprzedaż"/>
    <s v="nd"/>
    <s v="nd"/>
    <m/>
    <n v="4000"/>
    <n v="0"/>
    <s v="16.5.1.2"/>
    <s v="budżet państwa (z wyjątkiem GDDKiA)"/>
    <s v="zapewnienie usługi wsparcia technicznego dla urządzeń  firewall (ang. Next Generation Firewall) oraz _x000a_ licencji "/>
    <s v="zapewnienie usługi wsparcia technicznego dla urządzeń  firewall (ang. Next Generation Firewall) oraz _x000a_ licencji "/>
    <n v="1556"/>
    <m/>
    <m/>
    <m/>
    <m/>
    <m/>
    <m/>
    <m/>
    <m/>
  </r>
  <r>
    <x v="0"/>
    <x v="12"/>
    <s v="inny - środki krajowe"/>
    <s v="Umowa na realizację przez COI niektórych zadań Ministra Cyfryzacji - odsprzedaż"/>
    <s v="nd"/>
    <s v="nd"/>
    <m/>
    <n v="4000"/>
    <n v="0"/>
    <s v="16.1.2.1"/>
    <s v="budżet państwa (z wyjątkiem GDDKiA)"/>
    <s v="odnowienie usługi wsparcia technicznego dla dziesięciu sprzętowych modułów_x000a_ kryptograficznych HSM na okres 36 miesięcy"/>
    <s v="odnowienie usługi wsparcia technicznego dla dziesięciu sprzętowych modułów_x000a_ kryptograficznych HSM na okres 36 miesięcy"/>
    <n v="1647"/>
    <m/>
    <m/>
    <m/>
    <m/>
    <m/>
    <m/>
    <m/>
    <m/>
  </r>
  <r>
    <x v="0"/>
    <x v="12"/>
    <s v="inny - środki krajowe"/>
    <s v="Umowa na realizację przez COI niektórych zadań Ministra Cyfryzacji - odsprzedaż"/>
    <s v="nd"/>
    <s v="nd"/>
    <m/>
    <n v="4000"/>
    <n v="0"/>
    <s v="16.1.2.1"/>
    <s v="budżet państwa (z wyjątkiem GDDKiA)"/>
    <s v="zapewnienie wsparcia technicznego dla platformy konteneryzacyjnej "/>
    <s v="zapewnienie wsparcia technicznego dla platformy konteneryzacyjnej "/>
    <n v="3335"/>
    <m/>
    <m/>
    <m/>
    <m/>
    <m/>
    <m/>
    <m/>
    <m/>
  </r>
  <r>
    <x v="0"/>
    <x v="12"/>
    <s v="inny - środki krajowe"/>
    <s v="Umowa na realizację przez COI niektórych zadań Ministra Cyfryzacji - odsprzedaż"/>
    <s v="nd"/>
    <s v="nd"/>
    <m/>
    <n v="4000"/>
    <n v="0"/>
    <s v="16.5.1.2"/>
    <s v="budżet państwa (z wyjątkiem GDDKiA)"/>
    <s v="zapewnienie usługi wsparcia dla  8 wirtualnych appliance (klasy Load Balancer z funkcjonalnością_x000a_ terminacji SSL/TLS i WAF) na okres 36 m-cy"/>
    <s v="zapewnienie usługi wsparcia dla  8 wirtualnych appliance (klasy Load Balancer z funkcjonalnością_x000a_ terminacji SSL/TLS i WAF) na okres 36 m-cy"/>
    <n v="2235"/>
    <m/>
    <m/>
    <m/>
    <m/>
    <m/>
    <m/>
    <m/>
    <m/>
  </r>
  <r>
    <x v="0"/>
    <x v="12"/>
    <s v="inny - środki krajowe"/>
    <s v="Umowa na realizację przez COI niektórych zadań Ministra Cyfryzacji - odsprzedaż"/>
    <s v="nd"/>
    <s v="nd"/>
    <m/>
    <n v="4000"/>
    <n v="0"/>
    <s v="16.1.2.1"/>
    <s v="budżet państwa (z wyjątkiem GDDKiA)"/>
    <s v="Świadczenie usług wsparcia w ramach systemów_x000a_ Security Resilient oraz QRadar SIEM firmy IBM (2 części) - cześć I: _x000a_'zapewnienie profesjonalnych usług wsparcia technicznego w ramach systemu Qradar SIEM_x000a_"/>
    <s v="Świadczenie usług wsparcia w ramach systemów_x000a_ Security Resilient oraz QRadar SIEM firmy IBM (2 części) - cześć I: _x000a_'zapewnienie profesjonalnych usług wsparcia technicznego w ramach systemu Qradar SIEM_x000a_"/>
    <n v="190"/>
    <m/>
    <m/>
    <m/>
    <m/>
    <m/>
    <m/>
    <m/>
    <m/>
  </r>
  <r>
    <x v="0"/>
    <x v="12"/>
    <s v="inny - środki krajowe"/>
    <s v="Umowa na realizację przez COI niektórych zadań Ministra Cyfryzacji - odsprzedaż"/>
    <s v="nd"/>
    <s v="nd"/>
    <m/>
    <n v="4000"/>
    <n v="0"/>
    <s v="16.1.2.1"/>
    <s v="budżet państwa (z wyjątkiem GDDKiA)"/>
    <s v="zapewnienie usługi wsparcia technicznego dla systemu do monitorowania i analizowania przepływów_x000a_ sieciowych na okres 36 m-cy"/>
    <s v="zapewnienie usługi wsparcia technicznego dla systemu do monitorowania i analizowania przepływów_x000a_ sieciowych na okres 36 m-cy"/>
    <n v="822"/>
    <m/>
    <m/>
    <m/>
    <m/>
    <m/>
    <m/>
    <m/>
    <m/>
  </r>
  <r>
    <x v="0"/>
    <x v="12"/>
    <s v="inny - środki krajowe"/>
    <s v="Umowa na realizację przez COI niektórych zadań Ministra Cyfryzacji - odsprzedaż"/>
    <s v="nd"/>
    <s v="nd"/>
    <m/>
    <n v="4000"/>
    <n v="0"/>
    <s v="16.1.2.1"/>
    <s v="budżet państwa (z wyjątkiem GDDKiA)"/>
    <s v="Dostawa sprzętu serwerowego i oprogramowania IBM lub równoważnego"/>
    <s v="Dostawa sprzętu serwerowego i oprogramowania IBM lub równoważnego"/>
    <n v="4269"/>
    <m/>
    <m/>
    <m/>
    <m/>
    <m/>
    <m/>
    <m/>
    <m/>
  </r>
  <r>
    <x v="0"/>
    <x v="12"/>
    <s v="inny - środki krajowe"/>
    <s v="Umowa na realizację przez COI niektórych zadań Ministra Cyfryzacji - odsprzedaż"/>
    <s v="nd"/>
    <s v="nd"/>
    <m/>
    <n v="4000"/>
    <n v="0"/>
    <s v="16.1.2.1"/>
    <s v="budżet państwa (z wyjątkiem GDDKiA)"/>
    <s v="zapewnienie usługi wsparcia technicznego dla urządzeń infrastruktury węzłów telekomunikacyjnych wraz z Oprogramowaniem - cz. I Usługi serwisu i wsparcia technicznego dla urządzeń infrastruktury węzłów telekomunikacyjnych marki CISCO wraz z Oprogramowaniem"/>
    <s v="zapewnienie usługi wsparcia technicznego dla urządzeń infrastruktury węzłów telekomunikacyjnych wraz z Oprogramowaniem - cz. I Usługi serwisu i wsparcia technicznego dla urządzeń infrastruktury węzłów telekomunikacyjnych marki CISCO wraz z Oprogramowaniem"/>
    <n v="78"/>
    <m/>
    <m/>
    <m/>
    <m/>
    <m/>
    <m/>
    <m/>
    <m/>
  </r>
  <r>
    <x v="0"/>
    <x v="12"/>
    <s v="inny - środki krajowe"/>
    <s v="Umowa na realizację przez COI niektórych zadań Ministra Cyfryzacji - odsprzedaż"/>
    <s v="nd"/>
    <s v="nd"/>
    <m/>
    <n v="4000"/>
    <n v="0"/>
    <s v="16.5.1.2"/>
    <s v="budżet państwa (z wyjątkiem GDDKiA)"/>
    <s v="zapewnienie wsparcia technicznego dla oprogramowania wraz z licencjami na rozbudowę _x000a_funkcjonalności serwerów IBM POWER"/>
    <s v="zapewnienie wsparcia technicznego dla oprogramowania wraz z licencjami na rozbudowę _x000a_funkcjonalności serwerów IBM POWER"/>
    <n v="907"/>
    <m/>
    <m/>
    <m/>
    <m/>
    <m/>
    <m/>
    <m/>
    <m/>
  </r>
  <r>
    <x v="0"/>
    <x v="12"/>
    <s v="inny - środki krajowe"/>
    <s v="Umowa na realizację przez COI niektórych zadań Ministra Cyfryzacji - odsprzedaż"/>
    <s v="nd"/>
    <s v="nd"/>
    <m/>
    <n v="4000"/>
    <n v="0"/>
    <s v="16.1.2.1"/>
    <s v="budżet państwa (z wyjątkiem GDDKiA)"/>
    <s v="zapewnienie usług wsparcia technicznego dla  oprogramowania_x000a_ Oracle w okresie: marzec 2023 - październik 2025"/>
    <s v="zapewnienie usług wsparcia technicznego dla  oprogramowania_x000a_ Oracle w okresie: marzec 2023 - październik 2025"/>
    <n v="1206"/>
    <m/>
    <m/>
    <m/>
    <m/>
    <m/>
    <m/>
    <m/>
    <m/>
  </r>
  <r>
    <x v="0"/>
    <x v="12"/>
    <s v="inny - środki krajowe"/>
    <s v="Umowa na realizację przez COI niektórych zadań Ministra Cyfryzacji - odsprzedaż"/>
    <s v="nd"/>
    <s v="nd"/>
    <m/>
    <n v="4000"/>
    <n v="0"/>
    <s v="16.1.2.1"/>
    <s v="budżet państwa (z wyjątkiem GDDKiA)"/>
    <s v="zapewnienie usług wsparcia technicznego dla oprogramowania wraz z licencjami na rozbudowę_x000a_ funkcjonalności serwerów IBM POWER"/>
    <s v="zapewnienie usług wsparcia technicznego dla oprogramowania wraz z licencjami na rozbudowę_x000a_ funkcjonalności serwerów IBM POWER"/>
    <n v="5096"/>
    <m/>
    <m/>
    <m/>
    <m/>
    <m/>
    <m/>
    <m/>
    <m/>
  </r>
  <r>
    <x v="0"/>
    <x v="12"/>
    <s v="inny - środki krajowe"/>
    <s v="Umowa na realizację przez COI niektórych zadań Ministra Cyfryzacji - odsprzedaż"/>
    <s v="nd"/>
    <s v="nd"/>
    <m/>
    <n v="4000"/>
    <n v="0"/>
    <s v="16.1.2.1"/>
    <s v="budżet państwa (z wyjątkiem GDDKiA)"/>
    <s v="zapewnienie wsparcia technicznego dla oprogramowania- część nr 2"/>
    <s v="zapewnienie wsparcia technicznego dla oprogramowania- część nr 2"/>
    <n v="4525"/>
    <m/>
    <m/>
    <m/>
    <m/>
    <m/>
    <m/>
    <m/>
    <m/>
  </r>
  <r>
    <x v="0"/>
    <x v="12"/>
    <s v="inny - środki krajowe"/>
    <s v="Umowa na realizację przez COI niektórych zadań Ministra Cyfryzacji - odsprzedaż"/>
    <s v="nd"/>
    <s v="nd"/>
    <m/>
    <n v="4000"/>
    <n v="0"/>
    <s v="16.1.2.1"/>
    <s v="budżet państwa (z wyjątkiem GDDKiA)"/>
    <s v="zapewnienie wsparcia technicznego dla serwerów- część 1"/>
    <s v="zapewnienie wsparcia technicznego dla serwerów- część 1"/>
    <n v="510"/>
    <m/>
    <m/>
    <m/>
    <m/>
    <m/>
    <m/>
    <m/>
    <m/>
  </r>
  <r>
    <x v="0"/>
    <x v="12"/>
    <s v="inny - środki krajowe"/>
    <s v="Umowa na realizację przez COI niektórych zadań Ministra Cyfryzacji - odsprzedaż"/>
    <s v="nd"/>
    <s v="nd"/>
    <m/>
    <n v="4000"/>
    <n v="0"/>
    <s v="16.1.2.1"/>
    <s v="budżet państwa (z wyjątkiem GDDKiA)"/>
    <s v="zapewnienie wsparcia technicznego dla oprogramowania do zdalnego wsparcia użytkowników"/>
    <s v="zapewnienie wsparcia technicznego dla oprogramowania do zdalnego wsparcia użytkowników"/>
    <n v="177"/>
    <m/>
    <m/>
    <m/>
    <m/>
    <m/>
    <m/>
    <m/>
    <m/>
  </r>
  <r>
    <x v="0"/>
    <x v="12"/>
    <s v="inny - środki krajowe"/>
    <s v="Umowa na realizację przez COI niektórych zadań Ministra Cyfryzacji - odsprzedaż"/>
    <s v="nd"/>
    <s v="nd"/>
    <m/>
    <n v="4000"/>
    <n v="0"/>
    <s v="16.1.2.1"/>
    <s v="budżet państwa (z wyjątkiem GDDKiA)"/>
    <s v="przedłużenie  wsparcia technincznego dla sprzętu serwerowego"/>
    <s v="przedłużenie  wsparcia technincznego dla sprzętu serwerowego"/>
    <n v="3075"/>
    <m/>
    <m/>
    <m/>
    <m/>
    <m/>
    <m/>
    <m/>
    <m/>
  </r>
  <r>
    <x v="0"/>
    <x v="12"/>
    <s v="inny - środki krajowe"/>
    <s v="Umowa na realizację przez COI niektórych zadań Ministra Cyfryzacji - odsprzedaż"/>
    <s v="nd"/>
    <s v="nd"/>
    <m/>
    <n v="4000"/>
    <n v="0"/>
    <s v="16.1.2.1"/>
    <s v="budżet państwa (z wyjątkiem GDDKiA)"/>
    <s v="Przedłużenie wsparcia technicznego dla urządzeń sieciowych"/>
    <s v="Przedłużenie wsparcia technicznego dla urządzeń sieciowych"/>
    <n v="2035"/>
    <m/>
    <m/>
    <m/>
    <m/>
    <m/>
    <m/>
    <m/>
    <m/>
  </r>
  <r>
    <x v="0"/>
    <x v="12"/>
    <s v="inny - środki krajowe"/>
    <s v="Umowa na realizację przez COI niektórych zadań Ministra Cyfryzacji - odsprzedaż"/>
    <s v="nd"/>
    <s v="nd"/>
    <m/>
    <n v="4000"/>
    <n v="0"/>
    <s v="16.1.2.1"/>
    <s v="budżet państwa (z wyjątkiem GDDKiA)"/>
    <s v="Przedłużenie wsparcia technicznego i gwarancję dla  serwerów "/>
    <s v="Przedłużenie wsparcia technicznego i gwarancję dla  serwerów "/>
    <n v="4551"/>
    <m/>
    <m/>
    <m/>
    <m/>
    <m/>
    <m/>
    <m/>
    <m/>
  </r>
  <r>
    <x v="0"/>
    <x v="12"/>
    <s v="inny - środki krajowe"/>
    <s v="Umowa na realizację przez COI niektórych zadań Ministra Cyfryzacji - odsprzedaż"/>
    <s v="nd"/>
    <s v="nd"/>
    <m/>
    <n v="4000"/>
    <n v="0"/>
    <s v="16.1.2.1"/>
    <s v="budżet państwa (z wyjątkiem GDDKiA)"/>
    <s v="Wymiana sprzętu i wsparcie  na potrzeby realizacji Umowy"/>
    <s v="Wymiana sprzętu i wsparcie  na potrzeby realizacji Umowy"/>
    <n v="1092"/>
    <m/>
    <m/>
    <m/>
    <m/>
    <m/>
    <m/>
    <m/>
    <m/>
  </r>
  <r>
    <x v="0"/>
    <x v="12"/>
    <s v="inny - środki krajowe"/>
    <s v="Umowa na realizację przez COI niektórych zadań Ministra Cyfryzacji - odsprzedaż"/>
    <s v="nd"/>
    <s v="nd"/>
    <m/>
    <n v="4000"/>
    <n v="0"/>
    <s v="16.1.2.1"/>
    <s v="budżet państwa (z wyjątkiem GDDKiA)"/>
    <s v="Wsparcie i rozbudowa oprogramowania narzędziowego dla_x000a_środowiska KN w celu zapewnienia pomocy technicznej, dostępu do poprawek oraz praw do_x000a_nowych wersji oprogramowania na okres 12 miesięcy"/>
    <s v="Wsparcie i rozbudowa oprogramowania narzędziowego dla_x000a_środowiska KN w celu zapewnienia pomocy technicznej, dostępu do poprawek oraz praw do_x000a_nowych wersji oprogramowania na okres 12 miesięcy"/>
    <n v="0"/>
    <m/>
    <m/>
    <m/>
    <m/>
    <m/>
    <m/>
    <m/>
    <m/>
  </r>
  <r>
    <x v="0"/>
    <x v="12"/>
    <s v="inny - środki krajowe"/>
    <s v="Umowa na realizację przez COI niektórych zadań Ministra Cyfryzacji - odsprzedaż"/>
    <s v="nd"/>
    <s v="nd"/>
    <m/>
    <n v="4000"/>
    <n v="0"/>
    <s v="16.1.2.1"/>
    <s v="budżet państwa (z wyjątkiem GDDKiA)"/>
    <s v="Zakupy sprzetu i usług "/>
    <s v="Zakupy sprzetu i usług "/>
    <n v="0"/>
    <m/>
    <m/>
    <m/>
    <m/>
    <m/>
    <m/>
    <m/>
    <m/>
  </r>
  <r>
    <x v="0"/>
    <x v="12"/>
    <s v="inny - środki krajowe"/>
    <s v="Umowa na realizację przez COI niektórych zadań Ministra Cyfryzacji - odsprzedaż"/>
    <s v="nd"/>
    <s v="nd"/>
    <m/>
    <n v="4000"/>
    <n v="0"/>
    <s v="16.1.2.1"/>
    <s v="budżet państwa (z wyjątkiem GDDKiA)"/>
    <s v="Testy bezpieczeństwa 18 mcy"/>
    <s v="Testy bezpieczeństwa 18 mcy"/>
    <n v="0"/>
    <m/>
    <m/>
    <m/>
    <m/>
    <m/>
    <m/>
    <m/>
    <m/>
  </r>
  <r>
    <x v="0"/>
    <x v="12"/>
    <s v="inny - środki krajowe"/>
    <s v="Umowa na realizację przez COI niektórych zadań Ministra Cyfryzacji - odsprzedaż"/>
    <s v="nd"/>
    <s v="nd"/>
    <m/>
    <n v="4000"/>
    <n v="0"/>
    <s v="16.1.2.1"/>
    <s v="budżet państwa (z wyjątkiem GDDKiA)"/>
    <s v="Świadczenie serwisu pogwarancyjnego i usług wsparcia technicznego_x000a_ dla urządzeń i oprogramowania na potrzeby KN (bezpieczna łączność) - serwis pogwarancyjny systemu ochrony informacji niejawnych z wykorzystaniem szyfratorów IP KRYPTON K2 na 12 m-cy"/>
    <s v="Świadczenie serwisu pogwarancyjnego i usług wsparcia technicznego_x000a_ dla urządzeń i oprogramowania na potrzeby KN (bezpieczna łączność) - serwis pogwarancyjny systemu ochrony informacji niejawnych z wykorzystaniem szyfratorów IP KRYPTON K2 na 12 m-cy"/>
    <n v="0"/>
    <m/>
    <m/>
    <m/>
    <m/>
    <m/>
    <m/>
    <m/>
    <m/>
  </r>
  <r>
    <x v="0"/>
    <x v="12"/>
    <s v="inny - środki krajowe"/>
    <s v="Umowa na realizację przez COI niektórych zadań Ministra Cyfryzacji - odsprzedaż"/>
    <s v="nd"/>
    <s v="nd"/>
    <m/>
    <n v="4000"/>
    <n v="0"/>
    <s v="16.1.2.1"/>
    <s v="budżet państwa (z wyjątkiem GDDKiA)"/>
    <s v="Przedłużenie wsparcia technicznego oprogramowania Red Hat Jboss wraz z dostawą subskrypcji/_x000a_zakup usługi wsparcia technicznego oprogramowania Euro Application Platform na 12 miesięcy"/>
    <s v="Przedłużenie wsparcia technicznego oprogramowania Red Hat Jboss wraz z dostawą subskrypcji/_x000a_zakup usługi wsparcia technicznego oprogramowania Euro Application Platform na 12 miesięcy"/>
    <n v="0"/>
    <m/>
    <m/>
    <m/>
    <m/>
    <m/>
    <m/>
    <m/>
    <m/>
  </r>
  <r>
    <x v="0"/>
    <x v="12"/>
    <s v="inny - środki krajowe"/>
    <s v="Umowa na realizację przez COI niektórych zadań Ministra Cyfryzacji - odsprzedaż"/>
    <s v="nd"/>
    <s v="nd"/>
    <m/>
    <n v="4000"/>
    <n v="0"/>
    <s v="16.1.2.1"/>
    <s v="budżet państwa (z wyjątkiem GDDKiA)"/>
    <s v="Proxy do ZIR (działania administracyjne)"/>
    <s v="Proxy do ZIR (działania administracyjne)"/>
    <n v="0"/>
    <m/>
    <m/>
    <m/>
    <m/>
    <m/>
    <m/>
    <m/>
    <m/>
  </r>
  <r>
    <x v="0"/>
    <x v="12"/>
    <s v="inny - środki krajowe"/>
    <s v="Umowa na realizację przez COI niektórych zadań Ministra Cyfryzacji - odsprzedaż"/>
    <s v="nd"/>
    <s v="nd"/>
    <m/>
    <n v="4000"/>
    <n v="0"/>
    <s v="16.1.2.1"/>
    <s v="budżet państwa (z wyjątkiem GDDKiA)"/>
    <s v="Certyfikaty i Pieczęcie elektroniczne zbiorczo ( zapadające 2025, 2026, 2027)"/>
    <s v="Certyfikaty i Pieczęcie elektroniczne zbiorczo ( zapadające 2025, 2026, 2027)"/>
    <n v="0"/>
    <m/>
    <m/>
    <m/>
    <m/>
    <m/>
    <m/>
    <m/>
    <m/>
  </r>
  <r>
    <x v="0"/>
    <x v="12"/>
    <s v="inny - środki krajowe"/>
    <s v="Umowa na realizację przez COI niektórych zadań Ministra Cyfryzacji - odsprzedaż"/>
    <s v="nd"/>
    <s v="nd"/>
    <m/>
    <n v="4000"/>
    <n v="0"/>
    <s v="16.1.2.1"/>
    <s v="budżet państwa (z wyjątkiem GDDKiA)"/>
    <s v="Wsparcie i rozbudowa oprogramowania narzędziowego (5 części)"/>
    <s v="Wsparcie i rozbudowa oprogramowania narzędziowego (5 części)"/>
    <n v="0"/>
    <m/>
    <m/>
    <m/>
    <m/>
    <m/>
    <m/>
    <m/>
    <m/>
  </r>
  <r>
    <x v="0"/>
    <x v="12"/>
    <s v="inny - środki krajowe"/>
    <s v="Umowa na realizację przez COI niektórych zadań Ministra Cyfryzacji - odsprzedaż"/>
    <s v="nd"/>
    <s v="nd"/>
    <m/>
    <n v="4000"/>
    <n v="0"/>
    <s v="16.1.2.1"/>
    <s v="budżet państwa (z wyjątkiem GDDKiA)"/>
    <s v="Rozbudowa Skanera Tenable o moduł WAS 5FQDN (rok) i odnowienie wsparcia "/>
    <s v="Rozbudowa Skanera Tenable o moduł WAS 5FQDN (rok) i odnowienie wsparcia "/>
    <n v="0"/>
    <m/>
    <m/>
    <m/>
    <m/>
    <m/>
    <m/>
    <m/>
    <m/>
  </r>
  <r>
    <x v="0"/>
    <x v="12"/>
    <s v="inny - środki krajowe"/>
    <s v="Umowa na realizację przez COI niektórych zadań Ministra Cyfryzacji - odsprzedaż"/>
    <s v="nd"/>
    <s v="nd"/>
    <m/>
    <n v="4000"/>
    <n v="0"/>
    <s v="16.5.1.2"/>
    <s v="budżet państwa (z wyjątkiem GDDKiA)"/>
    <s v="Zakup wsparcia technicznego (godzin eksperckich) na potrzeby_x000a_ systemów Rządowej Chmury Obliczeniowej."/>
    <s v="Zakup wsparcia technicznego (godzin eksperckich) na potrzeby_x000a_ systemów Rządowej Chmury Obliczeniowej."/>
    <n v="0"/>
    <m/>
    <m/>
    <m/>
    <m/>
    <m/>
    <m/>
    <m/>
    <m/>
  </r>
  <r>
    <x v="0"/>
    <x v="12"/>
    <s v="inny - środki krajowe"/>
    <s v="Umowa na realizację przez COI niektórych zadań Ministra Cyfryzacji - odsprzedaż"/>
    <s v="nd"/>
    <s v="nd"/>
    <m/>
    <n v="4000"/>
    <n v="0"/>
    <s v="16.1.2.1"/>
    <s v="budżet państwa (z wyjątkiem GDDKiA)"/>
    <s v="odnowienia certyfikatów Asecco ( zbiorczo) 2025"/>
    <s v="odnowienia certyfikatów Asecco ( zbiorczo) 2025"/>
    <n v="0"/>
    <m/>
    <m/>
    <m/>
    <m/>
    <m/>
    <m/>
    <m/>
    <m/>
  </r>
  <r>
    <x v="0"/>
    <x v="12"/>
    <s v="inny - środki krajowe"/>
    <s v="Umowa na realizację przez COI niektórych zadań Ministra Cyfryzacji - odsprzedaż"/>
    <s v="nd"/>
    <s v="nd"/>
    <m/>
    <n v="4000"/>
    <n v="0"/>
    <s v="16.1.2.1"/>
    <s v="budżet państwa (z wyjątkiem GDDKiA)"/>
    <s v="Analizator złośliwych plików typu_x000a_ Sandbox dla ekosystemu pocztowego"/>
    <s v="Analizator złośliwych plików typu_x000a_ Sandbox dla ekosystemu pocztowego"/>
    <n v="0"/>
    <m/>
    <m/>
    <m/>
    <m/>
    <m/>
    <m/>
    <m/>
    <m/>
  </r>
  <r>
    <x v="0"/>
    <x v="12"/>
    <s v="inny - środki krajowe"/>
    <s v="Umowa na realizację przez COI niektórych zadań Ministra Cyfryzacji - odsprzedaż"/>
    <s v="nd"/>
    <s v="nd"/>
    <m/>
    <n v="4000"/>
    <n v="0"/>
    <s v="16.1.2.1"/>
    <s v="budżet państwa (z wyjątkiem GDDKiA)"/>
    <s v="Świadczenie usług wysyłania krótkich wiadomości tekstowych (SMS) przez 24 miesiące (2 części)."/>
    <s v="Świadczenie usług wysyłania krótkich wiadomości tekstowych (SMS) przez 24 miesiące (2 części)."/>
    <n v="0"/>
    <m/>
    <m/>
    <m/>
    <m/>
    <m/>
    <m/>
    <m/>
    <m/>
  </r>
  <r>
    <x v="0"/>
    <x v="12"/>
    <s v="inny - środki krajowe"/>
    <s v="Umowa na realizację przez COI niektórych zadań Ministra Cyfryzacji - odsprzedaż"/>
    <s v="nd"/>
    <s v="nd"/>
    <m/>
    <n v="4000"/>
    <n v="0"/>
    <s v="16.1.2.1"/>
    <s v="budżet państwa (z wyjątkiem GDDKiA)"/>
    <s v="Świadczenie usług serwisu i wsparcia technicznego deduplikatorów EMC w okresie 24 m-cy ( ODNOWIENIE )"/>
    <s v="Świadczenie usług serwisu i wsparcia technicznego deduplikatorów EMC w okresie 24 m-cy ( ODNOWIENIE )"/>
    <n v="0"/>
    <m/>
    <m/>
    <m/>
    <m/>
    <m/>
    <m/>
    <m/>
    <m/>
  </r>
  <r>
    <x v="0"/>
    <x v="12"/>
    <s v="inny - środki krajowe"/>
    <s v="Umowa na realizację przez COI niektórych zadań Ministra Cyfryzacji - odsprzedaż"/>
    <s v="nd"/>
    <s v="nd"/>
    <m/>
    <n v="4000"/>
    <n v="0"/>
    <s v="16.1.2.1"/>
    <s v="budżet państwa (z wyjątkiem GDDKiA)"/>
    <s v="zapewnienie wsparcia technicznego dla środowiska do zarządzania kodem źródłowym dla 1000_x000a_ użytkowników na okres 12 miesięcy- ZMIANA NA KOSZTY WŁASNE"/>
    <s v="zapewnienie wsparcia technicznego dla środowiska do zarządzania kodem źródłowym dla 1000_x000a_ użytkowników na okres 12 miesięcy- ZMIANA NA KOSZTY WŁASNE"/>
    <n v="0"/>
    <m/>
    <m/>
    <m/>
    <m/>
    <m/>
    <m/>
    <m/>
    <m/>
  </r>
  <r>
    <x v="0"/>
    <x v="12"/>
    <s v="inny - środki krajowe"/>
    <s v="Umowa na realizację przez COI niektórych zadań Ministra Cyfryzacji - odsprzedaż"/>
    <s v="nd"/>
    <s v="nd"/>
    <m/>
    <n v="4000"/>
    <n v="0"/>
    <s v="16.1.2.1"/>
    <s v="budżet państwa (z wyjątkiem GDDKiA)"/>
    <s v="Zapewnienie usługi wsparcia technicznego_x000a_ dla posiadanego przez Zamawiającego oprogramowania Redhat Enterprise Linux for Virtual Datacenters Standard na 12 miesięcy"/>
    <s v="Zapewnienie usługi wsparcia technicznego_x000a_ dla posiadanego przez Zamawiającego oprogramowania Redhat Enterprise Linux for Virtual Datacenters Standard na 12 miesięcy"/>
    <n v="0"/>
    <m/>
    <m/>
    <m/>
    <m/>
    <m/>
    <m/>
    <m/>
    <m/>
  </r>
  <r>
    <x v="0"/>
    <x v="12"/>
    <s v="inny - środki krajowe"/>
    <s v="Umowa na realizację przez COI niektórych zadań Ministra Cyfryzacji - odsprzedaż"/>
    <s v="nd"/>
    <s v="nd"/>
    <m/>
    <n v="4000"/>
    <n v="0"/>
    <s v="16.1.2.1"/>
    <s v="budżet państwa (z wyjątkiem GDDKiA)"/>
    <s v="Opłata za utrzymanie adresacji IP zgodnie z umową nr COI/U/3202/36/2013 - _x000a_zarządzanie adresacją udostępnioną przez KPRM i COI - Opłata roczna- odnowienie"/>
    <s v="Opłata za utrzymanie adresacji IP zgodnie z umową nr COI/U/3202/36/2013 - _x000a_zarządzanie adresacją udostępnioną przez KPRM i COI - Opłata roczna- odnowienie"/>
    <n v="0"/>
    <m/>
    <m/>
    <m/>
    <m/>
    <m/>
    <m/>
    <m/>
    <m/>
  </r>
  <r>
    <x v="0"/>
    <x v="12"/>
    <s v="inny - środki krajowe"/>
    <s v="Umowa na realizację przez COI niektórych zadań Ministra Cyfryzacji - odsprzedaż"/>
    <s v="nd"/>
    <s v="nd"/>
    <m/>
    <n v="4000"/>
    <n v="0"/>
    <s v="16.1.2.1"/>
    <s v="budżet państwa (z wyjątkiem GDDKiA)"/>
    <s v="odnowienie świadczenie usługi APN  na 12 m-cy"/>
    <s v="odnowienie świadczenie usługi APN  na 12 m-cy"/>
    <n v="0"/>
    <m/>
    <m/>
    <m/>
    <m/>
    <m/>
    <m/>
    <m/>
    <m/>
  </r>
  <r>
    <x v="0"/>
    <x v="12"/>
    <s v="inny - środki krajowe"/>
    <s v="Umowa na realizację przez COI niektórych zadań Ministra Cyfryzacji - odsprzedaż"/>
    <s v="nd"/>
    <s v="nd"/>
    <m/>
    <n v="4000"/>
    <n v="0"/>
    <s v="16.1.2.1"/>
    <s v="budżet państwa (z wyjątkiem GDDKiA)"/>
    <s v="Zapewnienie świadczenia usług wsparcia technicznego_x000a_ na posiadane przez Zamawiającego oprogramowanie Oracle"/>
    <s v="Zapewnienie świadczenia usług wsparcia technicznego_x000a_ na posiadane przez Zamawiającego oprogramowanie Oracle"/>
    <n v="0"/>
    <m/>
    <m/>
    <m/>
    <m/>
    <m/>
    <m/>
    <m/>
    <m/>
  </r>
  <r>
    <x v="0"/>
    <x v="12"/>
    <s v="inny - środki krajowe"/>
    <s v="Umowa na realizację przez COI niektórych zadań Ministra Cyfryzacji - odsprzedaż"/>
    <s v="nd"/>
    <s v="nd"/>
    <m/>
    <n v="4000"/>
    <n v="0"/>
    <s v="16.1.2.1"/>
    <s v="budżet państwa (z wyjątkiem GDDKiA)"/>
    <s v="zapewnienie wsparcia technicznego dla urządzeń sieciowych IPS na okres 36 miesięcy"/>
    <s v="zapewnienie wsparcia technicznego dla urządzeń sieciowych IPS na okres 36 miesięcy"/>
    <n v="0"/>
    <m/>
    <m/>
    <m/>
    <m/>
    <m/>
    <m/>
    <m/>
    <m/>
  </r>
  <r>
    <x v="0"/>
    <x v="12"/>
    <s v="inny - środki krajowe"/>
    <s v="Umowa na realizację przez COI niektórych zadań Ministra Cyfryzacji - odsprzedaż"/>
    <s v="nd"/>
    <s v="nd"/>
    <m/>
    <n v="4000"/>
    <n v="0"/>
    <s v="16.1.2.1"/>
    <s v="budżet państwa (z wyjątkiem GDDKiA)"/>
    <s v="zapewnienie wsparcia technicznego dla  systemu IBM Qradar"/>
    <s v="zapewnienie wsparcia technicznego dla  systemu IBM Qradar"/>
    <n v="0"/>
    <m/>
    <m/>
    <m/>
    <m/>
    <m/>
    <m/>
    <m/>
    <m/>
  </r>
  <r>
    <x v="0"/>
    <x v="12"/>
    <s v="inny - środki krajowe"/>
    <s v="Umowa na realizację przez COI niektórych zadań Ministra Cyfryzacji - odsprzedaż"/>
    <s v="nd"/>
    <s v="nd"/>
    <m/>
    <n v="4000"/>
    <n v="0"/>
    <s v="16.5.1.2"/>
    <s v="budżet państwa (z wyjątkiem GDDKiA)"/>
    <s v="na dostawę pakietów subskrypcyjnych w zakresie usługi publicznej_x000a_ chmury obliczeniowej na okres 36 miesięcy"/>
    <s v="na dostawę pakietów subskrypcyjnych w zakresie usługi publicznej_x000a_ chmury obliczeniowej na okres 36 miesięcy"/>
    <n v="0"/>
    <m/>
    <m/>
    <m/>
    <m/>
    <m/>
    <m/>
    <m/>
    <m/>
  </r>
  <r>
    <x v="0"/>
    <x v="12"/>
    <s v="inny - środki krajowe"/>
    <s v="Umowa na realizację przez COI niektórych zadań Ministra Cyfryzacji - odsprzedaż"/>
    <s v="nd"/>
    <s v="nd"/>
    <m/>
    <n v="4000"/>
    <n v="0"/>
    <s v="16.1.2.1"/>
    <s v="budżet państwa (z wyjątkiem GDDKiA)"/>
    <s v="odnowienie  profesjonalnych usług wsparcia technicznego_x000a_ w ramach systemu IBM  Qradar SOAR  firmy IBM (dawniej IBM SOAR Resilient)"/>
    <s v="odnowienie  profesjonalnych usług wsparcia technicznego_x000a_ w ramach systemu IBM  Qradar SOAR  firmy IBM (dawniej IBM SOAR Resilient)"/>
    <n v="0"/>
    <m/>
    <m/>
    <m/>
    <m/>
    <m/>
    <m/>
    <m/>
    <m/>
  </r>
  <r>
    <x v="0"/>
    <x v="12"/>
    <s v="inny - środki krajowe"/>
    <s v="Umowa na realizację przez COI niektórych zadań Ministra Cyfryzacji - odsprzedaż"/>
    <s v="nd"/>
    <s v="nd"/>
    <m/>
    <n v="4000"/>
    <n v="0"/>
    <s v="16.1.2.1"/>
    <s v="budżet państwa (z wyjątkiem GDDKiA)"/>
    <s v="zapewnienie wsparcia technicznego dla  systemu IBM Security QRadar SOAR"/>
    <s v="zapewnienie wsparcia technicznego dla  systemu IBM Security QRadar SOAR"/>
    <n v="0"/>
    <m/>
    <m/>
    <m/>
    <m/>
    <m/>
    <m/>
    <m/>
    <m/>
  </r>
  <r>
    <x v="0"/>
    <x v="12"/>
    <s v="inny - środki krajowe"/>
    <s v="Umowa na realizację przez COI niektórych zadań Ministra Cyfryzacji - odsprzedaż"/>
    <s v="nd"/>
    <s v="nd"/>
    <m/>
    <n v="4000"/>
    <n v="0"/>
    <s v="16.1.2.1"/>
    <s v="budżet państwa (z wyjątkiem GDDKiA)"/>
    <s v="zapewnienie wsparcia technicznego na serwery i oprogramowanie na okres 36 miesięcy"/>
    <s v="zapewnienie wsparcia technicznego na serwery i oprogramowanie na okres 36 miesięcy"/>
    <n v="0"/>
    <m/>
    <m/>
    <m/>
    <m/>
    <m/>
    <m/>
    <m/>
    <m/>
  </r>
  <r>
    <x v="0"/>
    <x v="12"/>
    <s v="inny - środki krajowe"/>
    <s v="Umowa na realizację przez COI niektórych zadań Ministra Cyfryzacji - odsprzedaż"/>
    <s v="nd"/>
    <s v="nd"/>
    <m/>
    <n v="4000"/>
    <n v="0"/>
    <s v="16.1.2.1"/>
    <s v="budżet państwa (z wyjątkiem GDDKiA)"/>
    <s v="odnowienie 'świadczenia usług wsparcia technicznego macierzy dyskowych Fujitsu Eternus DX500 S4 _x000a_na okres 24 miesięcy"/>
    <s v="odnowienie 'świadczenia usług wsparcia technicznego macierzy dyskowych Fujitsu Eternus DX500 S4 _x000a_na okres 24 miesięcy"/>
    <n v="0"/>
    <m/>
    <m/>
    <m/>
    <m/>
    <m/>
    <m/>
    <m/>
    <m/>
  </r>
  <r>
    <x v="0"/>
    <x v="12"/>
    <s v="inny - środki krajowe"/>
    <s v="Umowa na realizację przez COI niektórych zadań Ministra Cyfryzacji - odsprzedaż"/>
    <s v="nd"/>
    <s v="nd"/>
    <m/>
    <n v="4000"/>
    <n v="0"/>
    <s v="16.1.2.1"/>
    <s v="budżet państwa (z wyjątkiem GDDKiA)"/>
    <s v="zapewnienie wsparcia technicznego dla oprogramowania do statycznej analizy kodu źródłowego (ang. SAST) na okres 36 miesięcy"/>
    <s v="zapewnienie wsparcia technicznego dla oprogramowania do statycznej analizy kodu źródłowego (ang. SAST) na okres 36 miesięcy"/>
    <n v="0"/>
    <m/>
    <m/>
    <m/>
    <m/>
    <m/>
    <m/>
    <m/>
    <m/>
  </r>
  <r>
    <x v="0"/>
    <x v="12"/>
    <s v="inny - środki krajowe"/>
    <s v="Umowa na realizację przez COI niektórych zadań Ministra Cyfryzacji - odsprzedaż"/>
    <s v="nd"/>
    <s v="nd"/>
    <m/>
    <n v="4000"/>
    <n v="0"/>
    <s v="16.1.2.1"/>
    <s v="budżet państwa (z wyjątkiem GDDKiA)"/>
    <s v="Przedłużenie wsparcia technicznego dla posiadanego przez Zamawiającego Oprogramowania UpTimeDC na okres 24 miesięcy"/>
    <s v="Przedłużenie wsparcia technicznego dla posiadanego przez Zamawiającego Oprogramowania UpTimeDC na okres 24 miesięcy"/>
    <n v="0"/>
    <m/>
    <m/>
    <m/>
    <m/>
    <m/>
    <m/>
    <m/>
    <m/>
  </r>
  <r>
    <x v="0"/>
    <x v="12"/>
    <s v="inny - środki krajowe"/>
    <s v="Umowa na realizację przez COI niektórych zadań Ministra Cyfryzacji - odsprzedaż"/>
    <s v="nd"/>
    <s v="nd"/>
    <m/>
    <n v="4000"/>
    <n v="0"/>
    <s v="16.1.2.1"/>
    <s v="budżet państwa (z wyjątkiem GDDKiA)"/>
    <s v="zapewnienie wsparcia technicznego dla urządzeń oraz oprogramowania_x000a_ platformy wirtualizacyjnej SimpliVity na okres 36 miesięcy"/>
    <s v="zapewnienie wsparcia technicznego dla urządzeń oraz oprogramowania_x000a_ platformy wirtualizacyjnej SimpliVity na okres 36 miesięcy"/>
    <n v="0"/>
    <m/>
    <m/>
    <m/>
    <m/>
    <m/>
    <m/>
    <m/>
    <m/>
  </r>
  <r>
    <x v="0"/>
    <x v="12"/>
    <s v="inny - środki krajowe"/>
    <s v="Umowa na realizację przez COI niektórych zadań Ministra Cyfryzacji - odsprzedaż"/>
    <s v="nd"/>
    <s v="nd"/>
    <m/>
    <n v="4000"/>
    <n v="0"/>
    <s v="16.1.2.1"/>
    <s v="budżet państwa (z wyjątkiem GDDKiA)"/>
    <s v="Dostawa oprogramowania Oracle lub równoważnego_x000a_ oraz oprogramowania IBM lub równoważnego"/>
    <s v="Dostawa oprogramowania Oracle lub równoważnego_x000a_ oraz oprogramowania IBM lub równoważnego"/>
    <n v="0"/>
    <m/>
    <m/>
    <m/>
    <m/>
    <m/>
    <m/>
    <m/>
    <m/>
  </r>
  <r>
    <x v="0"/>
    <x v="12"/>
    <s v="inny - środki krajowe"/>
    <s v="Umowa na realizację przez COI niektórych zadań Ministra Cyfryzacji - odsprzedaż"/>
    <s v="nd"/>
    <s v="nd"/>
    <m/>
    <n v="4000"/>
    <n v="0"/>
    <s v="16.1.2.1"/>
    <s v="budżet państwa (z wyjątkiem GDDKiA)"/>
    <s v="zapewnienie wsparcia technicznego dla serwerów i oprogramowania na okres 36 miesięcy "/>
    <s v="zapewnienie wsparcia technicznego dla serwerów i oprogramowania na okres 36 miesięcy "/>
    <n v="0"/>
    <m/>
    <m/>
    <m/>
    <m/>
    <m/>
    <m/>
    <m/>
    <m/>
  </r>
  <r>
    <x v="0"/>
    <x v="12"/>
    <s v="inny - środki krajowe"/>
    <s v="Umowa na realizację przez COI niektórych zadań Ministra Cyfryzacji - odsprzedaż"/>
    <s v="nd"/>
    <s v="nd"/>
    <m/>
    <n v="4000"/>
    <n v="0"/>
    <s v="16.1.2.1"/>
    <s v="budżet państwa (z wyjątkiem GDDKiA)"/>
    <s v="zapewnienie wsparcia technicznego dla licencji wieczystych VMware na okres 36 m-cy"/>
    <s v="zapewnienie wsparcia technicznego dla licencji wieczystych VMware na okres 36 m-cy"/>
    <n v="0"/>
    <m/>
    <m/>
    <m/>
    <m/>
    <m/>
    <m/>
    <m/>
    <m/>
  </r>
  <r>
    <x v="0"/>
    <x v="12"/>
    <s v="inny - środki krajowe"/>
    <s v="Umowa na realizację przez COI niektórych zadań Ministra Cyfryzacji - odsprzedaż"/>
    <s v="nd"/>
    <s v="nd"/>
    <m/>
    <n v="4000"/>
    <n v="0"/>
    <s v="16.1.2.1"/>
    <s v="budżet państwa (z wyjątkiem GDDKiA)"/>
    <s v="Dostawa, montaż i uruchomienie czterech modułów kryptograficznych HSM (Hardware Security Module) wraz z gwarancją i wsparciem technicznym- EKOSYSTEM"/>
    <s v="Dostawa, montaż i uruchomienie czterech modułów kryptograficznych HSM (Hardware Security Module) wraz z gwarancją i wsparciem technicznym- EKOSYSTEM"/>
    <n v="0"/>
    <m/>
    <m/>
    <m/>
    <m/>
    <m/>
    <m/>
    <m/>
    <m/>
  </r>
  <r>
    <x v="0"/>
    <x v="12"/>
    <s v="inny - środki krajowe"/>
    <s v="Umowa na realizację przez COI niektórych zadań Ministra Cyfryzacji - odsprzedaż"/>
    <s v="nd"/>
    <s v="nd"/>
    <m/>
    <n v="4000"/>
    <n v="0"/>
    <s v="16.1.2.1"/>
    <s v="budżet państwa (z wyjątkiem GDDKiA)"/>
    <s v="zapewnienie wsparcia technicznego dla oprogramowania Oracle lub równoważnego- EKOSYSTEM"/>
    <s v="zapewnienie wsparcia technicznego dla oprogramowania Oracle lub równoważnego- EKOSYSTEM"/>
    <n v="0"/>
    <m/>
    <m/>
    <m/>
    <m/>
    <m/>
    <m/>
    <m/>
    <m/>
  </r>
  <r>
    <x v="0"/>
    <x v="12"/>
    <s v="inny - środki krajowe"/>
    <s v="Umowa na realizację przez COI niektórych zadań Ministra Cyfryzacji - odsprzedaż"/>
    <s v="nd"/>
    <s v="nd"/>
    <m/>
    <n v="4000"/>
    <n v="0"/>
    <s v="16.1.2.1"/>
    <s v="budżet państwa (z wyjątkiem GDDKiA)"/>
    <s v="zapewnienie wsparcia technicznego dla dwóch blokowych macierzy dyskowych na okres 36 m-cy-_x000a_EKOSYSTEM"/>
    <s v="zapewnienie wsparcia technicznego dla dwóch blokowych macierzy dyskowych na okres 36 m-cy-_x000a_EKOSYSTEM"/>
    <n v="0"/>
    <m/>
    <m/>
    <m/>
    <m/>
    <m/>
    <m/>
    <m/>
    <m/>
  </r>
  <r>
    <x v="0"/>
    <x v="12"/>
    <s v="inny - środki krajowe"/>
    <s v="Umowa na realizację przez COI niektórych zadań Ministra Cyfryzacji - odsprzedaż"/>
    <s v="nd"/>
    <s v="nd"/>
    <m/>
    <n v="4000"/>
    <n v="0"/>
    <s v="16.1.2.1"/>
    <s v="budżet państwa (z wyjątkiem GDDKiA)"/>
    <s v="zapewnienie wsparcia technicznego dla latformy czasu na okres 36 miesięcy- EKOSYSTEM"/>
    <s v="zapewnienie wsparcia technicznego dla latformy czasu na okres 36 miesięcy- EKOSYSTEM"/>
    <n v="0"/>
    <m/>
    <m/>
    <m/>
    <m/>
    <m/>
    <m/>
    <m/>
    <m/>
  </r>
  <r>
    <x v="0"/>
    <x v="12"/>
    <s v="inny - środki krajowe"/>
    <s v="Umowa na realizację przez COI niektórych zadań Ministra Cyfryzacji - odsprzedaż"/>
    <s v="nd"/>
    <s v="nd"/>
    <m/>
    <n v="4000"/>
    <n v="0"/>
    <s v="16.1.2.1"/>
    <s v="budżet państwa (z wyjątkiem GDDKiA)"/>
    <s v="zapewnienie wsparcia technicznego dla 4 przełączników SAN "/>
    <s v="zapewnienie wsparcia technicznego dla 4 przełączników SAN "/>
    <n v="0"/>
    <m/>
    <m/>
    <m/>
    <m/>
    <m/>
    <m/>
    <m/>
    <m/>
  </r>
  <r>
    <x v="0"/>
    <x v="12"/>
    <s v="inny - środki krajowe"/>
    <s v="Umowa na realizację przez COI niektórych zadań Ministra Cyfryzacji - odsprzedaż"/>
    <s v="nd"/>
    <s v="nd"/>
    <m/>
    <n v="4000"/>
    <n v="0"/>
    <s v="16.1.2.1"/>
    <s v="budżet państwa (z wyjątkiem GDDKiA)"/>
    <s v="zapewnienie wsparcia technicznego dla oprogramowania Microsoft przez okres 36 miesięcy"/>
    <s v="zapewnienie wsparcia technicznego dla oprogramowania Microsoft przez okres 36 miesięcy"/>
    <n v="0"/>
    <m/>
    <m/>
    <m/>
    <m/>
    <m/>
    <m/>
    <m/>
    <m/>
  </r>
  <r>
    <x v="0"/>
    <x v="12"/>
    <s v="inny - środki krajowe"/>
    <s v="Umowa na realizację przez COI niektórych zadań Ministra Cyfryzacji - odsprzedaż"/>
    <s v="nd"/>
    <s v="nd"/>
    <m/>
    <n v="4000"/>
    <n v="0"/>
    <s v="16.1.2.1"/>
    <s v="budżet państwa (z wyjątkiem GDDKiA)"/>
    <s v="Wymiana sprzętu i wsparcie  na potrzeby realizacji Umowy"/>
    <s v="Wymiana sprzętu i wsparcie  na potrzeby realizacji Umowy"/>
    <n v="0"/>
    <m/>
    <m/>
    <m/>
    <m/>
    <m/>
    <m/>
    <m/>
    <m/>
  </r>
  <r>
    <x v="0"/>
    <x v="12"/>
    <s v="inny - środki krajowe"/>
    <s v="Umowa na realizację przez COI niektórych zadań Ministra Cyfryzacji - odsprzedaż"/>
    <s v="nd"/>
    <s v="nd"/>
    <m/>
    <n v="4000"/>
    <n v="0"/>
    <s v="16.1.2.1"/>
    <s v="budżet państwa (z wyjątkiem GDDKiA)"/>
    <s v="Szafa rack 42U z wyposażeniem_x000a_  2 sztm Serwery x86 Każdy serwer posiada redundatne elementy, 4 porty 25GbE,2 socket min 24 core per socket, 1024 GB RAM ,2x480GB M.2 8 szt. VMware vSphere 7 Enterprise Plus for 1 processor for 1 year 16 szt.- EKOSYSTEM"/>
    <s v="Szafa rack 42U z wyposażeniem_x000a_  2 sztm Serwery x86 Każdy serwer posiada redundatne elementy, 4 porty 25GbE,2 socket min 24 core per socket, 1024 GB RAM ,2x480GB M.2 8 szt. VMware vSphere 7 Enterprise Plus for 1 processor for 1 year 16 szt.- EKOSYSTEM"/>
    <n v="0"/>
    <m/>
    <m/>
    <m/>
    <m/>
    <m/>
    <m/>
    <m/>
    <m/>
  </r>
  <r>
    <x v="0"/>
    <x v="12"/>
    <s v="inny - środki krajowe"/>
    <s v="Umowa na realizację przez COI niektórych zadań Ministra Cyfryzacji - odsprzedaż"/>
    <s v="nd"/>
    <s v="nd"/>
    <m/>
    <n v="4000"/>
    <n v="0"/>
    <s v="16.1.2.1"/>
    <s v="budżet państwa (z wyjątkiem GDDKiA)"/>
    <s v="Wsparcie i rozbudowa oprogramowania narzędziowego dla_x000a_środowiska KN w celu zapewnienia pomocy technicznej, dostępu do poprawek oraz praw do_x000a_nowych wersji oprogramowania na okres 12 miesięcy"/>
    <s v="Wsparcie i rozbudowa oprogramowania narzędziowego dla_x000a_środowiska KN w celu zapewnienia pomocy technicznej, dostępu do poprawek oraz praw do_x000a_nowych wersji oprogramowania na okres 12 miesięcy"/>
    <n v="0"/>
    <m/>
    <m/>
    <m/>
    <m/>
    <m/>
    <m/>
    <m/>
    <m/>
  </r>
  <r>
    <x v="0"/>
    <x v="12"/>
    <s v="inny - środki krajowe"/>
    <s v="Umowa na realizację przez COI niektórych zadań Ministra Cyfryzacji - odsprzedaż"/>
    <s v="nd"/>
    <s v="nd"/>
    <m/>
    <n v="4000"/>
    <n v="0"/>
    <s v="16.1.2.1"/>
    <s v="budżet państwa (z wyjątkiem GDDKiA)"/>
    <s v="Zakupy sprzetu i usług "/>
    <s v="Zakupy sprzetu i usług "/>
    <n v="0"/>
    <m/>
    <m/>
    <m/>
    <m/>
    <m/>
    <m/>
    <m/>
    <m/>
  </r>
  <r>
    <x v="0"/>
    <x v="12"/>
    <s v="inny - środki krajowe"/>
    <s v="Umowa na realizację przez COI niektórych zadań Ministra Cyfryzacji - odsprzedaż"/>
    <s v="nd"/>
    <s v="nd"/>
    <m/>
    <n v="4000"/>
    <n v="0"/>
    <s v="16.1.2.1"/>
    <s v="budżet państwa (z wyjątkiem GDDKiA)"/>
    <s v="Testy bezpieczeństwa 18 mcy"/>
    <s v="Testy bezpieczeństwa 18 mcy"/>
    <n v="0"/>
    <m/>
    <m/>
    <m/>
    <m/>
    <m/>
    <m/>
    <m/>
    <m/>
  </r>
  <r>
    <x v="0"/>
    <x v="12"/>
    <s v="inny - środki krajowe"/>
    <s v="Umowa na realizację przez COI niektórych zadań Ministra Cyfryzacji - odsprzedaż"/>
    <s v="nd"/>
    <s v="nd"/>
    <m/>
    <n v="4000"/>
    <n v="0"/>
    <s v="16.1.2.1"/>
    <s v="budżet państwa (z wyjątkiem GDDKiA)"/>
    <s v="Świadczenie serwisu pogwarancyjnego i usług wsparcia technicznego_x000a_ dla urządzeń i oprogramowania na potrzeby KN (bezpieczna łączność) - serwis pogwarancyjny systemu ochrony informacji niejawnych z wykorzystaniem szyfratorów IP KRYPTON K2 na 12 m-cy"/>
    <s v="Świadczenie serwisu pogwarancyjnego i usług wsparcia technicznego_x000a_ dla urządzeń i oprogramowania na potrzeby KN (bezpieczna łączność) - serwis pogwarancyjny systemu ochrony informacji niejawnych z wykorzystaniem szyfratorów IP KRYPTON K2 na 12 m-cy"/>
    <n v="0"/>
    <m/>
    <m/>
    <m/>
    <m/>
    <m/>
    <m/>
    <m/>
    <m/>
  </r>
  <r>
    <x v="0"/>
    <x v="12"/>
    <s v="inny - środki krajowe"/>
    <s v="Umowa na realizację przez COI niektórych zadań Ministra Cyfryzacji - odsprzedaż"/>
    <s v="nd"/>
    <s v="nd"/>
    <m/>
    <n v="4000"/>
    <n v="0"/>
    <s v="16.1.2.1"/>
    <s v="budżet państwa (z wyjątkiem GDDKiA)"/>
    <s v="Przedłużenie wsparcia technicznego oprogramowania Red Hat Jboss wraz z dostawą subskrypcji/_x000a_zakup usługi wsparcia technicznego oprogramowania Euro Application Platform na 12 miesięcy"/>
    <s v="Przedłużenie wsparcia technicznego oprogramowania Red Hat Jboss wraz z dostawą subskrypcji/_x000a_zakup usługi wsparcia technicznego oprogramowania Euro Application Platform na 12 miesięcy"/>
    <n v="0"/>
    <m/>
    <m/>
    <m/>
    <m/>
    <m/>
    <m/>
    <m/>
    <m/>
  </r>
  <r>
    <x v="0"/>
    <x v="12"/>
    <s v="inny - środki krajowe"/>
    <s v="Umowa na realizację przez COI niektórych zadań Ministra Cyfryzacji - odsprzedaż"/>
    <s v="nd"/>
    <s v="nd"/>
    <m/>
    <n v="4000"/>
    <n v="0"/>
    <s v="16.1.2.1"/>
    <s v="budżet państwa (z wyjątkiem GDDKiA)"/>
    <s v="Proxy do ZIR (działania administracyjne)"/>
    <s v="Proxy do ZIR (działania administracyjne)"/>
    <n v="0"/>
    <m/>
    <m/>
    <m/>
    <m/>
    <m/>
    <m/>
    <m/>
    <m/>
  </r>
  <r>
    <x v="0"/>
    <x v="12"/>
    <s v="inny - środki krajowe"/>
    <s v="Umowa na realizację przez COI niektórych zadań Ministra Cyfryzacji - odsprzedaż"/>
    <s v="nd"/>
    <s v="nd"/>
    <m/>
    <n v="4000"/>
    <n v="0"/>
    <s v="16.1.2.1"/>
    <s v="budżet państwa (z wyjątkiem GDDKiA)"/>
    <s v="Certyfikaty i Pieczęcie elektroniczne zbiorczo ( zapadające 2025, 2026, 2027)"/>
    <s v="Certyfikaty i Pieczęcie elektroniczne zbiorczo ( zapadające 2025, 2026, 2027)"/>
    <n v="0"/>
    <m/>
    <m/>
    <m/>
    <m/>
    <m/>
    <m/>
    <m/>
    <m/>
  </r>
  <r>
    <x v="0"/>
    <x v="12"/>
    <s v="inny - środki krajowe"/>
    <s v="Umowa na realizację przez COI niektórych zadań Ministra Cyfryzacji - odsprzedaż"/>
    <s v="nd"/>
    <s v="nd"/>
    <m/>
    <n v="4000"/>
    <n v="0"/>
    <s v="16.1.2.1"/>
    <s v="budżet państwa (z wyjątkiem GDDKiA)"/>
    <s v="Wsparcie i rozbudowa oprogramowania narzędziowego (5 części)"/>
    <s v="Wsparcie i rozbudowa oprogramowania narzędziowego (5 części)"/>
    <n v="0"/>
    <m/>
    <m/>
    <m/>
    <m/>
    <m/>
    <m/>
    <m/>
    <m/>
  </r>
  <r>
    <x v="0"/>
    <x v="12"/>
    <s v="inny - środki krajowe"/>
    <s v="Umowa na realizację przez COI niektórych zadań Ministra Cyfryzacji - odsprzedaż"/>
    <s v="nd"/>
    <s v="nd"/>
    <m/>
    <n v="4000"/>
    <n v="0"/>
    <s v="16.1.2.1"/>
    <s v="budżet państwa (z wyjątkiem GDDKiA)"/>
    <s v="Rozbudowa Skanera Tenable o moduł WAS 5FQDN (rok) i odnowienie wsparcia "/>
    <s v="Rozbudowa Skanera Tenable o moduł WAS 5FQDN (rok) i odnowienie wsparcia "/>
    <n v="0"/>
    <m/>
    <m/>
    <m/>
    <m/>
    <m/>
    <m/>
    <m/>
    <m/>
  </r>
  <r>
    <x v="0"/>
    <x v="12"/>
    <s v="inny - środki krajowe"/>
    <s v="Umowa na realizację przez COI niektórych zadań Ministra Cyfryzacji - odsprzedaż"/>
    <s v="nd"/>
    <s v="nd"/>
    <m/>
    <n v="4000"/>
    <n v="0"/>
    <s v="16.5.1.2"/>
    <s v="budżet państwa (z wyjątkiem GDDKiA)"/>
    <s v="Zakup wsparcia technicznego (godzin eksperckich) na potrzeby_x000a_ systemów Rządowej Chmury Obliczeniowej."/>
    <s v="Zakup wsparcia technicznego (godzin eksperckich) na potrzeby_x000a_ systemów Rządowej Chmury Obliczeniowej."/>
    <n v="0"/>
    <m/>
    <m/>
    <m/>
    <m/>
    <m/>
    <m/>
    <m/>
    <m/>
  </r>
  <r>
    <x v="0"/>
    <x v="12"/>
    <s v="inny - środki krajowe"/>
    <s v="Umowa na realizację przez COI niektórych zadań Ministra Cyfryzacji - odsprzedaż"/>
    <s v="nd"/>
    <s v="nd"/>
    <m/>
    <n v="4000"/>
    <n v="0"/>
    <s v="16.1.2.1"/>
    <s v="budżet państwa (z wyjątkiem GDDKiA)"/>
    <s v="odnowienia certyfikatów Asecco ( zbiorczo) 2025"/>
    <s v="odnowienia certyfikatów Asecco ( zbiorczo) 2025"/>
    <n v="0"/>
    <m/>
    <m/>
    <m/>
    <m/>
    <m/>
    <m/>
    <m/>
    <m/>
  </r>
  <r>
    <x v="0"/>
    <x v="12"/>
    <s v="inny - środki krajowe"/>
    <s v="Umowa na realizację przez COI niektórych zadań Ministra Cyfryzacji - odsprzedaż"/>
    <s v="nd"/>
    <s v="nd"/>
    <m/>
    <n v="4000"/>
    <n v="0"/>
    <s v="16.1.2.1"/>
    <s v="budżet państwa (z wyjątkiem GDDKiA)"/>
    <s v="Dotyczy: &quot;Dzierżawy włókien światłowodowych na okres 36 miesięcy&quot;  - Część II"/>
    <s v="Dotyczy: &quot;Dzierżawy włókien światłowodowych na okres 36 miesięcy&quot;  - Część II"/>
    <n v="0"/>
    <m/>
    <m/>
    <m/>
    <m/>
    <m/>
    <m/>
    <m/>
    <m/>
  </r>
  <r>
    <x v="0"/>
    <x v="12"/>
    <s v="inny - środki krajowe"/>
    <s v="Umowa na realizację przez COI niektórych zadań Ministra Cyfryzacji - odsprzedaż"/>
    <s v="nd"/>
    <s v="nd"/>
    <m/>
    <n v="4000"/>
    <n v="0"/>
    <s v="16.1.2.1"/>
    <s v="budżet państwa (z wyjątkiem GDDKiA)"/>
    <s v="Przedłużenie  wsparcia technicznego oraz usługa świadczenia Godzin Inżynierskich_x000a_ dla wykorzystywanego przez Zamawiającego oprogramowania Producenta Enigma Systemy Ochrony Informacji Sp. z o.o. ( Centaur)"/>
    <s v="Przedłużenie  wsparcia technicznego oraz usługa świadczenia Godzin Inżynierskich_x000a_ dla wykorzystywanego przez Zamawiającego oprogramowania Producenta Enigma Systemy Ochrony Informacji Sp. z o.o. ( Centaur)"/>
    <n v="0"/>
    <m/>
    <m/>
    <m/>
    <m/>
    <m/>
    <m/>
    <m/>
    <m/>
  </r>
  <r>
    <x v="0"/>
    <x v="12"/>
    <s v="inny - środki krajowe"/>
    <s v="Umowa na realizację przez COI niektórych zadań Ministra Cyfryzacji - odsprzedaż"/>
    <s v="nd"/>
    <s v="nd"/>
    <m/>
    <n v="4000"/>
    <n v="0"/>
    <s v="16.1.2.1"/>
    <s v="budżet państwa (z wyjątkiem GDDKiA)"/>
    <s v="Świadczenie usług serwisu i wsparcia technicznego deduplikatorów EMC w okresie 24 m-cy ( ODNOWIENIE )"/>
    <s v="Świadczenie usług serwisu i wsparcia technicznego deduplikatorów EMC w okresie 24 m-cy ( ODNOWIENIE )"/>
    <n v="0"/>
    <m/>
    <m/>
    <m/>
    <m/>
    <m/>
    <m/>
    <m/>
    <m/>
  </r>
  <r>
    <x v="0"/>
    <x v="12"/>
    <s v="inny - środki krajowe"/>
    <s v="Umowa na realizację przez COI niektórych zadań Ministra Cyfryzacji - odsprzedaż"/>
    <s v="nd"/>
    <s v="nd"/>
    <m/>
    <n v="4000"/>
    <n v="0"/>
    <s v="16.1.2.1"/>
    <s v="budżet państwa (z wyjątkiem GDDKiA)"/>
    <s v="Przedłużenie wsparcia technicznego _x000a_producenta do oprogramowania systemu IBM Security GUARDIUM (DAM)- w trakcie realizacji"/>
    <s v="Przedłużenie wsparcia technicznego _x000a_producenta do oprogramowania systemu IBM Security GUARDIUM (DAM)- w trakcie realizacji"/>
    <n v="0"/>
    <m/>
    <m/>
    <m/>
    <m/>
    <m/>
    <m/>
    <m/>
    <m/>
  </r>
  <r>
    <x v="0"/>
    <x v="12"/>
    <s v="inny - środki krajowe"/>
    <s v="Umowa na realizację przez COI niektórych zadań Ministra Cyfryzacji - odsprzedaż"/>
    <s v="nd"/>
    <s v="nd"/>
    <m/>
    <n v="4000"/>
    <n v="0"/>
    <s v="16.1.2.1"/>
    <s v="budżet państwa (z wyjątkiem GDDKiA)"/>
    <s v="Dostawa oprogramowania Microsoft Windows Server i _x000a_Microsoft Endpoint Configuration lub równoważnego"/>
    <s v="Dostawa oprogramowania Microsoft Windows Server i _x000a_Microsoft Endpoint Configuration lub równoważnego"/>
    <n v="0"/>
    <m/>
    <m/>
    <m/>
    <m/>
    <m/>
    <m/>
    <m/>
    <m/>
  </r>
  <r>
    <x v="0"/>
    <x v="12"/>
    <s v="inny - środki krajowe"/>
    <s v="Umowa na realizację przez COI niektórych zadań Ministra Cyfryzacji - odsprzedaż"/>
    <s v="nd"/>
    <s v="nd"/>
    <m/>
    <n v="4000"/>
    <n v="0"/>
    <s v="16.1.2.1"/>
    <s v="budżet państwa (z wyjątkiem GDDKiA)"/>
    <s v="zapewnienie 24 miesiecznego wsparcia technicznego dla licencji na oprogramowanie ( 2 części)-_x000a_ część II"/>
    <s v="zapewnienie 24 miesiecznego wsparcia technicznego dla licencji na oprogramowanie ( 2 części)-_x000a_ część II"/>
    <n v="0"/>
    <m/>
    <m/>
    <m/>
    <m/>
    <m/>
    <m/>
    <m/>
    <m/>
  </r>
  <r>
    <x v="0"/>
    <x v="12"/>
    <s v="inny - środki krajowe"/>
    <s v="Umowa na realizację przez COI niektórych zadań Ministra Cyfryzacji - odsprzedaż"/>
    <s v="nd"/>
    <s v="nd"/>
    <m/>
    <n v="4000"/>
    <n v="0"/>
    <s v="16.1.2.1"/>
    <s v="budżet państwa (z wyjątkiem GDDKiA)"/>
    <s v="zapewnienie wsparcia technicznego dla środowiska do zarządzania kodem źródłowym dla 1000_x000a_ użytkowników na okres 12 miesięcy- ZMIANA NA KOSZTY WŁASNE"/>
    <s v="zapewnienie wsparcia technicznego dla środowiska do zarządzania kodem źródłowym dla 1000_x000a_ użytkowników na okres 12 miesięcy- ZMIANA NA KOSZTY WŁASNE"/>
    <n v="0"/>
    <m/>
    <m/>
    <m/>
    <m/>
    <m/>
    <m/>
    <m/>
    <m/>
  </r>
  <r>
    <x v="0"/>
    <x v="12"/>
    <s v="inny - środki krajowe"/>
    <s v="Umowa na realizację przez COI niektórych zadań Ministra Cyfryzacji - odsprzedaż"/>
    <s v="nd"/>
    <s v="nd"/>
    <m/>
    <n v="4000"/>
    <n v="0"/>
    <s v="16.1.2.1"/>
    <s v="budżet państwa (z wyjątkiem GDDKiA)"/>
    <s v="Zapewnienie usługi wsparcia technicznego_x000a_ dla posiadanego przez Zamawiającego oprogramowania Redhat Enterprise Linux for Virtual Datacenters Standard na 12 miesięcy"/>
    <s v="Zapewnienie usługi wsparcia technicznego_x000a_ dla posiadanego przez Zamawiającego oprogramowania Redhat Enterprise Linux for Virtual Datacenters Standard na 12 miesięcy"/>
    <n v="0"/>
    <m/>
    <m/>
    <m/>
    <m/>
    <m/>
    <m/>
    <m/>
    <m/>
  </r>
  <r>
    <x v="0"/>
    <x v="12"/>
    <s v="inny - środki krajowe"/>
    <s v="Umowa na realizację przez COI niektórych zadań Ministra Cyfryzacji - odsprzedaż"/>
    <s v="nd"/>
    <s v="nd"/>
    <m/>
    <n v="4000"/>
    <n v="0"/>
    <s v="16.1.2.1"/>
    <s v="budżet państwa (z wyjątkiem GDDKiA)"/>
    <s v="Zapewnienie świadczenia usługi wsparcia technicznego na oprogramowanie i sprzęt IBM_x000a_ ( połączono z postepowaniem szyna danych )_x000a_Wymiana_zakup sprzętu, konwersja licencji oraz  zapewnienie świadczenia_x000a_ usługi wsparcia technicznego na oprogramowanie i sprzętu IBM"/>
    <s v="Zapewnienie świadczenia usługi wsparcia technicznego na oprogramowanie i sprzęt IBM_x000a_ ( połączono z postepowaniem szyna danych )_x000a_Wymiana_zakup sprzętu, konwersja licencji oraz  zapewnienie świadczenia_x000a_ usługi wsparcia technicznego na oprogramowanie i sprzętu IBM"/>
    <n v="0"/>
    <m/>
    <m/>
    <m/>
    <m/>
    <m/>
    <m/>
    <m/>
    <m/>
  </r>
  <r>
    <x v="0"/>
    <x v="12"/>
    <s v="inny - środki krajowe"/>
    <s v="Umowa na realizację przez COI niektórych zadań Ministra Cyfryzacji - odsprzedaż"/>
    <s v="nd"/>
    <s v="nd"/>
    <m/>
    <n v="4000"/>
    <n v="0"/>
    <s v="16.1.2.1"/>
    <s v="budżet państwa (z wyjątkiem GDDKiA)"/>
    <s v="Opłata za utrzymanie adresacji IP zgodnie z umową nr COI/U/3202/36/2013 - _x000a_zarządzanie adresacją udostępnioną przez KPRM i COI - Opłata roczna- odnowienie"/>
    <s v="Opłata za utrzymanie adresacji IP zgodnie z umową nr COI/U/3202/36/2013 - _x000a_zarządzanie adresacją udostępnioną przez KPRM i COI - Opłata roczna- odnowienie"/>
    <n v="0"/>
    <m/>
    <m/>
    <m/>
    <m/>
    <m/>
    <m/>
    <m/>
    <m/>
  </r>
  <r>
    <x v="0"/>
    <x v="12"/>
    <s v="inny - środki krajowe"/>
    <s v="Umowa na realizację przez COI niektórych zadań Ministra Cyfryzacji - odsprzedaż"/>
    <s v="nd"/>
    <s v="nd"/>
    <m/>
    <n v="4000"/>
    <n v="0"/>
    <s v="16.1.2.1"/>
    <s v="budżet państwa (z wyjątkiem GDDKiA)"/>
    <s v="odnowienie usług wsparcia technicznego dla  2 urządzeń FortiGate 800D na okres 24 miesięcy"/>
    <s v="odnowienie usług wsparcia technicznego dla  2 urządzeń FortiGate 800D na okres 24 miesięcy"/>
    <n v="0"/>
    <m/>
    <m/>
    <m/>
    <m/>
    <m/>
    <m/>
    <m/>
    <m/>
  </r>
  <r>
    <x v="0"/>
    <x v="12"/>
    <s v="inny - środki krajowe"/>
    <s v="Umowa na realizację przez COI niektórych zadań Ministra Cyfryzacji - odsprzedaż"/>
    <s v="nd"/>
    <s v="nd"/>
    <m/>
    <n v="4000"/>
    <n v="0"/>
    <s v="16.1.2.1"/>
    <s v="budżet państwa (z wyjątkiem GDDKiA)"/>
    <s v="zapewnienie wsparcia technicznego dla systemu backup i oprogramowania Commvault (2 części) -_x000a_część II: wsparcie techniczne dla dwóch serwerów oraz dwóch macierzy dyskowych"/>
    <s v="zapewnienie wsparcia technicznego dla systemu backup i oprogramowania Commvault (2 części) -_x000a_część II: wsparcie techniczne dla dwóch serwerów oraz dwóch macierzy dyskowych"/>
    <n v="0"/>
    <m/>
    <m/>
    <m/>
    <m/>
    <m/>
    <m/>
    <m/>
    <m/>
  </r>
  <r>
    <x v="0"/>
    <x v="12"/>
    <s v="inny - środki krajowe"/>
    <s v="Umowa na realizację przez COI niektórych zadań Ministra Cyfryzacji - odsprzedaż"/>
    <s v="nd"/>
    <s v="nd"/>
    <m/>
    <n v="4000"/>
    <n v="0"/>
    <s v="16.1.2.1"/>
    <s v="budżet państwa (z wyjątkiem GDDKiA)"/>
    <s v="zapewnienie wsparcia technicznego (3 Części) w zakresie  Części I sprzęt serwerowy wraz z okablowaniem"/>
    <s v="zapewnienie wsparcia technicznego (3 Części) w zakresie  Części I sprzęt serwerowy wraz z okablowaniem"/>
    <n v="0"/>
    <m/>
    <m/>
    <m/>
    <m/>
    <m/>
    <m/>
    <m/>
    <m/>
  </r>
  <r>
    <x v="0"/>
    <x v="12"/>
    <s v="inny - środki krajowe"/>
    <s v="Umowa na realizację przez COI niektórych zadań Ministra Cyfryzacji - odsprzedaż"/>
    <s v="nd"/>
    <s v="nd"/>
    <m/>
    <n v="4000"/>
    <n v="0"/>
    <s v="16.1.2.1"/>
    <s v="budżet państwa (z wyjątkiem GDDKiA)"/>
    <s v="rozbudowa platformy wirtualizacyjnej o przestrzeń dyskową"/>
    <s v="rozbudowa platformy wirtualizacyjnej o przestrzeń dyskową"/>
    <n v="0"/>
    <m/>
    <m/>
    <m/>
    <m/>
    <m/>
    <m/>
    <m/>
    <m/>
  </r>
  <r>
    <x v="0"/>
    <x v="12"/>
    <s v="inny - środki krajowe"/>
    <s v="Umowa na realizację przez COI niektórych zadań Ministra Cyfryzacji - odsprzedaż"/>
    <s v="nd"/>
    <s v="nd"/>
    <m/>
    <n v="4000"/>
    <n v="0"/>
    <s v="16.1.2.1"/>
    <s v="budżet państwa (z wyjątkiem GDDKiA)"/>
    <s v="zapewnienie wsparcia technicznego dla trzech modułów kryptograficznych HSM_x000a_ (Hardware Security Module) na okres 24 miesięcy"/>
    <s v="zapewnienie wsparcia technicznego dla trzech modułów kryptograficznych HSM_x000a_ (Hardware Security Module) na okres 24 miesięcy"/>
    <n v="0"/>
    <m/>
    <m/>
    <m/>
    <m/>
    <m/>
    <m/>
    <m/>
    <m/>
  </r>
  <r>
    <x v="0"/>
    <x v="12"/>
    <s v="inny - środki krajowe"/>
    <s v="Umowa na realizację przez COI niektórych zadań Ministra Cyfryzacji - odsprzedaż"/>
    <s v="nd"/>
    <s v="nd"/>
    <m/>
    <n v="4000"/>
    <n v="0"/>
    <s v="16.1.2.1"/>
    <s v="budżet państwa (z wyjątkiem GDDKiA)"/>
    <s v="odnowienie świadczenie usługi APN  na 12 m-cy"/>
    <s v="odnowienie świadczenie usługi APN  na 12 m-cy"/>
    <n v="0"/>
    <m/>
    <m/>
    <m/>
    <m/>
    <m/>
    <m/>
    <m/>
    <m/>
  </r>
  <r>
    <x v="0"/>
    <x v="12"/>
    <s v="inny - środki krajowe"/>
    <s v="Umowa na realizację przez COI niektórych zadań Ministra Cyfryzacji - odsprzedaż"/>
    <s v="nd"/>
    <s v="nd"/>
    <m/>
    <n v="4000"/>
    <n v="0"/>
    <s v="16.1.2.1"/>
    <s v="budżet państwa (z wyjątkiem GDDKiA)"/>
    <s v="zapewnienie wsparcia eksperckiego dla oprogramowania  DynaTrace"/>
    <s v="zapewnienie wsparcia eksperckiego dla oprogramowania  DynaTrace"/>
    <n v="0"/>
    <m/>
    <m/>
    <m/>
    <m/>
    <m/>
    <m/>
    <m/>
    <m/>
  </r>
  <r>
    <x v="0"/>
    <x v="12"/>
    <s v="inny - środki krajowe"/>
    <s v="Umowa na realizację przez COI niektórych zadań Ministra Cyfryzacji - odsprzedaż"/>
    <s v="nd"/>
    <s v="nd"/>
    <m/>
    <n v="4000"/>
    <n v="0"/>
    <s v="16.1.2.1"/>
    <s v="budżet państwa (z wyjątkiem GDDKiA)"/>
    <s v="zapewnienie wsparcia technicznego dla subskrypcji Oprogramowania Xray (Data Center)"/>
    <s v="zapewnienie wsparcia technicznego dla subskrypcji Oprogramowania Xray (Data Center)"/>
    <n v="0"/>
    <m/>
    <m/>
    <m/>
    <m/>
    <m/>
    <m/>
    <m/>
    <m/>
  </r>
  <r>
    <x v="0"/>
    <x v="12"/>
    <s v="inny - środki krajowe"/>
    <s v="Umowa na realizację przez COI niektórych zadań Ministra Cyfryzacji - odsprzedaż"/>
    <s v="nd"/>
    <s v="nd"/>
    <m/>
    <n v="4000"/>
    <n v="0"/>
    <s v="16.1.2.1"/>
    <s v="budżet państwa (z wyjątkiem GDDKiA)"/>
    <s v="Świadczenie usługi dostępu do Internetu oraz usługi antyDDoS w Lokalizacji I"/>
    <s v="Świadczenie usługi dostępu do Internetu oraz usługi antyDDoS w Lokalizacji I"/>
    <n v="0"/>
    <m/>
    <m/>
    <m/>
    <m/>
    <m/>
    <m/>
    <m/>
    <m/>
  </r>
  <r>
    <x v="0"/>
    <x v="12"/>
    <s v="inny - środki krajowe"/>
    <s v="Umowa na realizację przez COI niektórych zadań Ministra Cyfryzacji - odsprzedaż"/>
    <s v="nd"/>
    <s v="nd"/>
    <m/>
    <n v="4000"/>
    <n v="0"/>
    <s v="16.1.2.1"/>
    <s v="budżet państwa (z wyjątkiem GDDKiA)"/>
    <s v="Świadczenie usługi do Internetu oraz usługi antyDDoS wraz_x000a_ z gwarancją w Lokalizacji II (11 Listopada 23)"/>
    <s v="Świadczenie usługi do Internetu oraz usługi antyDDoS wraz_x000a_ z gwarancją w Lokalizacji II (11 Listopada 23)"/>
    <n v="0"/>
    <m/>
    <m/>
    <m/>
    <m/>
    <m/>
    <m/>
    <m/>
    <m/>
  </r>
  <r>
    <x v="0"/>
    <x v="12"/>
    <s v="inny - środki krajowe"/>
    <s v="Umowa na realizację przez COI niektórych zadań Ministra Cyfryzacji - odsprzedaż"/>
    <s v="nd"/>
    <s v="nd"/>
    <m/>
    <n v="4000"/>
    <n v="0"/>
    <s v="16.1.2.1"/>
    <s v="budżet państwa (z wyjątkiem GDDKiA)"/>
    <s v="zapewnienie usługi wsparcia technicznego dla urządzeń infrastruktury węzłów telekomunikacyjnych wraz z Oprogramowaniem - cz. I Usługi serwisu i wsparcia technicznego dla urządzeń infrastruktury węzłów telekomunikacyjnych marki CISCO wraz z Oprogramowaniem"/>
    <s v="zapewnienie usługi wsparcia technicznego dla urządzeń infrastruktury węzłów telekomunikacyjnych wraz z Oprogramowaniem - cz. I Usługi serwisu i wsparcia technicznego dla urządzeń infrastruktury węzłów telekomunikacyjnych marki CISCO wraz z Oprogramowaniem"/>
    <n v="0"/>
    <m/>
    <m/>
    <m/>
    <m/>
    <m/>
    <m/>
    <m/>
    <m/>
  </r>
  <r>
    <x v="0"/>
    <x v="12"/>
    <s v="inny - środki krajowe"/>
    <s v="Umowa na realizację przez COI niektórych zadań Ministra Cyfryzacji - odsprzedaż"/>
    <s v="nd"/>
    <s v="nd"/>
    <m/>
    <n v="4000"/>
    <n v="0"/>
    <s v="16.1.2.1"/>
    <s v="budżet państwa (z wyjątkiem GDDKiA)"/>
    <s v="zapewnienie usług wsparcia technicznego dla  oprogramowania_x000a_ Oracle w okresie: marzec 2023 - październik 2025"/>
    <s v="zapewnienie usług wsparcia technicznego dla  oprogramowania_x000a_ Oracle w okresie: marzec 2023 - październik 2025"/>
    <n v="0"/>
    <m/>
    <m/>
    <m/>
    <m/>
    <m/>
    <m/>
    <m/>
    <m/>
  </r>
  <r>
    <x v="0"/>
    <x v="12"/>
    <s v="inny - środki krajowe"/>
    <s v="Umowa na realizację przez COI niektórych zadań Ministra Cyfryzacji - odsprzedaż"/>
    <s v="nd"/>
    <s v="nd"/>
    <m/>
    <n v="4000"/>
    <n v="0"/>
    <s v="16.1.2.1"/>
    <s v="budżet państwa (z wyjątkiem GDDKiA)"/>
    <s v="zapewnienie usług wsparcia technicznego dla oprogramowania wraz z licencjami na rozbudowę_x000a_ funkcjonalności serwerów IBM POWER"/>
    <s v="zapewnienie usług wsparcia technicznego dla oprogramowania wraz z licencjami na rozbudowę_x000a_ funkcjonalności serwerów IBM POWER"/>
    <n v="0"/>
    <m/>
    <m/>
    <m/>
    <m/>
    <m/>
    <m/>
    <m/>
    <m/>
  </r>
  <r>
    <x v="0"/>
    <x v="12"/>
    <s v="inny - środki krajowe"/>
    <s v="Umowa na realizację przez COI niektórych zadań Ministra Cyfryzacji - odsprzedaż"/>
    <s v="nd"/>
    <s v="nd"/>
    <m/>
    <n v="4000"/>
    <n v="0"/>
    <s v="16.1.2.1"/>
    <s v="budżet państwa (z wyjątkiem GDDKiA)"/>
    <s v="odnowienie wsparcia technicznego na potrzeby KN dla  blokowej macierzy dyskowej, deduplikatora_x000a_ i licencji "/>
    <s v="odnowienie wsparcia technicznego na potrzeby KN dla  blokowej macierzy dyskowej, deduplikatora_x000a_ i licencji "/>
    <n v="0"/>
    <m/>
    <m/>
    <m/>
    <m/>
    <m/>
    <m/>
    <m/>
    <m/>
  </r>
  <r>
    <x v="0"/>
    <x v="12"/>
    <s v="inny - środki krajowe"/>
    <s v="Umowa na realizację przez COI niektórych zadań Ministra Cyfryzacji - odsprzedaż"/>
    <s v="nd"/>
    <s v="nd"/>
    <m/>
    <n v="4000"/>
    <n v="0"/>
    <s v="16.1.2.1"/>
    <s v="budżet państwa (z wyjątkiem GDDKiA)"/>
    <s v="przedłużenie  wsparcia technincznego dla sprzętu serwerowego"/>
    <s v="przedłużenie  wsparcia technincznego dla sprzętu serwerowego"/>
    <n v="0"/>
    <m/>
    <m/>
    <m/>
    <m/>
    <m/>
    <m/>
    <m/>
    <m/>
  </r>
  <r>
    <x v="0"/>
    <x v="12"/>
    <s v="inny - środki krajowe"/>
    <s v="Umowa na realizację przez COI niektórych zadań Ministra Cyfryzacji - odsprzedaż"/>
    <s v="nd"/>
    <s v="nd"/>
    <m/>
    <n v="4000"/>
    <n v="0"/>
    <s v="16.1.2.1"/>
    <s v="budżet państwa (z wyjątkiem GDDKiA)"/>
    <s v="Zakup i dostawa 3500 komputerów typu AiO wraz z HUB USB dla urzędów gmin, w ramach realizacji 2. etapu (2025) i 3. etapu (2027) Programu wymiany sprzętu komputerowego "/>
    <s v="Zakup i dostawa 3500 komputerów typu AiO wraz z HUB USB dla urzędów gmin, w ramach realizacji 2. etapu (2025) i 3. etapu (2027) Programu wymiany sprzętu komputerowego "/>
    <m/>
    <m/>
    <m/>
    <m/>
    <m/>
    <m/>
    <m/>
    <m/>
    <m/>
  </r>
  <r>
    <x v="0"/>
    <x v="12"/>
    <s v="inny - środki krajowe"/>
    <s v="Umowa na realizację przez COI niektórych zadań Ministra Cyfryzacji - odsprzedaż"/>
    <s v="nd"/>
    <s v="nd"/>
    <m/>
    <n v="4000"/>
    <n v="0"/>
    <s v="16.1.2.1"/>
    <s v="budżet państwa (z wyjątkiem GDDKiA)"/>
    <s v="Przedłużenie wsparcia technicznego dla urządzeń sieciowych"/>
    <s v="Przedłużenie wsparcia technicznego dla urządzeń sieciowych"/>
    <n v="0"/>
    <m/>
    <m/>
    <m/>
    <m/>
    <m/>
    <m/>
    <m/>
    <m/>
  </r>
  <r>
    <x v="0"/>
    <x v="12"/>
    <s v="inny - środki krajowe"/>
    <s v="Umowa na realizację przez COI niektórych zadań Ministra Cyfryzacji - odsprzedaż"/>
    <s v="nd"/>
    <s v="nd"/>
    <m/>
    <n v="4000"/>
    <n v="0"/>
    <s v="16.1.2.1"/>
    <s v="budżet państwa (z wyjątkiem GDDKiA)"/>
    <s v="Przedłużenie wsparcia technicznego i gwarancję dla  serwerów "/>
    <s v="Przedłużenie wsparcia technicznego i gwarancję dla  serwerów "/>
    <n v="0"/>
    <m/>
    <m/>
    <m/>
    <m/>
    <m/>
    <m/>
    <m/>
    <m/>
  </r>
  <r>
    <x v="0"/>
    <x v="12"/>
    <s v="inny - środki krajowe"/>
    <s v="Umowa na realizację przez COI niektórych zadań Ministra Cyfryzacji - odsprzedaż"/>
    <s v="nd"/>
    <s v="nd"/>
    <m/>
    <n v="4000"/>
    <n v="0"/>
    <s v="16.1.2.1"/>
    <s v="budżet państwa (z wyjątkiem GDDKiA)"/>
    <s v="Wymiana sprzętu i wsparcie  na potrzeby realizacji Umowy"/>
    <s v="Wymiana sprzętu i wsparcie  na potrzeby realizacji Umowy"/>
    <n v="0"/>
    <m/>
    <m/>
    <m/>
    <m/>
    <m/>
    <m/>
    <m/>
    <m/>
  </r>
  <r>
    <x v="0"/>
    <x v="12"/>
    <s v="inny - środki krajowe"/>
    <s v="Umowa na realizację przez COI niektórych zadań Ministra Cyfryzacji - odsprzedaż"/>
    <s v="nd"/>
    <s v="nd"/>
    <m/>
    <n v="4000"/>
    <n v="0"/>
    <s v="16.5.1.2"/>
    <s v="budżet państwa (z wyjątkiem GDDKiA)"/>
    <s v="Zapewnienie dostępu do narzędzi on-line Webankieta na potrzeby PORTAL-u RP  umożliwiającego tworzenie ankiet."/>
    <s v="Zapewnienie dostępu do narzędzi on-line Webankieta na potrzeby PORTAL-u RP  umożliwiającego tworzenie ankiet."/>
    <n v="160"/>
    <m/>
    <m/>
    <m/>
    <m/>
    <m/>
    <m/>
    <m/>
    <m/>
  </r>
  <r>
    <x v="0"/>
    <x v="12"/>
    <s v="inny - środki krajowe"/>
    <s v="Umowa na realizację przez COI niektórych zadań Ministra Cyfryzacji - odsprzedaż"/>
    <s v="nd"/>
    <s v="nd"/>
    <m/>
    <n v="4000"/>
    <n v="0"/>
    <s v="16.5.1.2"/>
    <s v="budżet państwa (z wyjątkiem GDDKiA)"/>
    <s v="Licencja Cookiebot CMP – premium large (1 year)"/>
    <s v="Licencja Cookiebot CMP – premium large (1 year)"/>
    <n v="7"/>
    <m/>
    <m/>
    <m/>
    <m/>
    <m/>
    <m/>
    <m/>
    <m/>
  </r>
  <r>
    <x v="0"/>
    <x v="12"/>
    <s v="inny - środki krajowe"/>
    <s v="Umowa na realizację przez COI niektórych zadań Ministra Cyfryzacji - odsprzedaż"/>
    <s v="nd"/>
    <s v="nd"/>
    <m/>
    <n v="4000"/>
    <n v="0"/>
    <s v="16.5.1.2"/>
    <s v="budżet państwa (z wyjątkiem GDDKiA)"/>
    <s v="Zakup certyfikatów i domen na potrzeby Portalu RP"/>
    <s v="Zakup certyfikatów i domen na potrzeby Portalu RP"/>
    <n v="5"/>
    <m/>
    <m/>
    <m/>
    <m/>
    <m/>
    <m/>
    <m/>
    <m/>
  </r>
  <r>
    <x v="0"/>
    <x v="12"/>
    <s v="inny - środki krajowe"/>
    <s v="Umowa na realizację przez COI niektórych zadań Ministra Cyfryzacji - odsprzedaż"/>
    <s v="nd"/>
    <s v="nd"/>
    <m/>
    <n v="4000"/>
    <n v="0"/>
    <s v="16.5.1.2"/>
    <s v="budżet państwa (z wyjątkiem GDDKiA)"/>
    <s v="Badania użyteczności (koszt rekrutacji zewnętrznych i wynagrodzenia respondentów)"/>
    <s v="Badania użyteczności (koszt rekrutacji zewnętrznych i wynagrodzenia respondentów)"/>
    <n v="16"/>
    <m/>
    <m/>
    <m/>
    <m/>
    <m/>
    <m/>
    <m/>
    <m/>
  </r>
  <r>
    <x v="0"/>
    <x v="12"/>
    <s v="inny - środki krajowe"/>
    <s v="Umowa na realizację przez COI niektórych zadań Ministra Cyfryzacji - odsprzedaż"/>
    <s v="nd"/>
    <s v="nd"/>
    <m/>
    <n v="4000"/>
    <n v="0"/>
    <s v="16.5.1.2"/>
    <s v="budżet państwa (z wyjątkiem GDDKiA)"/>
    <s v="Zakup usługi tłumacza polskiego języka migowego (PJM) online na Portal RP"/>
    <s v="Zakup usługi tłumacza polskiego języka migowego (PJM) online na Portal RP"/>
    <n v="50"/>
    <m/>
    <m/>
    <m/>
    <m/>
    <m/>
    <m/>
    <m/>
    <m/>
  </r>
  <r>
    <x v="0"/>
    <x v="12"/>
    <s v="inny - środki krajowe"/>
    <s v="Umowa na realizację przez COI niektórych zadań Ministra Cyfryzacji - odsprzedaż"/>
    <s v="nd"/>
    <s v="nd"/>
    <m/>
    <n v="4000"/>
    <n v="0"/>
    <s v="16.5.1.2"/>
    <s v="budżet państwa (z wyjątkiem GDDKiA)"/>
    <s v="Zakup usługi eksperckiej"/>
    <s v="Zakup usługi eksperckiej"/>
    <n v="24"/>
    <m/>
    <m/>
    <m/>
    <m/>
    <m/>
    <m/>
    <m/>
    <m/>
  </r>
  <r>
    <x v="0"/>
    <x v="12"/>
    <s v="inny - środki krajowe"/>
    <s v="Umowa na realizację przez COI niektórych zadań Ministra Cyfryzacji"/>
    <s v="nd"/>
    <s v="nd"/>
    <m/>
    <n v="6060"/>
    <n v="0"/>
    <s v="16.5.1.2"/>
    <s v="budżet państwa (z wyjątkiem GDDKiA)"/>
    <s v="Rozwój serwisu mObywatel.gov.pl"/>
    <s v="Rozwój serwisu mObywatel.gov.pl"/>
    <n v="7774"/>
    <m/>
    <m/>
    <m/>
    <m/>
    <m/>
    <m/>
    <m/>
    <m/>
  </r>
  <r>
    <x v="0"/>
    <x v="12"/>
    <s v="inny - środki krajowe"/>
    <s v="Umowa na realizację przez COI niektórych zadań Ministra Cyfryzacji"/>
    <s v="nd"/>
    <s v="nd"/>
    <m/>
    <n v="6060"/>
    <n v="0"/>
    <s v="16.5.1.2"/>
    <s v="budżet państwa (z wyjątkiem GDDKiA)"/>
    <s v="Captcha - budowa zabezpieczenia na stronach www przed niechcianym ruchem generowanym przez roboty"/>
    <s v="Captcha - budowa zabezpieczenia na stronach www przed niechcianym ruchem generowanym przez roboty"/>
    <n v="2460"/>
    <m/>
    <m/>
    <m/>
    <m/>
    <m/>
    <m/>
    <m/>
    <m/>
  </r>
  <r>
    <x v="0"/>
    <x v="12"/>
    <s v="inny - środki krajowe"/>
    <s v="Umowa na realizację przez COI niektórych zadań Ministra Cyfryzacji"/>
    <s v="nd"/>
    <s v="nd"/>
    <m/>
    <n v="6060"/>
    <n v="0"/>
    <s v="16.5.1.2"/>
    <s v="budżet państwa (z wyjątkiem GDDKiA)"/>
    <s v="Rozwój Generatora Formularzy - budowa Ekosystemu 2.0 do wytwarzania eUsług"/>
    <s v="Rozwój Generatora Formularzy - budowa Ekosystemu 2.0 do wytwarzania eUsług"/>
    <n v="8000"/>
    <m/>
    <m/>
    <m/>
    <m/>
    <m/>
    <m/>
    <m/>
    <m/>
  </r>
  <r>
    <x v="0"/>
    <x v="12"/>
    <s v="inny - środki krajowe"/>
    <s v="Umowa na realizację przez COI niektórych zadań Ministra Cyfryzacji"/>
    <s v="nd"/>
    <s v="nd"/>
    <m/>
    <n v="6060"/>
    <n v="0"/>
    <s v="16.5.1.2"/>
    <s v="budżet państwa (z wyjątkiem GDDKiA)"/>
    <s v="Rozwój e-Usług, w tym Platfroma ePłatności"/>
    <s v="Rozwój e-Usług, w tym Platfroma ePłatności"/>
    <n v="0"/>
    <m/>
    <m/>
    <m/>
    <m/>
    <m/>
    <m/>
    <m/>
    <m/>
  </r>
  <r>
    <x v="0"/>
    <x v="12"/>
    <s v="inny - środki krajowe"/>
    <s v="Umowa na realizację przez COI niektórych zadań Ministra Cyfryzacji"/>
    <s v="nd"/>
    <s v="nd"/>
    <m/>
    <n v="6060"/>
    <n v="0"/>
    <s v="16.5.1.2"/>
    <s v="budżet państwa (z wyjątkiem GDDKiA)"/>
    <s v="Rozwój Usługi Wyborczej Mężowie Zaufania - Baza mężów zaufania - dostosowanie na kolejne wydarzenie wyborcze - wybory prezydenckie"/>
    <s v="Rozwój Usługi Wyborczej Mężowie Zaufania - Baza mężów zaufania - dostosowanie na kolejne wydarzenie wyborcze - wybory prezydenckie"/>
    <m/>
    <m/>
    <m/>
    <m/>
    <m/>
    <m/>
    <m/>
    <m/>
    <m/>
  </r>
  <r>
    <x v="0"/>
    <x v="12"/>
    <s v="inny - środki krajowe"/>
    <s v="Umowa na realizację przez COI niektórych zadań Ministra Cyfryzacji"/>
    <s v="nd"/>
    <s v="nd"/>
    <m/>
    <n v="6060"/>
    <n v="0"/>
    <s v="16.5.1.2"/>
    <s v="budżet państwa (z wyjątkiem GDDKiA)"/>
    <s v="Rozwój Usługi Wyborczej Mężowie Zaufania - aplikacja &quot;Mąż Zaufania&quot;  - dostosowanie na kolejne wydarzenie wyborcze - wybory prezydenckie"/>
    <s v="Rozwój Usługi Wyborczej Mężowie Zaufania - aplikacja &quot;Mąż Zaufania&quot;  - dostosowanie na kolejne wydarzenie wyborcze - wybory prezydenckie"/>
    <m/>
    <m/>
    <m/>
    <m/>
    <m/>
    <m/>
    <m/>
    <m/>
    <m/>
  </r>
  <r>
    <x v="0"/>
    <x v="12"/>
    <s v="inny - środki krajowe"/>
    <s v="Umowa na realizację przez COI niektórych zadań Ministra Cyfryzacji"/>
    <s v="nd"/>
    <s v="nd"/>
    <m/>
    <n v="6060"/>
    <n v="0"/>
    <s v="16.5.1.2"/>
    <s v="budżet państwa (z wyjątkiem GDDKiA)"/>
    <s v="Budowa Portalu Sztucznej Inteligencji AI Act"/>
    <s v="Budowa Portalu Sztucznej Inteligencji AI Act"/>
    <n v="600"/>
    <m/>
    <m/>
    <m/>
    <m/>
    <m/>
    <m/>
    <m/>
    <m/>
  </r>
  <r>
    <x v="0"/>
    <x v="12"/>
    <s v="inny - środki krajowe"/>
    <s v="Umowa na realizację przez COI niektórych zadań Ministra Cyfryzacji"/>
    <s v="nd"/>
    <s v="nd"/>
    <m/>
    <n v="6060"/>
    <n v="0"/>
    <s v="16.5.1.2"/>
    <s v="budżet państwa (z wyjątkiem GDDKiA)"/>
    <s v="Rozwój e-usług publicznych - Realizacja prac w zakresie ekosystemu e-usług obejmującego budowę nowych rozwiązań IT, w tym systemów informatycznych i aplikacji związanych z udostępnianiem e-usług"/>
    <s v="Rozwój e-usług publicznych - Realizacja prac w zakresie ekosystemu e-usług obejmującego budowę nowych rozwiązań IT, w tym systemów informatycznych i aplikacji związanych z udostępnianiem e-usług"/>
    <n v="20000"/>
    <m/>
    <m/>
    <m/>
    <m/>
    <m/>
    <m/>
    <m/>
    <m/>
  </r>
  <r>
    <x v="0"/>
    <x v="12"/>
    <s v="inny - środki krajowe"/>
    <s v="Umowa na realizację przez COI niektórych zadań Ministra Cyfryzacji - odsprzedaż"/>
    <s v="nd"/>
    <s v="nd"/>
    <m/>
    <n v="6060"/>
    <n v="0"/>
    <s v="16.5.1.2"/>
    <s v="budżet państwa (z wyjątkiem GDDKiA)"/>
    <s v="Zakup infrastruktury - Platfroma ePłatności"/>
    <s v="Zakup infrastruktury - Platfroma ePłatności"/>
    <n v="9829"/>
    <m/>
    <m/>
    <m/>
    <m/>
    <m/>
    <m/>
    <m/>
    <m/>
  </r>
  <r>
    <x v="0"/>
    <x v="12"/>
    <s v="inny - środki krajowe"/>
    <s v="Umowa na realizację przez COI niektórych zadań Ministra Cyfryzacji"/>
    <s v="nd"/>
    <s v="nd"/>
    <m/>
    <n v="6060"/>
    <n v="0"/>
    <s v="16.1.2.1"/>
    <s v="budżet państwa (z wyjątkiem GDDKiA)"/>
    <s v="Rozwój systemu Profil Zaufany związany z budową środka identyfikacji dla osób prawnych"/>
    <s v="Rozwój systemu Profil Zaufany związany z budową środka identyfikacji dla osób prawnych"/>
    <n v="22632"/>
    <m/>
    <m/>
    <m/>
    <m/>
    <m/>
    <m/>
    <m/>
    <m/>
  </r>
  <r>
    <x v="0"/>
    <x v="12"/>
    <s v="inny - środki krajowe"/>
    <s v="Umowa na realizację przez COI niektórych zadań Ministra Cyfryzacji"/>
    <s v="nd"/>
    <s v="nd"/>
    <m/>
    <n v="6060"/>
    <n v="0"/>
    <s v="16.5.1.2"/>
    <s v="budżet państwa (z wyjątkiem GDDKiA)"/>
    <s v="Rozwój systemu e-Doręczeń"/>
    <s v="Rozwój systemu e-Doręczeń"/>
    <n v="18245"/>
    <m/>
    <m/>
    <m/>
    <m/>
    <m/>
    <m/>
    <m/>
    <m/>
  </r>
  <r>
    <x v="0"/>
    <x v="12"/>
    <s v="inny - środki krajowe"/>
    <s v="Umowa na realizację przez COI niektórych zadań Ministra Cyfryzacji"/>
    <s v="nd"/>
    <s v="nd"/>
    <m/>
    <n v="6060"/>
    <n v="0"/>
    <s v="16.5.1.2"/>
    <s v="budżet państwa (z wyjątkiem GDDKiA)"/>
    <s v="Rozwój Katalogu Podmiotów Publicznych"/>
    <s v="Rozwój Katalogu Podmiotów Publicznych"/>
    <n v="1693"/>
    <m/>
    <m/>
    <m/>
    <m/>
    <m/>
    <m/>
    <m/>
    <m/>
  </r>
  <r>
    <x v="0"/>
    <x v="12"/>
    <s v="inny - środki krajowe"/>
    <s v="Umowa na realizację przez COI niektórych zadań Ministra Cyfryzacji"/>
    <s v="nd"/>
    <s v="nd"/>
    <m/>
    <n v="6060"/>
    <n v="0"/>
    <s v="16.5.1.2"/>
    <s v="budżet państwa (z wyjątkiem GDDKiA)"/>
    <s v="Rozwój ePUAP"/>
    <s v="Rozwój ePUAP"/>
    <n v="7084"/>
    <m/>
    <m/>
    <m/>
    <m/>
    <m/>
    <m/>
    <m/>
    <m/>
  </r>
  <r>
    <x v="0"/>
    <x v="12"/>
    <s v="inny - środki krajowe"/>
    <s v="Umowa na realizację przez COI niektórych zadań Ministra Cyfryzacji"/>
    <s v="nd"/>
    <s v="nd"/>
    <m/>
    <n v="6060"/>
    <n v="0"/>
    <s v="16.1.2.1"/>
    <s v="budżet państwa (z wyjątkiem GDDKiA)"/>
    <s v="Rozwój Centralnego Rejestru Wyborców"/>
    <s v="Rozwój Centralnego Rejestru Wyborców"/>
    <n v="10000"/>
    <m/>
    <m/>
    <m/>
    <m/>
    <m/>
    <m/>
    <m/>
    <m/>
  </r>
  <r>
    <x v="0"/>
    <x v="12"/>
    <s v="inny - środki krajowe"/>
    <s v="Umowa na realizację przez COI niektórych zadań Ministra Cyfryzacji"/>
    <s v="nd"/>
    <s v="nd"/>
    <m/>
    <n v="6060"/>
    <n v="0"/>
    <s v="16.1.2.1"/>
    <s v="budżet państwa (z wyjątkiem GDDKiA)"/>
    <s v="System Rejestrów Państwowych - rozwój i wdrażanie zmian wynikajacych ze zmian przepisów prawa, w tym realizacja Programu refaktoringu"/>
    <s v="System Rejestrów Państwowych - rozwój i wdrażanie zmian wynikajacych ze zmian przepisów prawa, w tym realizacja Programu refaktoringu"/>
    <n v="14250"/>
    <m/>
    <m/>
    <m/>
    <m/>
    <m/>
    <m/>
    <m/>
    <m/>
  </r>
  <r>
    <x v="0"/>
    <x v="12"/>
    <s v="inny - środki krajowe"/>
    <s v="Umowa na realizację przez COI niektórych zadań Ministra Cyfryzacji - odsprzedaż"/>
    <s v="nd"/>
    <s v="nd"/>
    <m/>
    <n v="6060"/>
    <n v="0"/>
    <s v="16.5.1.2"/>
    <s v="budżet państwa (z wyjątkiem GDDKiA)"/>
    <s v="Zakup sprzętu komputerowego (odtworzenie) Rządowej Chmury Obliczeniowej"/>
    <s v="Zakup sprzętu komputerowego (odtworzenie) Rządowej Chmury Obliczeniowej"/>
    <n v="20000"/>
    <m/>
    <m/>
    <m/>
    <m/>
    <m/>
    <m/>
    <m/>
    <m/>
  </r>
  <r>
    <x v="0"/>
    <x v="12"/>
    <s v="inny - środki krajowe"/>
    <s v="Umowa na realizację przez COI niektórych zadań Ministra Cyfryzacji - odsprzedaż"/>
    <s v="nd"/>
    <s v="nd"/>
    <m/>
    <n v="6060"/>
    <n v="0"/>
    <s v="16.5.1.2"/>
    <s v="budżet państwa (z wyjątkiem GDDKiA)"/>
    <s v="Zakup oprogramowania (licencje) Rządowej Chmury Obliczeniowej"/>
    <s v="Zakup oprogramowania (licencje) Rządowej Chmury Obliczeniowej"/>
    <n v="12400"/>
    <m/>
    <m/>
    <m/>
    <m/>
    <m/>
    <m/>
    <m/>
    <m/>
  </r>
  <r>
    <x v="0"/>
    <x v="12"/>
    <s v="inny - środki krajowe"/>
    <s v="Umowa na realizację przez COI niektórych zadań Ministra Cyfryzacji - odsprzedaż"/>
    <s v="nd"/>
    <s v="nd"/>
    <m/>
    <n v="6060"/>
    <n v="0"/>
    <s v="16.5.1.2"/>
    <s v="budżet państwa (z wyjątkiem GDDKiA)"/>
    <s v="Zakup urządzeń sieciowych (odtworzenie) Rządowego Klastra Bezpieczeństwa"/>
    <s v="Zakup urządzeń sieciowych (odtworzenie) Rządowego Klastra Bezpieczeństwa"/>
    <n v="10213"/>
    <m/>
    <m/>
    <m/>
    <m/>
    <m/>
    <m/>
    <m/>
    <m/>
  </r>
  <r>
    <x v="0"/>
    <x v="12"/>
    <s v="inny - środki krajowe"/>
    <s v="Umowa na realizację przez COI niektórych zadań Ministra Cyfryzacji - odsprzedaż"/>
    <s v="nd"/>
    <s v="nd"/>
    <m/>
    <n v="6060"/>
    <n v="0"/>
    <s v="16.5.1.2"/>
    <s v="budżet państwa (z wyjątkiem GDDKiA)"/>
    <s v="Zakup oprogramowania (licencje) Rządowego Klastra Bezpieczeństwa"/>
    <s v="Zakup oprogramowania (licencje) Rządowego Klastra Bezpieczeństwa"/>
    <n v="5000"/>
    <m/>
    <m/>
    <m/>
    <m/>
    <m/>
    <m/>
    <m/>
    <m/>
  </r>
  <r>
    <x v="0"/>
    <x v="12"/>
    <s v="inny - środki krajowe"/>
    <s v="Umowa na realizację przez COI niektórych zadań Ministra Cyfryzacji - odsprzedaż"/>
    <s v="nd"/>
    <s v="nd"/>
    <m/>
    <n v="6060"/>
    <n v="0"/>
    <s v="16.5.1.2"/>
    <s v="budżet państwa (z wyjątkiem GDDKiA)"/>
    <s v="Zakup sprzętu komputerowego i oprogramowania (licencje) na potrzeby rozwoju Systemu Zapewniania Usług Chmurowych"/>
    <s v="Zakup sprzętu komputerowego i oprogramowania (licencje) na potrzeby rozwoju Systemu Zapewniania Usług Chmurowych"/>
    <n v="2500"/>
    <m/>
    <m/>
    <m/>
    <m/>
    <m/>
    <m/>
    <m/>
    <m/>
  </r>
  <r>
    <x v="0"/>
    <x v="12"/>
    <s v="inny - środki krajowe"/>
    <s v="Umowa na realizację przez COI niektórych zadań Ministra Cyfryzacji - odsprzedaż"/>
    <s v="nd"/>
    <s v="nd"/>
    <m/>
    <n v="6060"/>
    <n v="0"/>
    <s v="16.5.1.2"/>
    <s v="budżet państwa (z wyjątkiem GDDKiA)"/>
    <s v="Zakup sprzętu komputerowego – doposażenie dwóch ośrodków obliczeniowych Rządowej Chmury Obliczeniowej"/>
    <s v="Zakup sprzętu komputerowego – doposażenie dwóch ośrodków obliczeniowych Rządowej Chmury Obliczeniowej"/>
    <n v="0"/>
    <m/>
    <m/>
    <m/>
    <m/>
    <m/>
    <m/>
    <m/>
    <m/>
  </r>
  <r>
    <x v="0"/>
    <x v="12"/>
    <s v="inny - środki krajowe"/>
    <s v="Umowa na realizację przez COI niektórych zadań Ministra Cyfryzacji - odsprzedaż"/>
    <s v="nd"/>
    <s v="nd"/>
    <m/>
    <n v="6060"/>
    <n v="0"/>
    <s v="16.5.1.2"/>
    <s v="budżet państwa (z wyjątkiem GDDKiA)"/>
    <s v="Zakup urządzeń sieciowych trzeciego węzła Rządowego Klastra Bezpieczeństwa"/>
    <s v="Zakup urządzeń sieciowych trzeciego węzła Rządowego Klastra Bezpieczeństwa"/>
    <n v="0"/>
    <m/>
    <m/>
    <m/>
    <m/>
    <m/>
    <m/>
    <m/>
    <m/>
  </r>
  <r>
    <x v="0"/>
    <x v="12"/>
    <s v="inny - środki krajowe"/>
    <s v="Umowa na realizację przez COI niektórych zadań Ministra Cyfryzacji - odsprzedaż"/>
    <s v="nd"/>
    <s v="nd"/>
    <m/>
    <n v="6060"/>
    <n v="0"/>
    <s v="16.5.1.2"/>
    <s v="budżet państwa (z wyjątkiem GDDKiA)"/>
    <s v="Zakup oprogramowania (licencje) trzeciego węzła Rządowego Klastra Bezpieczeństwa"/>
    <s v="Zakup oprogramowania (licencje) trzeciego węzła Rządowego Klastra Bezpieczeństwa"/>
    <n v="0"/>
    <m/>
    <m/>
    <m/>
    <m/>
    <m/>
    <m/>
    <m/>
    <m/>
  </r>
  <r>
    <x v="0"/>
    <x v="12"/>
    <s v="inny - środki krajowe"/>
    <s v="Umowa na realizację przez COI niektórych zadań Ministra Cyfryzacji"/>
    <s v="nd"/>
    <s v="nd"/>
    <m/>
    <n v="6060"/>
    <n v="0"/>
    <s v="16.1.2.1"/>
    <s v="budżet państwa (z wyjątkiem GDDKiA)"/>
    <s v="Rozwój systemu Kronik@ oraz migracja do infrastruktury utrzymywanej przez COI"/>
    <s v="Rozwój systemu Kronik@ oraz migracja do infrastruktury utrzymywanej przez COI"/>
    <n v="16000"/>
    <m/>
    <m/>
    <m/>
    <m/>
    <m/>
    <m/>
    <m/>
    <m/>
  </r>
  <r>
    <x v="0"/>
    <x v="12"/>
    <s v="inny - środki krajowe"/>
    <s v="Umowa na realizację przez COI niektórych zadań Ministra Cyfryzacji - odsprzedaż"/>
    <s v="nd"/>
    <s v="nd"/>
    <m/>
    <n v="6060"/>
    <n v="0"/>
    <s v="16.1.2.1"/>
    <s v="budżet państwa (z wyjątkiem GDDKiA)"/>
    <s v="Zakup infrastruktury do migracji systemu Kronik@ oraz Zakup infrastruktury systemu Kronik@ 2.0 (nowy projekt)"/>
    <s v="Zakup infrastruktury do migracji systemu Kronik@ oraz Zakup infrastruktury systemu Kronik@ 2.0 (nowy projekt)"/>
    <n v="43944"/>
    <m/>
    <m/>
    <m/>
    <m/>
    <m/>
    <m/>
    <m/>
    <m/>
  </r>
  <r>
    <x v="0"/>
    <x v="12"/>
    <s v="inny - środki krajowe"/>
    <s v="Umowa na realizację przez COI niektórych zadań Ministra Cyfryzacji - odsprzedaż"/>
    <s v="nd"/>
    <s v="nd"/>
    <m/>
    <n v="6060"/>
    <n v="0"/>
    <s v="16.1.2.1"/>
    <s v="budżet państwa (z wyjątkiem GDDKiA)"/>
    <s v="Zakup infrastruktury systemu Kronik@ 2.0 (nowy projekt)"/>
    <s v="Zakup infrastruktury systemu Kronik@ 2.0 (nowy projekt)"/>
    <n v="0"/>
    <m/>
    <m/>
    <m/>
    <m/>
    <m/>
    <m/>
    <m/>
    <m/>
  </r>
  <r>
    <x v="0"/>
    <x v="12"/>
    <s v="inny - środki krajowe"/>
    <s v="Umowa na realizację przez COI niektórych zadań Ministra Cyfryzacji"/>
    <s v="nd"/>
    <s v="nd"/>
    <m/>
    <n v="6060"/>
    <n v="0"/>
    <s v="16.1.2.1"/>
    <s v="budżet państwa (z wyjątkiem GDDKiA)"/>
    <s v="Rozwój systemu LSI oraz migracja do infrastruktury utrzymywanej przez COI"/>
    <s v="Rozwój systemu LSI oraz migracja do infrastruktury utrzymywanej przez COI"/>
    <n v="7583"/>
    <m/>
    <m/>
    <m/>
    <m/>
    <m/>
    <m/>
    <m/>
    <m/>
  </r>
  <r>
    <x v="0"/>
    <x v="12"/>
    <s v="inny - środki krajowe"/>
    <s v="Umowa na realizację przez COI niektórych zadań Ministra Cyfryzacji - odsprzedaż"/>
    <s v="nd"/>
    <s v="nd"/>
    <m/>
    <n v="6060"/>
    <n v="0"/>
    <s v="16.1.2.1"/>
    <s v="budżet państwa (z wyjątkiem GDDKiA)"/>
    <s v="Rozbudowa infrastruktury systemów nadzoru i bezpieczeństwa NGFW"/>
    <s v="Rozbudowa infrastruktury systemów nadzoru i bezpieczeństwa NGFW"/>
    <n v="0"/>
    <m/>
    <m/>
    <m/>
    <m/>
    <m/>
    <m/>
    <m/>
    <m/>
  </r>
  <r>
    <x v="0"/>
    <x v="12"/>
    <s v="inny - środki krajowe"/>
    <s v="Umowa na realizację przez COI niektórych zadań Ministra Cyfryzacji - odsprzedaż"/>
    <s v="nd"/>
    <s v="nd"/>
    <m/>
    <n v="6060"/>
    <n v="0"/>
    <s v="16.1.2.1"/>
    <s v="budżet państwa (z wyjątkiem GDDKiA)"/>
    <s v="Dostawa licencji oprogramowania antywirusowego"/>
    <s v="Dostawa licencji oprogramowania antywirusowego"/>
    <n v="0"/>
    <m/>
    <m/>
    <m/>
    <m/>
    <m/>
    <m/>
    <m/>
    <m/>
  </r>
  <r>
    <x v="0"/>
    <x v="12"/>
    <s v="inny - środki krajowe"/>
    <s v="Umowa na realizację przez COI niektórych zadań Ministra Cyfryzacji - odsprzedaż"/>
    <s v="nd"/>
    <s v="nd"/>
    <m/>
    <n v="6060"/>
    <n v="0"/>
    <s v="16.1.2.1"/>
    <s v="budżet państwa (z wyjątkiem GDDKiA)"/>
    <s v="Dostawa serwerów wraz z gwarancją na okres 36 miesięcy _x000a_oraz dostawa oprogramowania_x000a_RedHat CEPH lub równoważnego_x000a_ "/>
    <s v="Dostawa serwerów wraz z gwarancją na okres 36 miesięcy _x000a_oraz dostawa oprogramowania_x000a_RedHat CEPH lub równoważnego_x000a_ "/>
    <n v="0"/>
    <m/>
    <m/>
    <m/>
    <m/>
    <m/>
    <m/>
    <m/>
    <m/>
  </r>
  <r>
    <x v="0"/>
    <x v="12"/>
    <s v="inny - środki krajowe"/>
    <s v="Umowa na realizację przez COI niektórych zadań Ministra Cyfryzacji - odsprzedaż"/>
    <s v="nd"/>
    <s v="nd"/>
    <m/>
    <n v="6060"/>
    <n v="0"/>
    <s v="16.1.2.1"/>
    <s v="budżet państwa (z wyjątkiem GDDKiA)"/>
    <s v="Dostawa sprzętu i oprogramowania do monitoringu wydajności"/>
    <s v="Dostawa sprzętu i oprogramowania do monitoringu wydajności"/>
    <n v="1750"/>
    <m/>
    <m/>
    <m/>
    <m/>
    <m/>
    <m/>
    <m/>
    <m/>
  </r>
  <r>
    <x v="0"/>
    <x v="12"/>
    <s v="inny - środki krajowe"/>
    <s v="Umowa na realizację przez COI niektórych zadań Ministra Cyfryzacji - odsprzedaż"/>
    <s v="nd"/>
    <s v="nd"/>
    <m/>
    <n v="6060"/>
    <n v="0"/>
    <s v="16.1.2.1"/>
    <s v="budżet państwa (z wyjątkiem GDDKiA)"/>
    <s v="Zakup sprzętu, konwersja licencji IBM"/>
    <s v="Zakup sprzętu, konwersja licencji IBM"/>
    <n v="10194"/>
    <m/>
    <m/>
    <m/>
    <m/>
    <m/>
    <m/>
    <m/>
    <m/>
  </r>
  <r>
    <x v="0"/>
    <x v="12"/>
    <s v="inny - środki krajowe"/>
    <s v="Umowa na realizację przez COI niektórych zadań Ministra Cyfryzacji - odsprzedaż"/>
    <s v="nd"/>
    <s v="nd"/>
    <m/>
    <n v="6060"/>
    <n v="0"/>
    <s v="16.1.2.1"/>
    <s v="budżet państwa (z wyjątkiem GDDKiA)"/>
    <s v="Dostawa oraz wdrożenie Platformy Bazodanowej"/>
    <s v="Dostawa oraz wdrożenie Platformy Bazodanowej"/>
    <m/>
    <m/>
    <m/>
    <m/>
    <m/>
    <m/>
    <m/>
    <m/>
    <m/>
  </r>
  <r>
    <x v="0"/>
    <x v="12"/>
    <s v="inny - środki krajowe"/>
    <s v="Umowa na realizację przez COI niektórych zadań Ministra Cyfryzacji - odsprzedaż"/>
    <s v="nd"/>
    <s v="nd"/>
    <m/>
    <n v="6060"/>
    <n v="0"/>
    <s v="16.1.2.1"/>
    <s v="budżet państwa (z wyjątkiem GDDKiA)"/>
    <s v="Rozbudowa istniejącej infrastruktury Fortinet poprzez zakup _x000a_oprogramowania FortiMail lub oprogramowania równoważnego"/>
    <s v="Rozbudowa istniejącej infrastruktury Fortinet poprzez zakup _x000a_oprogramowania FortiMail lub oprogramowania równoważnego"/>
    <n v="194"/>
    <m/>
    <m/>
    <m/>
    <m/>
    <m/>
    <m/>
    <m/>
    <m/>
  </r>
  <r>
    <x v="0"/>
    <x v="12"/>
    <s v="inny - środki krajowe"/>
    <s v="Umowa na realizację przez COI niektórych zadań Ministra Cyfryzacji - odsprzedaż"/>
    <s v="nd"/>
    <s v="nd"/>
    <m/>
    <n v="6060"/>
    <n v="0"/>
    <s v="16.1.2.1"/>
    <s v="budżet państwa (z wyjątkiem GDDKiA)"/>
    <s v="Dostawa i rozbudowa systemu backup wraz z montażem"/>
    <s v="Dostawa i rozbudowa systemu backup wraz z montażem"/>
    <n v="83"/>
    <m/>
    <m/>
    <m/>
    <m/>
    <m/>
    <m/>
    <m/>
    <m/>
  </r>
  <r>
    <x v="0"/>
    <x v="12"/>
    <s v="inny - środki krajowe"/>
    <s v="Umowa na realizację przez COI niektórych zadań Ministra Cyfryzacji - odsprzedaż"/>
    <s v="nd"/>
    <s v="nd"/>
    <m/>
    <n v="6060"/>
    <n v="0"/>
    <s v="16.1.2.1"/>
    <s v="budżet państwa (z wyjątkiem GDDKiA)"/>
    <s v="Rozbudowa platformy_x000a_ wirtualizacyjnej"/>
    <s v="Rozbudowa platformy_x000a_ wirtualizacyjnej"/>
    <n v="2654"/>
    <m/>
    <m/>
    <m/>
    <m/>
    <m/>
    <m/>
    <m/>
    <m/>
  </r>
  <r>
    <x v="0"/>
    <x v="12"/>
    <s v="inny - środki krajowe"/>
    <s v="Umowa na realizację przez COI niektórych zadań Ministra Cyfryzacji - odsprzedaż"/>
    <s v="nd"/>
    <s v="nd"/>
    <m/>
    <n v="6060"/>
    <n v="0"/>
    <s v="16.1.2.1"/>
    <s v="budżet państwa (z wyjątkiem GDDKiA)"/>
    <s v="Dostawa oraz wdrożenie sprzętowej platformy wirtualizacyjnej _x000a_Hiper Converged Infrastructure HCI"/>
    <s v="Dostawa oraz wdrożenie sprzętowej platformy wirtualizacyjnej _x000a_Hiper Converged Infrastructure HCI"/>
    <n v="0"/>
    <m/>
    <m/>
    <m/>
    <m/>
    <m/>
    <m/>
    <m/>
    <m/>
  </r>
  <r>
    <x v="0"/>
    <x v="12"/>
    <s v="inny - środki krajowe"/>
    <s v="Umowa na realizację przez COI niektórych zadań Ministra Cyfryzacji - odsprzedaż"/>
    <s v="nd"/>
    <s v="nd"/>
    <m/>
    <n v="6060"/>
    <n v="0"/>
    <s v="16.1.2.1"/>
    <s v="budżet państwa (z wyjątkiem GDDKiA)"/>
    <s v="Dostawa systemu backup"/>
    <s v="Dostawa systemu backup"/>
    <n v="0"/>
    <m/>
    <m/>
    <m/>
    <m/>
    <m/>
    <m/>
    <m/>
    <m/>
  </r>
  <r>
    <x v="0"/>
    <x v="12"/>
    <s v="inny - środki krajowe"/>
    <s v="Umowa na realizację przez COI niektórych zadań Ministra Cyfryzacji - odsprzedaż"/>
    <s v="nd"/>
    <s v="nd"/>
    <m/>
    <n v="6060"/>
    <n v="0"/>
    <s v="16.1.2.1"/>
    <s v="budżet państwa (z wyjątkiem GDDKiA)"/>
    <s v="Dostawa Sprzętu i Oprogramowania - Dostawa urządzeń sieciowych - KN"/>
    <s v="Dostawa Sprzętu i Oprogramowania - Dostawa urządzeń sieciowych - KN"/>
    <n v="0"/>
    <m/>
    <m/>
    <m/>
    <m/>
    <m/>
    <m/>
    <m/>
    <m/>
  </r>
  <r>
    <x v="0"/>
    <x v="12"/>
    <s v="inny - środki krajowe"/>
    <s v="Umowa na realizację przez COI niektórych zadań Ministra Cyfryzacji - odsprzedaż"/>
    <s v="nd"/>
    <s v="nd"/>
    <m/>
    <n v="6060"/>
    <n v="0"/>
    <s v="16.1.2.1"/>
    <s v="budżet państwa (z wyjątkiem GDDKiA)"/>
    <s v="Dostawa dwóch blokowych macierzy dyskowych"/>
    <s v="Dostawa dwóch blokowych macierzy dyskowych"/>
    <n v="0"/>
    <m/>
    <m/>
    <m/>
    <m/>
    <m/>
    <m/>
    <m/>
    <m/>
  </r>
  <r>
    <x v="0"/>
    <x v="12"/>
    <s v="inny - środki krajowe"/>
    <s v="Umowa na realizację przez COI niektórych zadań Ministra Cyfryzacji - odsprzedaż"/>
    <s v="nd"/>
    <s v="nd"/>
    <m/>
    <n v="6060"/>
    <n v="0"/>
    <s v="16.1.2.1"/>
    <s v="budżet państwa (z wyjątkiem GDDKiA)"/>
    <s v="Zakup oprogramowania dla urządzeń infrastruktury węzłów telekomunikacyjnych marki F5 _x000a_"/>
    <s v="Zakup oprogramowania dla urządzeń infrastruktury węzłów telekomunikacyjnych marki F5 _x000a_"/>
    <n v="153"/>
    <m/>
    <m/>
    <m/>
    <m/>
    <m/>
    <m/>
    <m/>
    <m/>
  </r>
  <r>
    <x v="0"/>
    <x v="12"/>
    <s v="inny - środki krajowe"/>
    <s v="Umowa na realizację przez COI niektórych zadań Ministra Cyfryzacji - odsprzedaż"/>
    <s v="nd"/>
    <s v="nd"/>
    <m/>
    <n v="6060"/>
    <n v="0"/>
    <s v="16.1.2.1"/>
    <s v="budżet państwa (z wyjątkiem GDDKiA)"/>
    <s v="Rozbudowa Platformy Gigamon"/>
    <s v="Rozbudowa Platformy Gigamon"/>
    <n v="0"/>
    <m/>
    <m/>
    <m/>
    <m/>
    <m/>
    <m/>
    <m/>
    <m/>
  </r>
  <r>
    <x v="0"/>
    <x v="12"/>
    <s v="inny - środki krajowe"/>
    <s v="Umowa na realizację przez COI niektórych zadań Ministra Cyfryzacji - odsprzedaż"/>
    <s v="nd"/>
    <s v="nd"/>
    <m/>
    <n v="6060"/>
    <n v="0"/>
    <s v="16.5.1.2"/>
    <s v="budżet państwa (z wyjątkiem GDDKiA)"/>
    <s v="Dostawa pakietów subskrypcyjnych w zakresie usługi publicznej _x000a_chmury obliczeniowej oraz usługi mailingowej/ zakup 294 sztuk-jednostek "/>
    <s v="Dostawa pakietów subskrypcyjnych w zakresie usługi publicznej _x000a_chmury obliczeniowej oraz usługi mailingowej/ zakup 294 sztuk-jednostek "/>
    <n v="0"/>
    <m/>
    <m/>
    <m/>
    <m/>
    <m/>
    <m/>
    <m/>
    <m/>
  </r>
  <r>
    <x v="0"/>
    <x v="12"/>
    <s v="inny - środki krajowe"/>
    <s v="Umowa na realizację przez COI niektórych zadań Ministra Cyfryzacji - odsprzedaż"/>
    <s v="nd"/>
    <s v="nd"/>
    <m/>
    <n v="6060"/>
    <n v="0"/>
    <s v="16.1.2.1"/>
    <s v="budżet państwa (z wyjątkiem GDDKiA)"/>
    <s v="Rozbudowa, dostawa, montaż i konfiguracja _x000a_Programowalnej Sieci Komputerowej (ang. SDN) - Ekosystem"/>
    <s v="Rozbudowa, dostawa, montaż i konfiguracja _x000a_Programowalnej Sieci Komputerowej (ang. SDN) - Ekosystem"/>
    <n v="0"/>
    <m/>
    <m/>
    <m/>
    <m/>
    <m/>
    <m/>
    <m/>
    <m/>
  </r>
  <r>
    <x v="0"/>
    <x v="12"/>
    <s v="inny - środki krajowe"/>
    <s v="Umowa na realizację przez COI niektórych zadań Ministra Cyfryzacji - odsprzedaż"/>
    <s v="nd"/>
    <s v="nd"/>
    <m/>
    <n v="6060"/>
    <n v="0"/>
    <s v="16.1.2.1"/>
    <s v="budżet państwa (z wyjątkiem GDDKiA)"/>
    <s v=" Zakupu urządzeń firewall (ang. Next Generation Firewall) oraz licencji"/>
    <s v=" Zakupu urządzeń firewall (ang. Next Generation Firewall) oraz licencji"/>
    <n v="0"/>
    <m/>
    <m/>
    <m/>
    <m/>
    <m/>
    <m/>
    <m/>
    <m/>
  </r>
  <r>
    <x v="0"/>
    <x v="12"/>
    <s v="inny - środki krajowe"/>
    <s v="Umowa na realizację przez COI niektórych zadań Ministra Cyfryzacji - odsprzedaż"/>
    <s v="nd"/>
    <s v="nd"/>
    <m/>
    <n v="6060"/>
    <n v="0"/>
    <s v="16.1.2.1"/>
    <s v="budżet państwa (z wyjątkiem GDDKiA)"/>
    <s v="Rozbudowa PAM - system do nadzoru _x000a_dostępu uprzywilejowanego"/>
    <s v="Rozbudowa PAM - system do nadzoru _x000a_dostępu uprzywilejowanego"/>
    <n v="0"/>
    <m/>
    <m/>
    <m/>
    <m/>
    <m/>
    <m/>
    <m/>
    <m/>
  </r>
  <r>
    <x v="0"/>
    <x v="12"/>
    <s v="inny - środki krajowe"/>
    <s v="Umowa na realizację przez COI niektórych zadań Ministra Cyfryzacji - odsprzedaż"/>
    <s v="nd"/>
    <s v="nd"/>
    <m/>
    <n v="6060"/>
    <n v="0"/>
    <s v="16.1.2.1"/>
    <s v="budżet państwa (z wyjątkiem GDDKiA)"/>
    <s v="Dostawa, montaż i konfiguracja Urządzeń przeznaczonych pod budowę Uniwersalnego Brzegu Sieci"/>
    <s v="Dostawa, montaż i konfiguracja Urządzeń przeznaczonych pod budowę Uniwersalnego Brzegu Sieci"/>
    <n v="0"/>
    <m/>
    <m/>
    <m/>
    <m/>
    <m/>
    <m/>
    <m/>
    <m/>
  </r>
  <r>
    <x v="0"/>
    <x v="12"/>
    <s v="inny - środki krajowe"/>
    <s v="Umowa na realizację przez COI niektórych zadań Ministra Cyfryzacji - odsprzedaż"/>
    <s v="nd"/>
    <s v="nd"/>
    <m/>
    <n v="6060"/>
    <n v="0"/>
    <s v="16.1.2.1"/>
    <s v="budżet państwa (z wyjątkiem GDDKiA)"/>
    <s v="Rozbudowa systemu loadbancer "/>
    <s v="Rozbudowa systemu loadbancer "/>
    <n v="0"/>
    <m/>
    <m/>
    <m/>
    <m/>
    <m/>
    <m/>
    <m/>
    <m/>
  </r>
  <r>
    <x v="0"/>
    <x v="12"/>
    <s v="inny - środki krajowe"/>
    <s v="Umowa na realizację przez COI niektórych zadań Ministra Cyfryzacji - odsprzedaż"/>
    <s v="nd"/>
    <s v="nd"/>
    <m/>
    <n v="6060"/>
    <n v="0"/>
    <s v="16.1.2.1"/>
    <s v="budżet państwa (z wyjątkiem GDDKiA)"/>
    <s v="Zakup jednostek Azure Prepaymant "/>
    <s v="Zakup jednostek Azure Prepaymant "/>
    <n v="0"/>
    <m/>
    <m/>
    <m/>
    <m/>
    <m/>
    <m/>
    <m/>
    <m/>
  </r>
  <r>
    <x v="0"/>
    <x v="12"/>
    <s v="inny - środki krajowe"/>
    <s v="Umowa na realizację przez COI niektórych zadań Ministra Cyfryzacji - odsprzedaż"/>
    <s v="nd"/>
    <s v="nd"/>
    <m/>
    <n v="6060"/>
    <n v="0"/>
    <s v="16.1.2.1"/>
    <s v="budżet państwa (z wyjątkiem GDDKiA)"/>
    <s v="Rozbudowa Programowej Sieci Komputerowej (ang. SDN)"/>
    <s v="Rozbudowa Programowej Sieci Komputerowej (ang. SDN)"/>
    <n v="0"/>
    <m/>
    <m/>
    <m/>
    <m/>
    <m/>
    <m/>
    <m/>
    <m/>
  </r>
  <r>
    <x v="0"/>
    <x v="12"/>
    <s v="inny - środki krajowe"/>
    <s v="Umowa na realizację przez COI niektórych zadań Ministra Cyfryzacji - odsprzedaż"/>
    <s v="nd"/>
    <s v="nd"/>
    <m/>
    <n v="6060"/>
    <n v="0"/>
    <s v="16.1.2.1"/>
    <s v="budżet państwa (z wyjątkiem GDDKiA)"/>
    <s v="Rozbudowa środowiska Wirtualizacyjnego "/>
    <s v="Rozbudowa środowiska Wirtualizacyjnego "/>
    <n v="0"/>
    <m/>
    <m/>
    <m/>
    <m/>
    <m/>
    <m/>
    <m/>
    <m/>
  </r>
  <r>
    <x v="0"/>
    <x v="12"/>
    <s v="inny - środki krajowe"/>
    <s v="Umowa na realizację przez COI niektórych zadań Ministra Cyfryzacji - odsprzedaż"/>
    <s v="nd"/>
    <s v="nd"/>
    <m/>
    <n v="6060"/>
    <n v="0"/>
    <s v="16.1.2.1"/>
    <s v="budżet państwa (z wyjątkiem GDDKiA)"/>
    <s v="Rozbudowa macierzy obiektowych  na potrzeby Rejstrów Państwowych "/>
    <s v="Rozbudowa macierzy obiektowych  na potrzeby Rejstrów Państwowych "/>
    <n v="0"/>
    <m/>
    <m/>
    <m/>
    <m/>
    <m/>
    <m/>
    <m/>
    <m/>
  </r>
  <r>
    <x v="0"/>
    <x v="12"/>
    <s v="inny - środki krajowe"/>
    <s v="Umowa na realizację przez COI niektórych zadań Ministra Cyfryzacji - odsprzedaż"/>
    <s v="nd"/>
    <s v="nd"/>
    <m/>
    <n v="6060"/>
    <n v="0"/>
    <s v="16.1.2.1"/>
    <s v="budżet państwa (z wyjątkiem GDDKiA)"/>
    <s v="Budowa clastra open shift na potrzeby Rejestrów Państwowych "/>
    <s v="Budowa clastra open shift na potrzeby Rejestrów Państwowych "/>
    <n v="0"/>
    <m/>
    <m/>
    <m/>
    <m/>
    <m/>
    <m/>
    <m/>
    <m/>
  </r>
  <r>
    <x v="0"/>
    <x v="12"/>
    <s v="inny - środki krajowe"/>
    <s v="Umowa na realizację przez COI niektórych zadań Ministra Cyfryzacji - odsprzedaż"/>
    <s v="nd"/>
    <s v="nd"/>
    <m/>
    <n v="6060"/>
    <n v="0"/>
    <s v="16.1.2.1"/>
    <s v="budżet państwa (z wyjątkiem GDDKiA)"/>
    <s v="Zakup Network Access Control (NAC)"/>
    <s v="Zakup Network Access Control (NAC)"/>
    <n v="1353"/>
    <m/>
    <m/>
    <m/>
    <m/>
    <m/>
    <m/>
    <m/>
    <m/>
  </r>
  <r>
    <x v="0"/>
    <x v="12"/>
    <s v="inny - środki krajowe"/>
    <s v="Umowa na realizację przez COI niektórych zadań Ministra Cyfryzacji - odsprzedaż"/>
    <s v="nd"/>
    <s v="nd"/>
    <m/>
    <n v="6060"/>
    <n v="0"/>
    <s v="16.1.2.1"/>
    <s v="budżet państwa (z wyjątkiem GDDKiA)"/>
    <s v="Zakup Identity Management (IdM) – Zarządzanie Tożsamością"/>
    <s v="Zakup Identity Management (IdM) – Zarządzanie Tożsamością"/>
    <n v="3690"/>
    <m/>
    <m/>
    <m/>
    <m/>
    <m/>
    <m/>
    <m/>
    <m/>
  </r>
  <r>
    <x v="0"/>
    <x v="12"/>
    <s v="inny - środki krajowe"/>
    <s v="Umowa na realizację przez COI niektórych zadań Ministra Cyfryzacji - odsprzedaż"/>
    <s v="nd"/>
    <s v="nd"/>
    <m/>
    <n v="6060"/>
    <n v="0"/>
    <s v="16.1.2.1"/>
    <s v="budżet państwa (z wyjątkiem GDDKiA)"/>
    <s v="Rozbudowa systemu SIEM o sprzęt i licencje"/>
    <s v="Rozbudowa systemu SIEM o sprzęt i licencje"/>
    <n v="2214"/>
    <m/>
    <m/>
    <m/>
    <m/>
    <m/>
    <m/>
    <m/>
    <m/>
  </r>
  <r>
    <x v="0"/>
    <x v="12"/>
    <s v="inny - środki krajowe"/>
    <s v="Umowa na realizację przez COI niektórych zadań Ministra Cyfryzacji - odsprzedaż"/>
    <s v="nd"/>
    <s v="nd"/>
    <m/>
    <n v="6060"/>
    <n v="0"/>
    <s v="16.1.2.1"/>
    <s v="budżet państwa (z wyjątkiem GDDKiA)"/>
    <s v="Terminowanie VPN, rozbudowanie infrastruktury"/>
    <s v="Terminowanie VPN, rozbudowanie infrastruktury"/>
    <n v="1697"/>
    <m/>
    <m/>
    <m/>
    <m/>
    <m/>
    <m/>
    <m/>
    <m/>
  </r>
  <r>
    <x v="0"/>
    <x v="12"/>
    <s v="inny - środki krajowe"/>
    <s v="Umowa na realizację przez COI niektórych zadań Ministra Cyfryzacji - odsprzedaż"/>
    <s v="nd"/>
    <s v="nd"/>
    <m/>
    <n v="6060"/>
    <n v="0"/>
    <s v="16.1.2.1"/>
    <s v="budżet państwa (z wyjątkiem GDDKiA)"/>
    <s v="Zakup infrastruktury Centralnego Serwera Logów"/>
    <s v="Zakup infrastruktury Centralnego Serwera Logów"/>
    <n v="1181"/>
    <m/>
    <m/>
    <m/>
    <m/>
    <m/>
    <m/>
    <m/>
    <m/>
  </r>
  <r>
    <x v="0"/>
    <x v="12"/>
    <s v="inny - środki krajowe"/>
    <s v="Umowa na realizację przez COI niektórych zadań Ministra Cyfryzacji - odsprzedaż"/>
    <s v="nd"/>
    <s v="nd"/>
    <m/>
    <n v="6060"/>
    <n v="0"/>
    <s v="16.1.2.1"/>
    <s v="budżet państwa (z wyjątkiem GDDKiA)"/>
    <s v="Zakup oprogramowania do ochrony warstwy aplikacyjnej"/>
    <s v="Zakup oprogramowania do ochrony warstwy aplikacyjnej"/>
    <n v="959"/>
    <m/>
    <m/>
    <m/>
    <m/>
    <m/>
    <m/>
    <m/>
    <m/>
  </r>
  <r>
    <x v="0"/>
    <x v="12"/>
    <s v="inny - środki krajowe"/>
    <s v="Umowa na realizację przez COI niektórych zadań Ministra Cyfryzacji - odsprzedaż"/>
    <s v="nd"/>
    <s v="nd"/>
    <m/>
    <n v="6060"/>
    <n v="0"/>
    <s v="16.1.2.1"/>
    <s v="budżet państwa (z wyjątkiem GDDKiA)"/>
    <s v=" Rozbudowa systemu do analizy kodu (DAST, IAST) oraz platform mobilnych"/>
    <s v=" Rozbudowa systemu do analizy kodu (DAST, IAST) oraz platform mobilnych"/>
    <n v="1107"/>
    <m/>
    <m/>
    <m/>
    <m/>
    <m/>
    <m/>
    <m/>
    <m/>
  </r>
  <r>
    <x v="0"/>
    <x v="12"/>
    <s v="inny - środki krajowe"/>
    <s v="Umowa na realizację przez COI niektórych zadań Ministra Cyfryzacji - odsprzedaż"/>
    <s v="nd"/>
    <s v="nd"/>
    <m/>
    <n v="6060"/>
    <n v="0"/>
    <s v="16.1.2.1"/>
    <s v="budżet państwa (z wyjątkiem GDDKiA)"/>
    <s v="Dostawa dwóch urządzeń typu DefensePro wraz z niezbędnymi licencjami i ochroną zasobów Zamawiającego przed atakami typu DDoS, dla ataków przekraczających limity dla urządzeń DefensePro"/>
    <s v="Dostawa dwóch urządzeń typu DefensePro wraz z niezbędnymi licencjami i ochroną zasobów Zamawiającego przed atakami typu DDoS, dla ataków przekraczających limity dla urządzeń DefensePro"/>
    <n v="8904"/>
    <m/>
    <m/>
    <m/>
    <m/>
    <m/>
    <m/>
    <m/>
    <m/>
  </r>
  <r>
    <x v="0"/>
    <x v="12"/>
    <s v="inny - środki krajowe"/>
    <s v="Umowa na realizację przez COI niektórych zadań Ministra Cyfryzacji - odsprzedaż"/>
    <s v="nd"/>
    <s v="nd"/>
    <m/>
    <n v="6060"/>
    <n v="0"/>
    <s v="16.1.2.1"/>
    <s v="budżet państwa (z wyjątkiem GDDKiA)"/>
    <s v="Wymiana sprzętu (serwery) i oprogramowania wykorzystywanego w procesie wytwórczym SRP "/>
    <s v="Wymiana sprzętu (serwery) i oprogramowania wykorzystywanego w procesie wytwórczym SRP "/>
    <n v="20146"/>
    <m/>
    <m/>
    <m/>
    <m/>
    <m/>
    <m/>
    <m/>
    <m/>
  </r>
  <r>
    <x v="0"/>
    <x v="12"/>
    <s v="inny - środki krajowe"/>
    <s v="Umowa na realizację przez COI niektórych zadań Ministra Cyfryzacji - odsprzedaż"/>
    <s v="nd"/>
    <s v="nd"/>
    <m/>
    <n v="6060"/>
    <n v="0"/>
    <s v="16.1.2.1"/>
    <s v="budżet państwa (z wyjątkiem GDDKiA)"/>
    <s v="Zakup niezbędnego oprogramowania wspierającego proces wytwórczy dla systemów będących we właściwości MC"/>
    <s v="Zakup niezbędnego oprogramowania wspierającego proces wytwórczy dla systemów będących we właściwości MC"/>
    <n v="947"/>
    <m/>
    <m/>
    <m/>
    <m/>
    <m/>
    <m/>
    <m/>
    <m/>
  </r>
  <r>
    <x v="0"/>
    <x v="12"/>
    <s v="inny - środki krajowe"/>
    <s v="Umowa na realizację przez COI niektórych zadań Ministra Cyfryzacji"/>
    <s v="nd"/>
    <s v="nd"/>
    <m/>
    <n v="6060"/>
    <n v="0"/>
    <s v="16.1.2.1"/>
    <s v="budżet państwa (z wyjątkiem GDDKiA)"/>
    <s v="Rozbudowa systemu Dane.gov.pl"/>
    <s v="Rozbudowa systemu Dane.gov.pl"/>
    <n v="3090"/>
    <m/>
    <m/>
    <m/>
    <m/>
    <m/>
    <m/>
    <m/>
    <m/>
  </r>
  <r>
    <x v="0"/>
    <x v="12"/>
    <s v="inny - środki krajowe"/>
    <s v="Umowa na realizację przez COI niektórych zadań Ministra Cyfryzacji"/>
    <s v="nd"/>
    <s v="nd"/>
    <m/>
    <n v="6060"/>
    <n v="0"/>
    <s v="16.1.2.1"/>
    <s v="budżet państwa (z wyjątkiem GDDKiA)"/>
    <s v=" Budowa systemu dokumentacji prawnej"/>
    <s v=" Budowa systemu dokumentacji prawnej"/>
    <n v="11933"/>
    <m/>
    <m/>
    <m/>
    <m/>
    <m/>
    <m/>
    <m/>
    <m/>
  </r>
  <r>
    <x v="0"/>
    <x v="12"/>
    <s v="inny - środki krajowe"/>
    <s v="Umowa na realizację przez COI niektórych zadań Ministra Cyfryzacji"/>
    <s v="nd"/>
    <s v="nd"/>
    <m/>
    <n v="6060"/>
    <n v="0"/>
    <s v="16.5.1.2"/>
    <s v="budżet państwa (z wyjątkiem GDDKiA)"/>
    <s v="Prace rozwojowe systemu ZUCH w zakresie obslugi klienta chmurowego"/>
    <s v="Prace rozwojowe systemu ZUCH w zakresie obslugi klienta chmurowego"/>
    <n v="7165"/>
    <m/>
    <m/>
    <m/>
    <m/>
    <m/>
    <m/>
    <m/>
    <m/>
  </r>
  <r>
    <x v="0"/>
    <x v="12"/>
    <s v="inny - środki krajowe"/>
    <s v="Umowa na realizację przez COI niektórych zadań Ministra Cyfryzacji"/>
    <s v="nd"/>
    <s v="nd"/>
    <m/>
    <n v="6060"/>
    <n v="0"/>
    <s v="16.5.1.2"/>
    <s v="budżet państwa (z wyjątkiem GDDKiA)"/>
    <s v="Realizacja bieżącego rozwoju aplikacji zlecona na podstawie bieżących potrzeb Ministra Cyfryzacji"/>
    <s v="Realizacja bieżącego rozwoju aplikacji zlecona na podstawie bieżących potrzeb Ministra Cyfryzacji"/>
    <n v="0"/>
    <m/>
    <m/>
    <m/>
    <m/>
    <m/>
    <m/>
    <m/>
    <m/>
  </r>
  <r>
    <x v="0"/>
    <x v="12"/>
    <s v="systemowy"/>
    <s v="Budowa i wdrożenie systemu elektronicznego zarządzania dokumentacją "/>
    <s v="nd"/>
    <s v="nd"/>
    <m/>
    <n v="2830"/>
    <n v="0"/>
    <s v="16.1.2.1"/>
    <s v="budżet państwa (z wyjątkiem GDDKiA)"/>
    <s v="Budowa i wdrożenie systemu elektronicznego zarządzania dokumentacją "/>
    <s v="Budowa i wdrożenie systemu elektronicznego zarządzania dokumentacją "/>
    <n v="30000"/>
    <n v="89000"/>
    <n v="125111"/>
    <n v="280716"/>
    <m/>
    <m/>
    <m/>
    <m/>
    <m/>
  </r>
  <r>
    <x v="0"/>
    <x v="12"/>
    <s v="systemowy"/>
    <s v="Budowa i wdrożenie systemu elektronicznego zarządzania dokumentacją "/>
    <s v="nd"/>
    <s v="nd"/>
    <m/>
    <n v="6230"/>
    <n v="0"/>
    <s v="16.1.2.1"/>
    <s v="budżet państwa (z wyjątkiem GDDKiA)"/>
    <s v="Budowa i wdrożenie systemu elektronicznego zarządzania dokumentacją "/>
    <s v="Budowa i wdrożenie systemu elektronicznego zarządzania dokumentacją "/>
    <n v="12000"/>
    <n v="22000"/>
    <n v="24000"/>
    <m/>
    <m/>
    <m/>
    <m/>
    <m/>
    <m/>
  </r>
  <r>
    <x v="0"/>
    <x v="12"/>
    <s v="inny - środki krajowe"/>
    <s v="Człowiek w kryzysie – platforma wiedzy i komunikacji- kontynuacja i rozwój"/>
    <s v="nd"/>
    <s v="nd"/>
    <m/>
    <n v="2830"/>
    <n v="0"/>
    <s v="16.5.1.2"/>
    <s v="budżet państwa (z wyjątkiem GDDKiA)"/>
    <s v="Człowiek w kryzysie – platforma wiedzy i komunikacji- kontynuacja i rozwój"/>
    <s v="Człowiek w kryzysie – platforma wiedzy i komunikacji- kontynuacja i rozwój"/>
    <n v="3490"/>
    <m/>
    <m/>
    <m/>
    <m/>
    <m/>
    <m/>
    <m/>
    <m/>
  </r>
  <r>
    <x v="0"/>
    <x v="12"/>
    <s v="inny - środki krajowe"/>
    <s v="Usługi ekspercie w zakresie wsparcia wdrożenia rozporządzenia eIDAS2"/>
    <n v="45597"/>
    <s v="nd"/>
    <s v="od 01-01-2025 do 31-12-2028"/>
    <n v="4000"/>
    <n v="0"/>
    <s v="16.5.1.2"/>
    <s v="Budżet państwa"/>
    <s v="Usługi ekspercie w zakresie wsparcia wdrożenia rozporządzenia eIDAS2"/>
    <s v="Celem zadania jest znalezienie ekspertów rynku aby w jak efektywniejszy sposób dostosować systemy MC do rozporządzenia eIDAS2"/>
    <n v="80"/>
    <n v="80"/>
    <m/>
    <m/>
    <m/>
    <m/>
    <m/>
    <m/>
    <m/>
  </r>
  <r>
    <x v="0"/>
    <x v="12"/>
    <m/>
    <s v="Wdrożenie rozporządzenie eIDAS2"/>
    <m/>
    <s v="nd"/>
    <m/>
    <n v="6060"/>
    <n v="0"/>
    <s v="16.5.1.2"/>
    <s v="Budżet państwa"/>
    <s v="Wdrożenie rozporządzenie eIDAS2"/>
    <s v="Wdrożenie rozporządzenie eIDAS2"/>
    <n v="15000"/>
    <n v="19232"/>
    <n v="24054"/>
    <m/>
    <m/>
    <m/>
    <m/>
    <m/>
    <m/>
  </r>
  <r>
    <x v="0"/>
    <x v="12"/>
    <s v="inny - środki krajowe"/>
    <s v="Botsense"/>
    <s v="nd"/>
    <s v="nd"/>
    <s v="IX.2025-2028 r."/>
    <n v="4000"/>
    <n v="0"/>
    <s v="16.5.1.2"/>
    <s v="budżet państwa (z wyjątkiem GDDKiA)"/>
    <s v="Opłata roczna za używanie licencji Systemu BotSense Mobile dla klienta GOV dla  aplikacji mObywatel (platformy Android i IOS) "/>
    <s v="Opłata roczna za używanie licencji Systemu BotSense Mobile dla klienta GOV dla  aplikacji mObywatel (platformy Android i IOS) "/>
    <n v="406"/>
    <n v="406"/>
    <n v="406"/>
    <m/>
    <m/>
    <s v="planowane"/>
    <m/>
    <s v="Aneksy do obecnego projektu umowy Botsense (MC)"/>
    <s v="NASK PIB"/>
  </r>
  <r>
    <x v="0"/>
    <x v="12"/>
    <s v="Konkursowy"/>
    <s v="Ralizacja budowy  KPO - środkie niekwalifikowane VAT"/>
    <s v="Konkurs w ramach inwestycji C2.1.1"/>
    <s v="KPO"/>
    <s v="Q2 2026"/>
    <n v="4530"/>
    <n v="0"/>
    <s v="16.5.1.2"/>
    <s v="budżet państwa (z wyjątkiem GDDKiA)"/>
    <s v="Rozbudowa ekosystemu aplikacji mObywatel- VAT koszty niekwalifikowane"/>
    <s v="Szczegółowe uzasadnienie w KPO"/>
    <m/>
    <m/>
    <n v="0"/>
    <n v="0"/>
    <n v="0"/>
    <s v="KPO"/>
    <s v="planowane"/>
    <m/>
    <s v="brak"/>
  </r>
  <r>
    <x v="0"/>
    <x v="12"/>
    <s v="inny - środki krajowe"/>
    <s v="System ePłatności"/>
    <s v="nd"/>
    <s v="nd"/>
    <s v="od 01.01.2025 r. "/>
    <n v="4000"/>
    <n v="0"/>
    <s v="16.5.1.2"/>
    <s v="budżet państwa (z wyjątkiem GDDKiA)"/>
    <s v="Bankowi Gospodarstwa Krajowego przysługuje wynagrodzenie z tytułu obsługi przyjmowania elektronicznych transakcji płatniczych finansowane z budżetu państwa z części, której dysponentem jest minister właściwy do spraw informatyzacji, przy czym wysokość wynagrodzenia nie może przekroczyć 0,05 zł od pojedyńczej transakcji"/>
    <s v="Bankowi Gospodarstwa Krajowego przysługuje wynagrodzenie z tytułu obsługi przyjmowania elektronicznych transakcji płatniczych finansowane z budżetu państwa z części, której dysponentem jest minister właściwy do spraw informatyzacji, przy czym wysokość wynagrodzenia nie może przekroczyć 0,05 zł od pojedyńczej transakcji"/>
    <n v="100"/>
    <n v="140"/>
    <n v="180"/>
    <n v="0"/>
    <n v="0"/>
    <s v="planowane"/>
    <s v="umowa"/>
    <s v="Umowa do podpisania po zakończeniu pilotażu czyli powinna być ważna od 1.01.2025r."/>
    <s v="z BGK"/>
  </r>
  <r>
    <x v="0"/>
    <x v="12"/>
    <s v="Konkursowy"/>
    <s v="Ralizacja budowy 3 DC z KPO - środkie niekwalifikowane VAT"/>
    <s v="Konkurs na przełomie 2024/2025"/>
    <s v="KPO"/>
    <s v="Q2 2026"/>
    <n v="4530"/>
    <n v="0"/>
    <s v="16.1.2.1"/>
    <s v="budżet państwa (z wyjątkiem GDDKiA)"/>
    <s v="Krajowe Centrum Przetwarzania Danych Etap 2 - VAT - koszty niekwalifikowane"/>
    <s v="Szczegółowe uzasadnienie w KPO"/>
    <m/>
    <m/>
    <n v="0"/>
    <n v="0"/>
    <n v="0"/>
    <s v="KPO"/>
    <s v="planowane"/>
    <m/>
    <s v="brak"/>
  </r>
  <r>
    <x v="0"/>
    <x v="12"/>
    <s v="inny - środki krajowe"/>
    <s v="usługa chmury obliczeniowej, niezbędnych do utrzymania wybranych systemów IT administracji publicznej, w szczególności obecnych klientów Rządowej Infrastruktury Dodatkowej (RID3)."/>
    <s v="nd"/>
    <s v="nd"/>
    <m/>
    <n v="4000"/>
    <n v="0"/>
    <s v="16.5.1.2"/>
    <s v="budżet państwa (z wyjątkiem GDDKiA)"/>
    <s v="usługa chmury obliczeniowej, niezbędnych do utrzymania wybranych systemów IT administracji publicznej, w szczególności obecnych klientów Rządowej Infrastruktury Dodatkowej (RID3)."/>
    <s v="usługa chmury obliczeniowej, niezbędnych do utrzymania wybranych systemów IT administracji publicznej, w szczególności obecnych klientów Rządowej Infrastruktury Dodatkowej (RID3)."/>
    <n v="18000"/>
    <m/>
    <m/>
    <m/>
    <m/>
    <m/>
    <m/>
    <m/>
    <m/>
  </r>
  <r>
    <x v="0"/>
    <x v="12"/>
    <s v="inny - środki krajowe"/>
    <s v="Zestaw usług przetwarzania w chmurze PChO - Centralny Zamawiający"/>
    <m/>
    <s v="nd"/>
    <m/>
    <n v="4000"/>
    <n v="0"/>
    <s v="16.5.1.2"/>
    <s v="budżet państwa (z wyjątkiem GDDKiA)"/>
    <s v="Zestaw usług przetwarzania w chmurze PChO - Centralny Zamawiający"/>
    <s v="Zestaw usług przetwarzania w chmurze PChO - Centralny Zamawiający"/>
    <n v="775"/>
    <m/>
    <m/>
    <m/>
    <m/>
    <m/>
    <m/>
    <m/>
    <m/>
  </r>
  <r>
    <x v="0"/>
    <x v="12"/>
    <s v="inny - środki krajowe"/>
    <s v="Dotacja celowa dla NASK PIB dot. pełnienia roli operatora węzła eIDAS"/>
    <m/>
    <s v="nd"/>
    <m/>
    <n v="2830"/>
    <n v="0"/>
    <s v="16.5.1.2"/>
    <s v="budżet państwa (z wyjątkiem GDDKiA)"/>
    <s v="Zadanie dot. zapewnienia prawidłowego i niezawodnego funkcjonowania węzła eIDAS. Zadanie będzie realizowane w ramach dotacji celowych przez NASK PIB"/>
    <s v="Zadanie dot. zapewnienia prawidłowego i niezawodnego funkcjonowania węzła eIDAS. Zadanie będzie realizowane w ramach dotacji celowych przez NASK PIB"/>
    <n v="3000"/>
    <n v="0"/>
    <n v="0"/>
    <m/>
    <m/>
    <m/>
    <m/>
    <m/>
    <m/>
  </r>
  <r>
    <x v="0"/>
    <x v="12"/>
    <s v="inny - środki krajowe"/>
    <s v="Dotacja celowa dla NASK PIB dot. wsparcia w funkcjonowaniu Organu ds. Cyfrowej Tożsamości"/>
    <m/>
    <s v="nd"/>
    <m/>
    <n v="2830"/>
    <n v="0"/>
    <s v="16.5.1.3"/>
    <s v="budżet państwa (z wyjątkiem GDDKiA)"/>
    <s v="Zadania dot. wsparcia w działaniach Organu ds. Cyfrowej Tożsamości. Zadanie będzie realizowane w ramach dotacji celowych przez NASK PIB"/>
    <s v="Zadania dot. wsparcia w działaniach Organu ds. Cyfrowej Tożsamości. Zadanie będzie realizowane w ramach dotacji celowych przez NASK PIB"/>
    <n v="513"/>
    <n v="564"/>
    <n v="621"/>
    <m/>
    <m/>
    <m/>
    <m/>
    <m/>
    <m/>
  </r>
  <r>
    <x v="0"/>
    <x v="12"/>
    <s v="inny - środki krajowe"/>
    <s v="Utrzymanie DC Bielany"/>
    <s v="każdorazowo pismo o zaangażowanie środków"/>
    <s v="nd"/>
    <s v="bezterminowo"/>
    <n v="4000"/>
    <n v="0"/>
    <s v="16.1.2.1"/>
    <s v="budżet państwa (z wyjątkiem GDDKiA)"/>
    <s v="Wynajem powierzchni DC Bielany, ul. Barcicka 52/56 Warszawa"/>
    <s v="Wynajem powierzchni DC Bielany, ul. Barcicka 52/56 Warszawa"/>
    <n v="2960"/>
    <n v="3166"/>
    <n v="3387"/>
    <n v="3624"/>
    <n v="3878"/>
    <s v="porozumienie"/>
    <s v="umowa"/>
    <s v="1/22 z 15.03.2022"/>
    <s v="KGP porozumienie"/>
  </r>
  <r>
    <x v="0"/>
    <x v="12"/>
    <s v="inny - środki krajowe"/>
    <s v="Utrzymanie DC Bielany"/>
    <s v="każdorazowo pismo o zaangażowanie środków"/>
    <s v="nd"/>
    <s v="bezterminowo"/>
    <n v="4480"/>
    <n v="0"/>
    <s v="16.1.2.1"/>
    <s v="budżet państwa (z wyjątkiem GDDKiA)"/>
    <s v="Wynajem powierzchni DC Bielany, ul. Barcicka 52/56 Warszawa"/>
    <s v="Wynajem powierzchni DC Bielany, ul. Barcicka 52/56 Warszawa"/>
    <n v="3"/>
    <n v="3"/>
    <n v="3"/>
    <m/>
    <m/>
    <m/>
    <m/>
    <m/>
    <m/>
  </r>
  <r>
    <x v="0"/>
    <x v="12"/>
    <s v="inny - środki krajowe"/>
    <s v="Utrzymanie DC Bielany"/>
    <s v="każdorazowo pismo o zaangażowanie środków"/>
    <s v="nd"/>
    <s v="bezterminowo"/>
    <n v="4270"/>
    <n v="0"/>
    <s v="16.1.2.1"/>
    <s v="budżet państwa (z wyjątkiem GDDKiA)"/>
    <s v="Wynajem powierzchni DC Bielany, ul. Barcicka 52/56 Warszawa"/>
    <s v="Wynajem powierzchni DC Bielany, ul. Barcicka 52/56 Warszawa"/>
    <n v="2"/>
    <n v="2"/>
    <n v="2"/>
    <m/>
    <m/>
    <m/>
    <m/>
    <m/>
    <m/>
  </r>
  <r>
    <x v="0"/>
    <x v="12"/>
    <s v="inny - środki krajowe"/>
    <s v="Utrzymanie DC Ochota"/>
    <s v="każdoeazowo pismo o zaangażowanie środków"/>
    <s v="nd"/>
    <s v="bezterminowo"/>
    <n v="4000"/>
    <n v="0"/>
    <s v="16.1.2.1"/>
    <s v="budżet państwa (z wyjątkiem GDDKiA)"/>
    <s v="Wynajem powierzchni DC Ochota, ul. Pawińskiego 17/21 Warszawa"/>
    <s v="Wynajem powierzchni DC Ochota, ul. Pawińskiego 17/21 Warszawa"/>
    <n v="1796"/>
    <n v="1922"/>
    <n v="2056"/>
    <n v="1763"/>
    <n v="1917"/>
    <s v="umowa"/>
    <s v="umowa"/>
    <s v="3/U/BDG/2018"/>
    <s v="MSWiA umowa użyczenia"/>
  </r>
  <r>
    <x v="0"/>
    <x v="12"/>
    <s v="inny - środki krajowe"/>
    <s v="Utrzymanie DC Ochota"/>
    <s v="każdoeazowo pismo o zaangażowanie środków"/>
    <s v="nd"/>
    <s v="bezterminowo"/>
    <n v="4480"/>
    <n v="0"/>
    <s v="16.1.2.1"/>
    <s v="budżet państwa (z wyjątkiem GDDKiA)"/>
    <s v="Wynajem powierzchni DC Ochota, ul. Pawińskiego 17/21 Warszawa"/>
    <s v="Wynajem powierzchni DC Ochota, ul. Pawińskiego 17/21 Warszawa"/>
    <n v="28"/>
    <n v="28"/>
    <n v="28"/>
    <m/>
    <m/>
    <m/>
    <m/>
    <m/>
    <m/>
  </r>
  <r>
    <x v="0"/>
    <x v="12"/>
    <s v="inny - środki krajowe"/>
    <s v="Utrzymanie DC Ochota"/>
    <s v="każdoeazowo pismo o zaangażowanie środków"/>
    <s v="nd"/>
    <s v="bezterminowo"/>
    <n v="4270"/>
    <n v="0"/>
    <s v="16.1.2.1"/>
    <s v="budżet państwa (z wyjątkiem GDDKiA)"/>
    <s v="Wynajem powierzchni DC Ochota, ul. Pawińskiego 17/21 Warszawa"/>
    <s v="Wynajem powierzchni DC Ochota, ul. Pawińskiego 17/21 Warszawa"/>
    <n v="288"/>
    <n v="288"/>
    <n v="288"/>
    <m/>
    <m/>
    <m/>
    <m/>
    <m/>
    <m/>
  </r>
  <r>
    <x v="0"/>
    <x v="12"/>
    <s v="inny - środki krajowe"/>
    <s v="Odpłatne świadczenie usług udostępnienia systemu dla infolinii w celu zapewnienia funkcjonowania systemu telefonów informacyjnych „Informacja dla obywatela” uzupełniającego funkcjonalność www.gov.pl oraz narzędzi klasy CRM"/>
    <s v="w trakcie"/>
    <s v="nd"/>
    <s v="2023-2025"/>
    <n v="4000"/>
    <n v="0"/>
    <s v="16.1.2.1"/>
    <s v="budżet państwa (z wyjątkiem GDDKiA)"/>
    <s v="Odpłatne świadczenie usług udostępnienia systemu dla infolinii w celu zapewnienia funkcjonowania systemu telefonów informacyjnych „Informacja dla obywatela” uzupełniającego funkcjonalność www.gov.pl oraz narzędzi klasy CRM"/>
    <s v="Zapewnienie systemu do realizacji połączeń informacyjnych we wszystkich ministerstwach, urzędach wojewódzkich, KPRM i GUNB"/>
    <n v="106"/>
    <n v="0"/>
    <n v="0"/>
    <n v="0"/>
    <n v="0"/>
    <s v="umowa"/>
    <s v="umowa"/>
    <s v="1180/DZS/22"/>
    <s v="Alfavox sp. z o.o. "/>
  </r>
  <r>
    <x v="0"/>
    <x v="12"/>
    <s v="inny - środki krajowe"/>
    <s v="Odpłatne świadczenie usług udostępnienia systemu dla infolinii w celu zapewnienia funkcjonowania systemu telefonów informacyjnych „Informacja dla obywatela” uzupełniającego funkcjonalność www.gov.pl oraz narzędzi klasy CRM"/>
    <n v="45444"/>
    <s v="nd"/>
    <s v="2025-2027"/>
    <n v="4000"/>
    <n v="0"/>
    <s v="16.1.2.1"/>
    <s v="budżet państwa (z wyjątkiem GDDKiA)"/>
    <s v="Odpłatne świadczenie usług udostępnienia systemu dla infolinii w celu zapewnienia funkcjonowania systemu telefonów informacyjnych „Informacja dla obywatela” uzupełniającego funkcjonalność www.gov.pl oraz narzędzi klasy CRM"/>
    <s v="Zapewnienie systemu do realizacji połączeń informacyjnych we wszystkich ministerstwach, urzędach wojewódzkich, KPRM i GUNB"/>
    <n v="625"/>
    <n v="750"/>
    <n v="125"/>
    <n v="0"/>
    <n v="0"/>
    <s v="postępowanie "/>
    <s v="-"/>
    <m/>
    <m/>
  </r>
  <r>
    <x v="0"/>
    <x v="12"/>
    <s v="inny"/>
    <s v="Zintegrowana Infrastruktura Rejestrów Utrzymanie"/>
    <s v="30.03.2022 r."/>
    <s v="nd"/>
    <s v="31.12.2024 r."/>
    <n v="4000"/>
    <n v="0"/>
    <s v="16.1.2.1"/>
    <s v="budżet państwa (z wyjątkiem GDDKiA)"/>
    <s v="Przedłużenie wsparcia technicznego dla posiadanego oprogramowania i sprzętu IBM do 31.12.2024 r."/>
    <s v="Konieczność zapewnienia ciągłości i prawidłowego funkcjonowania Zintegrowanej Infrastruktury Rejestrów (ZIR). Wniosek nr 281/DZS/22 do wniosku 1528/DZS/21 - Założenie, że FV za grudzień 2024 r. płatna w styczniu 2025 r."/>
    <n v="386"/>
    <n v="0"/>
    <n v="0"/>
    <n v="0"/>
    <n v="0"/>
    <s v="umowa"/>
    <s v="umowa"/>
    <s v="1/DIT/U/COI/2016"/>
    <s v="COI"/>
  </r>
  <r>
    <x v="0"/>
    <x v="12"/>
    <s v="inny"/>
    <s v="Zintegrowana Infrastruktura Rejestrów Utrzymanie"/>
    <s v="06.06.2022 r."/>
    <s v="nd"/>
    <s v="30.06.2026 r."/>
    <n v="4000"/>
    <n v="0"/>
    <s v="16.1.2.1"/>
    <s v="budżet państwa (z wyjątkiem GDDKiA)"/>
    <s v="Aneks nr 11 - ochrona kwalifikowana serwerowni od 1 kwietnia 2022 r. do listopada 2026 r."/>
    <s v="Konieczność zapewnienia ciągłości i prawidłowego funkcjonowania Zintegrowanej Infrastruktury Rejestrów (ZIR). Wniosek nr 962/DZS/22 - płatności miesięczne do 1 listopada 2026 r."/>
    <n v="124"/>
    <n v="113"/>
    <n v="0"/>
    <n v="0"/>
    <n v="0"/>
    <s v="umowa"/>
    <s v="umowa"/>
    <s v="1/DIT/U/COI/2016"/>
    <s v="COI"/>
  </r>
  <r>
    <x v="0"/>
    <x v="12"/>
    <s v="inny"/>
    <s v="Zintegrowana Infrastruktura Rejestrów Utrzymanie"/>
    <s v="10.07.2022 r."/>
    <s v="nd"/>
    <s v="31.12.2024 r."/>
    <n v="4000"/>
    <n v="0"/>
    <s v="16.1.2.1"/>
    <s v="budżet państwa (z wyjątkiem GDDKiA)"/>
    <s v="Dostawa oprogramowania do statycznej analizy kodu źródłowego (ang. SAST) i aplikacji mobilnych wraz z usługami wsparcia na okres 36 miesięcy. Wniosek nr 1178/DZS/22."/>
    <s v="Konieczność zapewnienia oprogramowania do statycznej analizy kodu źródłowego pod kątem bezpieczeństwa dla aplikacji wytwarzanych w Centralnym Ośrodku Informatyki."/>
    <n v="53"/>
    <n v="0"/>
    <n v="0"/>
    <n v="0"/>
    <n v="0"/>
    <s v="umowa"/>
    <s v="umowa"/>
    <s v="1/DIT/U/COI/2016"/>
    <s v="COI"/>
  </r>
  <r>
    <x v="0"/>
    <x v="12"/>
    <s v="inny"/>
    <s v="Zintegrowana Infrastruktura Rejestrów Utrzymanie"/>
    <s v="15.12.2021 r."/>
    <s v="nd"/>
    <s v="31.10.2026 r."/>
    <n v="4000"/>
    <n v="0"/>
    <s v="16.1.2.1"/>
    <s v="budżet państwa (z wyjątkiem GDDKiA)"/>
    <s v="NASK - najem powierzchni serwerowej - Aneks nr 9 do Umowy ZIR . Wniosek 1670/DZS/21; 1700/DZS/21, płatności miesięczne do dnia1 listopada 2026 r."/>
    <s v="Konieczność zapewnienia ciągłości i prawidłowego funkcjonowania Zintegrowanej Infrastruktury Rejestrów (ZIR) "/>
    <n v="3482"/>
    <n v="3192"/>
    <n v="0"/>
    <n v="0"/>
    <n v="0"/>
    <s v="umowa"/>
    <s v="umowa"/>
    <s v="1/DIT/U/COI/2016"/>
    <s v="COI"/>
  </r>
  <r>
    <x v="0"/>
    <x v="12"/>
    <s v="inny"/>
    <s v="Zintegrowana Infrastruktura Rejestrów Utrzymanie"/>
    <s v="21.12.2022 r."/>
    <s v="nd"/>
    <s v="31.12.2025 r."/>
    <n v="4000"/>
    <n v="0"/>
    <s v="16.1.2.1"/>
    <s v="budżet państwa (z wyjątkiem GDDKiA)"/>
    <s v="Zakup asysty technicznej przy pracach rozwojowych (MD) dot. SOAR Resilient firmy IBM na okres 36 miesięcy. Wniosek nr 2422/DZS/22; 1272/DZS/21."/>
    <s v="Konieczność zapewnienia ciągłości i prawidłowego funkcjonowania Zintegrowanej Infrastruktury Rejestrów (ZIR) "/>
    <n v="33"/>
    <n v="0"/>
    <n v="0"/>
    <n v="0"/>
    <n v="0"/>
    <s v="umowa"/>
    <s v="umowa"/>
    <s v="1/DIT/U/COI/2016"/>
    <s v="COI"/>
  </r>
  <r>
    <x v="0"/>
    <x v="12"/>
    <s v="inny"/>
    <s v="Zintegrowana Infrastruktura Rejestrów Utrzymanie"/>
    <s v="14.07.2023 r."/>
    <s v="nd"/>
    <s v="31.10.2025 r."/>
    <n v="4000"/>
    <n v="0"/>
    <s v="16.1.2.1"/>
    <s v="budżet państwa (z wyjątkiem GDDKiA)"/>
    <s v="Zakup usług wsparcia tech. na oprogramowanie ORACLE oraz zakup usług wsparcia tech. na opcje bazodanowe ORACLE Enterprise, wykorzystywane w SRP w okresie: 30 listopada 2023 – październik 2025 roku.Wniosek nr 17/C/DUC/2023, płatności miesięczne do października 2025 r."/>
    <s v="Konieczność zapewnienia ciągłości i prawidłowego funkcjonowania Zintegrowanej Infrastruktury Rejestrów (ZIR) "/>
    <n v="4416"/>
    <n v="0"/>
    <n v="0"/>
    <n v="0"/>
    <n v="0"/>
    <s v="umowa"/>
    <s v="umowa"/>
    <s v="1/DIT/U/COI/2016"/>
    <s v="COI"/>
  </r>
  <r>
    <x v="0"/>
    <x v="12"/>
    <s v="inny"/>
    <s v="Zintegrowana Infrastruktura Rejestrów Utrzymanie"/>
    <s v="10.05.2023 r."/>
    <s v="nd"/>
    <s v="28.08.2026 r."/>
    <n v="4000"/>
    <n v="0"/>
    <s v="16.1.2.1"/>
    <s v="budżet państwa (z wyjątkiem GDDKiA)"/>
    <s v="Świadczenie usługi dostępu do Internetu oraz usługi antyDDos w lokalizacji I (Warszawa, ul. Barcicka 52/56) oraz lokalizacji II (Warszawa, ul. Pawińskiego 17/21) od dnia 27.08.2023 do dnia 28.08.2026 r.do dnia 28.08.2026 r.Wniosek nr 477/DZS/23, płatności miesięczne do dnia 26 sierpnia 2025 r."/>
    <s v="Konieczność zapewnienia ciągłości i prawidłowego funkcjonowania Zintegrowanej Infrastruktury Rejestrów (ZIR) "/>
    <n v="64"/>
    <n v="0"/>
    <n v="0"/>
    <n v="0"/>
    <n v="0"/>
    <s v="umowa"/>
    <s v="umowa"/>
    <s v="1/DIT/U/COI/2016"/>
    <s v="COI"/>
  </r>
  <r>
    <x v="0"/>
    <x v="12"/>
    <s v="inny"/>
    <s v="Zintegrowana Infrastruktura Rejestrów Utrzymanie"/>
    <s v="14.07.2023 r."/>
    <s v="nd"/>
    <s v="30.09.2025 r."/>
    <n v="4000"/>
    <n v="0"/>
    <s v="16.1.2.1"/>
    <s v="budżet państwa (z wyjątkiem GDDKiA)"/>
    <s v=" Zakup usług wsparcia technicznego Software Assurance w okresie od 1 października 2023 do 30 września 2026 roku (na 36 miesięcy) na oprogramowanie Microsoft. Wniosek nr 37/C/DUC/23, płatności co 12 miesięcy do października 2025 r. Pismem kierowanym do BBF nr DTC.MC.WNS.3111.12.2023 zwalniano środki z roku 2024 i 2025 do wysokości wskazanej w kolumnie N i O."/>
    <s v="Konieczność zapewnienia ciągłości i prawidłowego funkcjonowania Zintegrowanej Infrastruktury Rejestrów (ZIR) "/>
    <n v="130"/>
    <n v="0"/>
    <n v="0"/>
    <n v="0"/>
    <n v="0"/>
    <s v="umowa"/>
    <s v="umowa"/>
    <s v="1/DIT/U/COI/2016"/>
    <s v="COI"/>
  </r>
  <r>
    <x v="0"/>
    <x v="12"/>
    <m/>
    <m/>
    <m/>
    <m/>
    <m/>
    <n v="4540"/>
    <n v="0"/>
    <s v="16.1.2.1"/>
    <m/>
    <s v="Opłata roczna  za utrzymanie adresacji IP (RIPE NCC)."/>
    <s v="Opłata roczna  za utrzymanie adresacji IP (RIPE NCC)."/>
    <n v="10"/>
    <n v="10"/>
    <n v="10"/>
    <n v="10"/>
    <n v="10"/>
    <m/>
    <m/>
    <m/>
    <m/>
  </r>
  <r>
    <x v="0"/>
    <x v="12"/>
    <s v="inny - środki krajowe"/>
    <s v="Podróże służbowe krajowe"/>
    <m/>
    <m/>
    <m/>
    <n v="4410"/>
    <n v="0"/>
    <s v="nd"/>
    <m/>
    <s v="Podróże służbowe krajowe"/>
    <s v="Podróże służbowe krajowe"/>
    <m/>
    <m/>
    <m/>
    <m/>
    <m/>
    <m/>
    <m/>
    <m/>
    <m/>
  </r>
  <r>
    <x v="0"/>
    <x v="12"/>
    <s v="inny - środki krajowe"/>
    <s v="Podróże służbowe zagraniczne"/>
    <m/>
    <m/>
    <m/>
    <n v="4420"/>
    <n v="0"/>
    <s v="nd"/>
    <m/>
    <s v="Podróże służbowe zagraniczne"/>
    <s v="Podróże służbowe zagraniczne"/>
    <m/>
    <m/>
    <m/>
    <m/>
    <m/>
    <m/>
    <m/>
    <m/>
    <m/>
  </r>
  <r>
    <x v="0"/>
    <x v="12"/>
    <s v="inny - środki krajowe"/>
    <s v="szacunkowe koszty w zakresie spraw sądowych administracyjnych na lata 2025-2027"/>
    <m/>
    <m/>
    <m/>
    <s v="4600/4610"/>
    <n v="0"/>
    <s v="nd"/>
    <m/>
    <s v="Koszty w zakresie spraw sądowych."/>
    <s v="szacunkowe koszty w zakresie spraw sądowych administracyjnych na lata 2025-2027 (sprawy nowe - w oparciu o ilość spraw z lat ubiegłych)"/>
    <n v="23"/>
    <n v="17"/>
    <m/>
    <m/>
    <m/>
    <m/>
    <m/>
    <m/>
    <m/>
  </r>
  <r>
    <x v="0"/>
    <x v="13"/>
    <s v="BP"/>
    <s v="Organizacja krajowej edycji konferencji Forum Zarządzania Internetem IGF POLSKA 2025"/>
    <s v="III kw. 2024"/>
    <s v="n.d."/>
    <n v="2025"/>
    <n v="4000"/>
    <n v="0"/>
    <s v="16.5.2.2"/>
    <s v="budżet państwa (z wyjątkiem GDDKiA)"/>
    <s v="Organizacja krajowej edycji konferencji Forum Zarządzania Internetem IGF POLSKA 2025"/>
    <s v="Organizacja krajowej edycji konferencji Forum Zarządzania Internetem IGF POLSKA 2025"/>
    <n v="400"/>
    <n v="400"/>
    <n v="400"/>
    <m/>
    <m/>
    <s v="planowanie"/>
    <s v="umowa"/>
    <s v="b.d."/>
    <s v="b.d."/>
  </r>
  <r>
    <x v="0"/>
    <x v="13"/>
    <s v="BP"/>
    <s v="Dodatkowe koszty związane z obsługą eventową w celu organizacji Szczytu Cyfrowego (Digital Summit) oraz innych wydażeń dot. kwestii międzynarodowych w 2025 r."/>
    <s v="III/IV kw. 2024"/>
    <s v="n.d."/>
    <s v="II/III kw. 2025"/>
    <n v="4000"/>
    <n v="0"/>
    <s v="16.5.2.2."/>
    <s v="budżet państwa (z wyjątkiem GDDKiA)"/>
    <s v="Dodatkowe koszty związane z obsługą eventową w celu organizacji Szczytu Cyfrowego (Digital Summit) oraz innych wydażeń dot. kwestii międzynarodowych w 2025 r."/>
    <s v="Organizacja Szczytu Cyfrowego (Digital Summit) w ramach Przewodnictwa Polski w Radzie Unii Europejskiej w I połowie 2025 r. - dodatkowe koszty eventowe"/>
    <n v="900"/>
    <m/>
    <n v="0"/>
    <m/>
    <m/>
    <s v="planowane"/>
    <s v="umowa/y"/>
    <s v="b.d."/>
    <s v="b.d."/>
  </r>
  <r>
    <x v="0"/>
    <x v="13"/>
    <s v="BP"/>
    <s v="Koszt kolacji dla uczestników Szczytu Cyfrowego (Digital Summit) I oraz II dnia konferencji"/>
    <s v="III/IV kw. 2024"/>
    <s v="n.d."/>
    <s v="II/III kw. 2025"/>
    <n v="4000"/>
    <n v="0"/>
    <s v="16.5.2.2."/>
    <s v="budżet państwa (z wyjątkiem GDDKiA)"/>
    <s v="Koszt kolacji dla uczestników Szczytu Cyfrowego (Digital Summit) I oraz II dnia konferencji"/>
    <s v="Koszt kolacji dla uczestników Szczytu Cyfrowego (Digital Summit) I oraz II dnia konferencji"/>
    <n v="358"/>
    <m/>
    <n v="0"/>
    <m/>
    <m/>
    <s v="planowane"/>
    <s v="umowa/y"/>
    <s v="b.d."/>
    <s v="b.d."/>
  </r>
  <r>
    <x v="0"/>
    <x v="13"/>
    <s v="BP"/>
    <s v="Konferencja dot. dyplomacji cyfrowa - dodatkowe koszty eventowe"/>
    <s v="III/IV kw. 2024"/>
    <s v="n.d."/>
    <n v="2025"/>
    <n v="4000"/>
    <n v="0"/>
    <s v="16.5.2.2"/>
    <s v="budżet państwa (z wyjątkiem GDDKiA)"/>
    <s v="Konferencja dot. dyplomacji cyfrowa - dodatkowe koszty eventowe"/>
    <s v="Konferencja dot. dyplomacji cyfrowa - dodatkowe koszty eventowe, w tym kolacja i hotel dla uczestników konferencji"/>
    <n v="173"/>
    <n v="0"/>
    <n v="0"/>
    <m/>
    <m/>
    <s v="planowanie"/>
    <s v="umowa"/>
    <s v="b.d."/>
    <s v="b.d."/>
  </r>
  <r>
    <x v="0"/>
    <x v="13"/>
    <s v="BP"/>
    <s v="Kolacja dla uczestników konferencji dot. dyplomacji cyfrowej oraz zakwaterowanie dla panelistów"/>
    <s v="IV kw. 2024"/>
    <s v="n.d."/>
    <n v="2025"/>
    <n v="4000"/>
    <n v="0"/>
    <s v="16.5.2.2."/>
    <s v="budżet państwa (z wyjątkiem GDDKiA)"/>
    <s v="Kolacja dla uczestników konferencji dot. dyplomacji cyfrowej oraz zakwaterowanie dla panelistów"/>
    <s v="Kolacja dla uczestników konferencji dot. dyplomacji cyfrowej oraz zakwaterowanie dla panelistów"/>
    <n v="87"/>
    <n v="0"/>
    <n v="0"/>
    <n v="0"/>
    <n v="0"/>
    <s v="planowanie"/>
    <s v="umowa"/>
    <s v="b.d."/>
    <s v="b.d."/>
  </r>
  <r>
    <x v="0"/>
    <x v="13"/>
    <s v="BP"/>
    <s v="Spotkanie ambasadorów UE ds. cyfrowych - dodatkowe koszty eventowe_x000a_ "/>
    <s v="III/IV kw. 2024"/>
    <s v="n.d."/>
    <n v="2025"/>
    <n v="4000"/>
    <n v="0"/>
    <s v="16.5.2.2"/>
    <s v="budżet państwa (z wyjątkiem GDDKiA)"/>
    <s v="Spotkanie ambasadorów UE ds. cyfrowych - dodatkowe koszty eventowe_x000a_ "/>
    <s v="Spotkanie ambasadorów UE ds. cyfrowych - dodatkowe koszty eventowe, w tym kolacja dla uczestnków spotkania_x000a_ "/>
    <n v="71"/>
    <n v="0"/>
    <n v="0"/>
    <m/>
    <m/>
    <s v="planowanie"/>
    <s v="umowa"/>
    <s v="b.d."/>
    <s v="b.d."/>
  </r>
  <r>
    <x v="0"/>
    <x v="13"/>
    <s v="BP"/>
    <s v="Kolacja dla uczestników spotkania ambasadorów UE ds. cyfrowych"/>
    <s v="IV kw. 2024"/>
    <s v="n.d."/>
    <n v="2025"/>
    <n v="4000"/>
    <n v="0"/>
    <s v="16.5.2.2"/>
    <s v="budżet państwa (z wyjątkiem GDDKiA)"/>
    <s v="Kolacja dla uczestników spotkania ambasadorów UE ds..cyfrowych"/>
    <s v="Kolacja dla uczestników spotkania ambasadorów UE ds. cyfrowych"/>
    <n v="19"/>
    <n v="0"/>
    <n v="0"/>
    <n v="0"/>
    <m/>
    <s v="planowanie"/>
    <s v="umowa"/>
    <s v="b.d."/>
    <s v="b.d."/>
  </r>
  <r>
    <x v="0"/>
    <x v="13"/>
    <s v="BP"/>
    <s v="Organizacja śniadania DDN oraz koktajlu dla uczestników konferencji Wirtualne Światy"/>
    <s v="IV kw. 2024"/>
    <s v="n.d."/>
    <n v="2025"/>
    <n v="4000"/>
    <n v="0"/>
    <s v="16.5.2.2"/>
    <s v="budżet państwa (z wyjątkiem GDDKiA)"/>
    <s v="Organizacja śniadania DDN oraz koktajlu dla uczestników konferencji Wirtualne Światy."/>
    <s v="Organizacja śniadania DDN oraz koktajlu dla uczestników konferencji Wirtualne Światy"/>
    <n v="85"/>
    <n v="0"/>
    <n v="0"/>
    <n v="0"/>
    <n v="0"/>
    <s v="planowanie"/>
    <s v="umowa"/>
    <s v="b.d."/>
    <s v="b.d."/>
  </r>
  <r>
    <x v="0"/>
    <x v="13"/>
    <s v="BP"/>
    <s v="Usługa rezerwacji i dostarczania biletów lotniczych i kolejowych na zagraniczne i krajowe przewozy pasażerskie oraz dodatkowe usługi powiązane na potrzeby całego MC."/>
    <s v="III kw.2024"/>
    <s v="n.d."/>
    <s v="2024-2026"/>
    <n v="4420"/>
    <n v="0"/>
    <s v="22.1.1.1, 16.5.2.1., 16.5.2.2., 16.5.3.2., 16.5.3.3., 16.5.2.1., 17.2.1.5., 16.1.2.1., 16.5.1.2., 6.3.1.1., 6.3.1.4"/>
    <s v="budżet państwa (z wyjątkiem GDDKiA)"/>
    <s v="Usługa rezerwacji i dostarczania biletów lotniczych i kolejowych na zagraniczne i krajowe przewozy pasażerskie oraz dodatkowe usługi powiązane na potrzeby całego MC."/>
    <s v="Usługa rezerwacji i dostarczania biletów lotniczych i kolejowych na zagraniczne i krajowe przewozy pasażerskie oraz dodatkowe usługi powiązane na potrzeby całego MC."/>
    <n v="1600"/>
    <n v="330"/>
    <n v="0"/>
    <m/>
    <m/>
    <s v="w realizacji"/>
    <s v="umowa"/>
    <s v="nr wniosku a_x0009__x000a_173/DWM/24"/>
    <s v="b.d."/>
  </r>
  <r>
    <x v="0"/>
    <x v="13"/>
    <s v="BP"/>
    <s v="Usługa rezerwacji i dostarczania biletów lotniczych i kolejowych na zagraniczne i krajowe przewozy pasażerskie oraz dodatkowe usługi powiązane na potrzeby całego MC."/>
    <m/>
    <m/>
    <s v="2024-2026"/>
    <n v="4410"/>
    <m/>
    <m/>
    <m/>
    <s v="Usługa rezerwacji i dostarczania biletów lotniczych i kolejowych na zagraniczne i krajowe przewozy pasażerskie oraz dodatkowe usługi powiązane na potrzeby całego MC."/>
    <s v="Usługa rezerwacji i dostarczania biletów lotniczych i kolejowych na zagraniczne i krajowe przewozy pasażerskie oraz dodatkowe usługi powiązane na potrzeby całego MC."/>
    <n v="50"/>
    <n v="20"/>
    <m/>
    <m/>
    <m/>
    <m/>
    <m/>
    <m/>
    <m/>
  </r>
  <r>
    <x v="0"/>
    <x v="13"/>
    <s v="BP"/>
    <s v="Usługa rezerwacji i dostarczania biletów lotniczych i kolejowych na zagraniczne i krajowe przewozy pasażerskie oraz dodatkowe usługi powiązane na potrzeby całego MC."/>
    <s v="II kw.2025"/>
    <s v="n.d."/>
    <s v="2026-2027"/>
    <n v="4420"/>
    <n v="0"/>
    <s v="22.1.1.1, 16.5.2.1., 16.5.2.2., 16.5.3.2., 16.5.3.3., 16.5.2.1., 17.2.1.5., 16.1.2.1., 16.5.1.2., 6.3.1.1., 6.3.1.4"/>
    <s v="budżet państwa (z wyjątkiem GDDKiA)"/>
    <s v="Usługa rezerwacji i dostarczania biletów lotniczych i kolejowych na zagraniczne i krajowe przewozy pasażerskie oraz dodatkowe usługi powiązane na potrzeby całego MC."/>
    <s v="Usługa rezerwacji i dostarczania biletów lotniczych i kolejowych na zagraniczne i krajowe przewozy pasażerskie oraz dodatkowe usługi powiązane na potrzeby całego MC."/>
    <n v="0"/>
    <n v="1450"/>
    <n v="1450"/>
    <n v="1450"/>
    <n v="1450"/>
    <s v="planowane (zamówienie centralne)"/>
    <s v="umowa"/>
    <s v="b.d."/>
    <s v="b.d."/>
  </r>
  <r>
    <x v="0"/>
    <x v="13"/>
    <s v="BP"/>
    <s v="Usługa rezerwacji i dostarczania biletów lotniczych i kolejowych na zagraniczne i krajowe przewozy pasażerskie oraz dodatkowe usługi powiązane na potrzeby całego MC."/>
    <s v="II kw.2025"/>
    <s v="n.d."/>
    <s v="2026-2027"/>
    <n v="4410"/>
    <n v="0"/>
    <s v="22.1.1.1, 16.5.2.1., 16.5.2.2., 16.5.3.2., 16.5.3.3., 16.5.2.1., 17.2.1.5., 16.1.2.1., 16.5.1.2., 6.3.1.1., 6.3.1.4"/>
    <m/>
    <s v="Usługa rezerwacji i dostarczania biletów lotniczych i kolejowych na zagraniczne i krajowe przewozy pasażerskie oraz dodatkowe usługi powiązane na potrzeby całego MC."/>
    <s v="Usługa rezerwacji i dostarczania biletów lotniczych i kolejowych na zagraniczne i krajowe przewozy pasażerskie oraz dodatkowe usługi powiązane na potrzeby całego MC."/>
    <m/>
    <n v="50"/>
    <n v="50"/>
    <n v="50"/>
    <n v="50"/>
    <m/>
    <m/>
    <m/>
    <m/>
  </r>
  <r>
    <x v="0"/>
    <x v="13"/>
    <s v="BP"/>
    <s v="Usługa tłumaczeń specjalistycznych pisemnych i ustnych oraz weryfikacja tłumaczeń specjalistycznych pisemnych na potrzeby MC."/>
    <s v="III/IV kw. 2024"/>
    <s v="n.d."/>
    <s v="2025-2026"/>
    <n v="4380"/>
    <n v="0"/>
    <s v="Brak możliwości wskazania konkretnego działania. Rekomendowany sposób rozliczania w ramach 2024.KP. Najbardziej prawdopodobne nr działań: 16.5.2.1., 16.5.2.2., 16.5.3.3."/>
    <s v="budżet państwa (z wyjątkiem GDDKiA)"/>
    <s v="Usługa tłumaczeń specjalistycznych pisemnych i ustnych oraz weryfikacja tłumaczeń specjalistycznych pisemnych na potrzeby MC."/>
    <s v="Usługa tłumaczeń specjalistycznych pisemnych i ustnych oraz weryfikacja tłumaczeń specjalistycznych pisemnych na potrzeby MC."/>
    <n v="300"/>
    <n v="200"/>
    <n v="200"/>
    <m/>
    <m/>
    <s v="planowanie"/>
    <s v="umowa"/>
    <s v="b.d."/>
    <s v="b.d."/>
  </r>
  <r>
    <x v="0"/>
    <x v="13"/>
    <s v="BP"/>
    <s v="Usługa korzystania z saloników VIP oraz inne dodatkowe usługi ułatwiające odprawę w portach lotniczych na terytorium RP na potrzeby MC. "/>
    <s v="IV kw. 2024"/>
    <s v="n.d."/>
    <n v="2025"/>
    <n v="4420"/>
    <n v="0"/>
    <s v="Brak możliwości wskazania konkretnego działania. Rekomendowany sposób rozliczania w ramach 2024.KP. Najbardziej prawdopodobne nr działań: 16.5.2.2."/>
    <s v="budżet państwa (z wyjątkiem GDDKiA)"/>
    <s v="Usługa korzystania z saloników VIP oraz inne dodatkowe usługi ułatwiające odprawę w portach lotniczych na terytorium RP na potrzeby MC. "/>
    <s v="Usługa korzystania z saloników VIP oraz inne dodatkowe usługi ułatwiające odprawę w portach lotniczych na terytorium RP na potrzeby MC. "/>
    <n v="10"/>
    <n v="8"/>
    <n v="8"/>
    <m/>
    <m/>
    <s v="planowanie"/>
    <s v="umowa"/>
    <s v="b.d."/>
    <s v="b.d."/>
  </r>
  <r>
    <x v="0"/>
    <x v="13"/>
    <s v="BP"/>
    <s v="Usługa korzystania z saloników VIP oraz inne dodatkowe usługi ułatwiające odprawę w portach lotniczych na terytorium RP na potrzeby MC. "/>
    <s v="IV kw. 2024"/>
    <s v="n.d."/>
    <n v="2025"/>
    <n v="4410"/>
    <n v="0"/>
    <s v="Brak możliwości wskazania konkretnego działania. Rekomendowany sposób rozliczania w ramach 2024.KP. Najbardziej prawdopodobne nr działań: 16.5.2.2."/>
    <m/>
    <s v="Usługa korzystania z saloników VIP oraz inne dodatkowe usługi ułatwiające odprawę w portach lotniczych na terytorium RP na potrzeby MC. "/>
    <s v="Usługa korzystania z saloników VIP oraz inne dodatkowe usługi ułatwiające odprawę w portach lotniczych na terytorium RP na potrzeby MC. "/>
    <n v="5"/>
    <n v="2"/>
    <n v="2"/>
    <m/>
    <m/>
    <m/>
    <m/>
    <m/>
    <m/>
  </r>
  <r>
    <x v="0"/>
    <x v="13"/>
    <s v="BP"/>
    <s v="Koszty związane z organizacją spotkań i delegacji zagranicznych kierownictwa MC (w tym np. koszty do refundacji placówek dyplomatycznych)."/>
    <s v="n.d."/>
    <s v="n.d."/>
    <n v="2025"/>
    <n v="4420"/>
    <n v="0"/>
    <s v="16.5.2.2"/>
    <s v="budżet państwa (z wyjątkiem GDDKiA)"/>
    <s v="Koszty związane z organizacją spotkań i delegacji zagranicznych kierownictwa MC (w tym np. koszty do refundacji placówek dyplomatycznych)."/>
    <s v="Koszty związane z organizacją spotkań i delegacji zagranicznych kierownictwa MC (w tym np. koszty do refundacji placówek dyplomatycznych)."/>
    <n v="1400"/>
    <n v="1000"/>
    <n v="1000"/>
    <m/>
    <m/>
    <s v="n.d."/>
    <s v="n.d."/>
    <s v="n.d."/>
    <s v="n.d."/>
  </r>
  <r>
    <x v="0"/>
    <x v="13"/>
    <s v="BP"/>
    <s v="Koszty związane z ew. wykorzystaniem specjalnego transportu lotniczego"/>
    <s v="n.d."/>
    <s v="n.d."/>
    <n v="2025"/>
    <n v="4000"/>
    <n v="0"/>
    <s v="16.5.2.2"/>
    <s v="budżet państwa (z wyjątkiem GDDKiA)"/>
    <s v="Koszty związane z ew. wykorzystaniem specjalnego transportu lotniczego"/>
    <s v="Koszty związane z ew. wykorzystaniem specjalnego transportu lotniczego"/>
    <n v="80"/>
    <n v="50"/>
    <n v="50"/>
    <m/>
    <m/>
    <s v="n.d."/>
    <s v="n.d."/>
    <s v="n.d."/>
    <s v="n.d."/>
  </r>
  <r>
    <x v="0"/>
    <x v="13"/>
    <s v="BP"/>
    <s v="Ekspertyzy (nie dotyczy ekspertyz na potrzeby PREZ)"/>
    <s v="n.d."/>
    <s v="n.d."/>
    <n v="2025"/>
    <n v="4000"/>
    <n v="0"/>
    <s v="16.5.2.2"/>
    <s v="budżet państwa (z wyjątkiem GDDKiA)"/>
    <s v="Ekspertyzy (nie dotyczy ekspertyz na potrzeby PREZ)"/>
    <s v="Ekspertyzy (nie dotyczy ekspertyz na potrzeby PREZ)"/>
    <n v="20"/>
    <n v="20"/>
    <n v="20"/>
    <m/>
    <m/>
    <s v="planowanie"/>
    <s v="umowa"/>
    <s v="b.d."/>
    <m/>
  </r>
  <r>
    <x v="0"/>
    <x v="13"/>
    <s v="BP"/>
    <s v="Delegacje zagraniczne MC"/>
    <s v="n.d."/>
    <s v="n.d."/>
    <n v="2025"/>
    <n v="4420"/>
    <n v="0"/>
    <s v="16.5.2.2."/>
    <s v="budżet państwa (z wyjątkiem GDDKiA)"/>
    <s v="Delegacje zagraniczne MC"/>
    <s v="Delegacje zagraniczne MC"/>
    <n v="3000"/>
    <n v="4276"/>
    <n v="4276"/>
    <m/>
    <m/>
    <s v="planowanie"/>
    <s v="n.d."/>
    <s v="n.d."/>
    <s v="n.d."/>
  </r>
  <r>
    <x v="0"/>
    <x v="13"/>
    <s v="BP"/>
    <s v=" Gry symulacyjne"/>
    <s v="n.d."/>
    <s v="n.d."/>
    <n v="2025"/>
    <n v="4000"/>
    <n v="0"/>
    <s v="16.5.2.2"/>
    <s v="budżet państwa (z wyjątkiem GDDKiA)"/>
    <s v=" Gry symulacyjne"/>
    <s v=" Gry symulacyjne"/>
    <n v="150"/>
    <n v="0"/>
    <n v="0"/>
    <m/>
    <m/>
    <s v="planowanie"/>
    <s v="umowa"/>
    <s v="b.d."/>
    <s v="b.d."/>
  </r>
  <r>
    <x v="0"/>
    <x v="13"/>
    <s v="BP"/>
    <s v="Zapewnienie udziału panelistów w wydażeniach międzynarodowych  (wynagrodzenia, diety, noclegi, transport, itp.)"/>
    <s v="n.d."/>
    <s v="n.d."/>
    <n v="2025"/>
    <n v="4170"/>
    <n v="0"/>
    <s v="16.5.2.2"/>
    <s v="budżet państwa (z wyjątkiem GDDKiA)"/>
    <s v="Zapewnienie udziału panelistów w wydażeniach międzynarodowych wymagających zapłaty wynagrodzenia oraz innych kosztów  (diety, noclegi, transport, itp.)"/>
    <s v="Zapewnienie udziału panelistów w wydażeniach międzynarodowych wymagających zapłaty wynagrodzenia oraz innych kosztów  (diety, noclegi, transport, itp.)"/>
    <n v="150"/>
    <n v="0"/>
    <n v="0"/>
    <m/>
    <m/>
    <s v="planowanie"/>
    <s v="umowa"/>
    <s v="b.d."/>
    <s v="b.d."/>
  </r>
  <r>
    <x v="0"/>
    <x v="13"/>
    <s v="BP"/>
    <s v="Umowy zleceń (dodatkowi pracownicy)"/>
    <s v="n.d."/>
    <s v="n.d."/>
    <n v="2025"/>
    <n v="4170"/>
    <n v="0"/>
    <s v="16.5.2.2"/>
    <s v="budżet państwa (z wyjątkiem GDDKiA)"/>
    <s v="Umowy zleceń (dodatkowi pracownicy)"/>
    <s v="Umowy zleceń (dodatkowi pracownicy)"/>
    <n v="300"/>
    <n v="0"/>
    <n v="0"/>
    <m/>
    <m/>
    <s v="planowanie"/>
    <s v="umowa"/>
    <s v="b.d."/>
    <s v="b.d."/>
  </r>
  <r>
    <x v="0"/>
    <x v="13"/>
    <s v="BP"/>
    <s v="Umowy zleceń (tłumacze podczas delegacji zagranicznych)"/>
    <s v="n.d."/>
    <s v="n.d."/>
    <n v="2025"/>
    <n v="4170"/>
    <n v="0"/>
    <s v="16.5.2.2"/>
    <s v="budżet państwa (z wyjątkiem GDDKiA)"/>
    <s v="Umowy zleceń (tłumacze podczas delegacji zagranicznych)"/>
    <s v="Umowy zleceń (tłumacze podczas delegacji zagranicznych)"/>
    <n v="150"/>
    <n v="0"/>
    <n v="0"/>
    <m/>
    <m/>
    <s v="planowanie"/>
    <s v="umowa"/>
    <s v="b.d."/>
    <s v="b.d."/>
  </r>
  <r>
    <x v="0"/>
    <x v="14"/>
    <s v="nie dotyczy"/>
    <m/>
    <s v="nie dotyczy"/>
    <s v="BP"/>
    <m/>
    <n v="4000"/>
    <n v="0"/>
    <s v="16.5.2.1."/>
    <s v="budżet państwa (z wyjątkiem GDDKiA)"/>
    <s v="Studia Wykonalności"/>
    <s v="Studia wykonalności dla nowych projektów FERC"/>
    <n v="100"/>
    <n v="0"/>
    <n v="0"/>
    <n v="0"/>
    <n v="0"/>
    <s v="procedowana umowa/porozumienie"/>
    <s v="Wniosek "/>
    <s v="158/C/DZD/23"/>
    <s v="w toku"/>
  </r>
  <r>
    <x v="0"/>
    <x v="14"/>
    <s v="nie dotyczy"/>
    <m/>
    <s v="nie dotyczy"/>
    <s v="BP"/>
    <m/>
    <n v="4000"/>
    <n v="0"/>
    <s v="16.5.2.1."/>
    <s v="budżet państwa (z wyjątkiem GDDKiA)"/>
    <s v="Dzień Ochrony Danych Osobowych SPRP"/>
    <s v="cykliczne wydarzenie, raz w roku"/>
    <n v="80"/>
    <n v="50"/>
    <n v="50"/>
    <n v="0"/>
    <n v="0"/>
    <s v="planowane"/>
    <s v="nie dotyczy"/>
    <m/>
    <s v="nie dotyczy"/>
  </r>
  <r>
    <x v="0"/>
    <x v="14"/>
    <s v="nie dotyczy"/>
    <m/>
    <s v="nie dotyczy"/>
    <s v="BP"/>
    <m/>
    <n v="4000"/>
    <n v="0"/>
    <s v="16.5.2.1."/>
    <s v="budżet państwa (z wyjątkiem GDDKiA)"/>
    <s v="ewaluacja POD"/>
    <m/>
    <n v="0"/>
    <n v="0"/>
    <n v="0"/>
    <n v="0"/>
    <n v="0"/>
    <s v="umowa"/>
    <s v="umowa "/>
    <s v="483/DZD/23"/>
    <s v="z firmą  ASM RESEARCH SOLUTIONS STRATEGY Sp. z o.o."/>
  </r>
  <r>
    <x v="0"/>
    <x v="14"/>
    <s v="nie dotyczy"/>
    <m/>
    <s v="nie dotyczy"/>
    <s v="BP"/>
    <m/>
    <n v="4000"/>
    <n v="0"/>
    <s v="16.5.2.1."/>
    <s v="budżet państwa (z wyjątkiem GDDKiA)"/>
    <s v="Kampania informacyjno-promocyjna w Internecie zachęcająca do wykorzystywania otwartych zasobów cyfrowych kultury i nauki z portalu kronika.gov.pl ."/>
    <m/>
    <n v="0"/>
    <n v="0"/>
    <n v="0"/>
    <n v="0"/>
    <n v="0"/>
    <s v="umowa"/>
    <s v="umowa "/>
    <s v="196/DZD/2023 "/>
    <s v="z firmą Fabryka Marketingu Sp. z o.o."/>
  </r>
  <r>
    <x v="0"/>
    <x v="14"/>
    <s v="nie dotyczy"/>
    <m/>
    <s v="nie dotyczy"/>
    <s v="BP"/>
    <m/>
    <n v="4430"/>
    <n v="0"/>
    <s v="16.5.2.1."/>
    <s v="budżet państwa (z wyjątkiem GDDKiA)"/>
    <s v="mediacje Polcom"/>
    <m/>
    <n v="0"/>
    <n v="0"/>
    <n v="0"/>
    <n v="0"/>
    <n v="0"/>
    <s v="umowa"/>
    <s v="wniosek pn. &quot;Mediacje do umowy 743/DZD/20&quot;"/>
    <m/>
    <s v="Prokuratoria Generalna"/>
  </r>
  <r>
    <x v="0"/>
    <x v="14"/>
    <s v="nie dotyczy"/>
    <m/>
    <s v="nie dotyczy"/>
    <s v="BP"/>
    <m/>
    <n v="4000"/>
    <n v="0"/>
    <s v="16.5.2.1."/>
    <s v="budżet państwa (z wyjątkiem GDDKiA)"/>
    <s v="Partnerstwo w wydarzeniach promujących lub/i wykorzystujących dane z portalu dane.gov.pl"/>
    <m/>
    <n v="40"/>
    <n v="40"/>
    <n v="40"/>
    <n v="0"/>
    <n v="0"/>
    <s v="planowane"/>
    <s v="nie dotyczy"/>
    <m/>
    <s v="nie dotyczy"/>
  </r>
  <r>
    <x v="0"/>
    <x v="14"/>
    <s v="nie dotyczy"/>
    <m/>
    <s v="nie dotyczy"/>
    <s v="BP"/>
    <m/>
    <n v="4000"/>
    <n v="0"/>
    <s v="16.5.2.1."/>
    <s v="budżet państwa (z wyjątkiem GDDKiA)"/>
    <s v="Materiały informacyjno-promocyjne"/>
    <m/>
    <n v="0"/>
    <n v="35"/>
    <n v="0"/>
    <n v="0"/>
    <n v="0"/>
    <s v="planowane"/>
    <s v="nie dotyczy"/>
    <m/>
    <s v="nie dotyczy"/>
  </r>
  <r>
    <x v="0"/>
    <x v="14"/>
    <s v="nie dotyczy"/>
    <m/>
    <s v="nie dotyczy"/>
    <s v="BP"/>
    <m/>
    <n v="4000"/>
    <n v="0"/>
    <s v="16.5.2.1."/>
    <s v="budżet państwa (z wyjątkiem GDDKiA)"/>
    <s v="Przeprowadzenie warsztatów z zakresu otwierania danych dla pracowników jst"/>
    <m/>
    <n v="230"/>
    <n v="0"/>
    <n v="0"/>
    <n v="0"/>
    <n v="0"/>
    <s v="planowane"/>
    <s v="nie dotyczy"/>
    <m/>
    <s v="nie dotyczy"/>
  </r>
  <r>
    <x v="0"/>
    <x v="14"/>
    <s v="nie dotyczy"/>
    <m/>
    <s v="nie dotyczy"/>
    <s v="BP"/>
    <m/>
    <n v="4000"/>
    <n v="0"/>
    <s v="16.5.2.1."/>
    <s v="budżet państwa (z wyjątkiem GDDKiA)"/>
    <s v="Utrzymanie i obsługa domen internetowych niezbędnych do zapewnienia realizacji zadań Departamentu: w tym dane.gov.pl; data.gov.pl; kronika.gov.pl/certyfikaty"/>
    <m/>
    <n v="2"/>
    <n v="2"/>
    <n v="0"/>
    <n v="0"/>
    <n v="0"/>
    <s v="planowane"/>
    <s v="nie dotyczy"/>
    <m/>
    <s v="nie dotyczy"/>
  </r>
  <r>
    <x v="0"/>
    <x v="14"/>
    <s v="nie dotyczy"/>
    <m/>
    <s v="nie dotyczy"/>
    <s v="BP"/>
    <m/>
    <n v="4000"/>
    <n v="0"/>
    <s v="16.5.2.1."/>
    <s v="budżet państwa (z wyjątkiem GDDKiA)"/>
    <s v="Funkcjonowanie portalu danych (dane.gov.pl). Rozwój oprogramowania."/>
    <m/>
    <n v="0"/>
    <n v="6000"/>
    <n v="6000"/>
    <n v="0"/>
    <n v="0"/>
    <s v="planowane"/>
    <s v="nie dotyczy"/>
    <m/>
    <s v="nie dotyczy"/>
  </r>
  <r>
    <x v="0"/>
    <x v="14"/>
    <s v="nie dotyczy"/>
    <m/>
    <s v="nie dotyczy"/>
    <s v="BP"/>
    <m/>
    <n v="4000"/>
    <n v="0"/>
    <s v="16.5.2.1."/>
    <s v="budżet państwa (z wyjątkiem GDDKiA)"/>
    <s v="Ewaluacja Programu otwierania danych na lata 2021-2027"/>
    <m/>
    <n v="150"/>
    <n v="0"/>
    <n v="150"/>
    <n v="0"/>
    <n v="0"/>
    <s v="planowane"/>
    <s v="nie dotyczy"/>
    <m/>
    <s v="nie dotyczy"/>
  </r>
  <r>
    <x v="0"/>
    <x v="14"/>
    <s v="nie dotyczy"/>
    <m/>
    <s v="nie dotyczy"/>
    <s v="BP"/>
    <m/>
    <n v="4000"/>
    <n v="0"/>
    <s v="16.5.2.1."/>
    <s v="budżet państwa (z wyjątkiem GDDKiA)"/>
    <s v="Realizacja programu otwierania danych na lata 2021-2027"/>
    <m/>
    <n v="150"/>
    <n v="150"/>
    <n v="150"/>
    <n v="0"/>
    <n v="0"/>
    <s v="planowane"/>
    <s v="nie dotyczy"/>
    <m/>
    <s v="nie dotyczy"/>
  </r>
  <r>
    <x v="0"/>
    <x v="14"/>
    <s v="nie dotyczy"/>
    <m/>
    <s v="nie dotyczy"/>
    <s v="BP"/>
    <m/>
    <n v="4000"/>
    <n v="0"/>
    <s v="16.5.2.1."/>
    <s v="budżet państwa (z wyjątkiem GDDKiA)"/>
    <s v="Badania rynku otwartych danych, ponownego wykorzystywania i zarządzania danymi"/>
    <m/>
    <n v="0"/>
    <n v="0"/>
    <n v="0"/>
    <n v="0"/>
    <n v="0"/>
    <s v="planowane"/>
    <s v="nie dotyczy"/>
    <m/>
    <s v="nie dotyczy"/>
  </r>
  <r>
    <x v="0"/>
    <x v="14"/>
    <s v="nie dotyczy"/>
    <m/>
    <s v="nie dotyczy"/>
    <s v="BP"/>
    <m/>
    <n v="4000"/>
    <n v="0"/>
    <s v="16.5.2.1."/>
    <s v="budżet państwa (z wyjątkiem GDDKiA)"/>
    <s v="Ekspertyzy na potrzeby realizacji polityki otwartości i zarządzania danymi."/>
    <m/>
    <n v="150"/>
    <n v="0"/>
    <n v="0"/>
    <n v="0"/>
    <n v="0"/>
    <s v="planowane"/>
    <s v="nie dotyczy"/>
    <m/>
    <s v="nie dotyczy"/>
  </r>
  <r>
    <x v="0"/>
    <x v="14"/>
    <s v="nie dotyczy"/>
    <m/>
    <s v="nie dotyczy"/>
    <s v="BP"/>
    <m/>
    <n v="4000"/>
    <n v="0"/>
    <s v="15.1.2.3."/>
    <s v="budżet państwa (z wyjątkiem GDDKiA)"/>
    <s v="Koszty organizacji i obsługi  konferencji The Future is Data"/>
    <m/>
    <n v="619"/>
    <n v="0"/>
    <n v="0"/>
    <n v="0"/>
    <n v="0"/>
    <s v="Prezydencja"/>
    <s v="nie dotyczy"/>
    <m/>
    <s v="nie dotyczy"/>
  </r>
  <r>
    <x v="0"/>
    <x v="14"/>
    <s v="nie dotyczy"/>
    <m/>
    <s v="nie dotyczy"/>
    <s v="BP"/>
    <m/>
    <n v="4000"/>
    <n v="0"/>
    <s v="15.1.2.3."/>
    <s v="budżet państwa (z wyjątkiem GDDKiA)"/>
    <s v="Koszty organizacji i obsługi spotkań eksperckich i innych wydarzeń związanych z Prezydencją - dodatkowe koszty eventowe"/>
    <m/>
    <n v="100"/>
    <m/>
    <m/>
    <m/>
    <m/>
    <m/>
    <m/>
    <m/>
    <m/>
  </r>
  <r>
    <x v="0"/>
    <x v="14"/>
    <s v="nie dotyczy"/>
    <m/>
    <s v="nie dotyczy"/>
    <s v="BP"/>
    <m/>
    <n v="3030"/>
    <n v="0"/>
    <s v="16.5.2.1."/>
    <s v="budżet państwa (z wyjątkiem GDDKiA)"/>
    <s v="Program staży dla młodzieży w obszarze zarządzania danymi"/>
    <m/>
    <n v="50"/>
    <n v="50"/>
    <n v="0"/>
    <n v="0"/>
    <n v="0"/>
    <s v="planowane"/>
    <s v="nie dotyczy"/>
    <m/>
    <s v="nie dotyczy"/>
  </r>
  <r>
    <x v="0"/>
    <x v="14"/>
    <s v="nie dotyczy"/>
    <m/>
    <s v="nie dotyczy"/>
    <s v="BP"/>
    <m/>
    <n v="4000"/>
    <n v="0"/>
    <s v="16.5.2.1."/>
    <s v="budżet państwa (z wyjątkiem GDDKiA)"/>
    <s v="Funkcjonowanie Krajowego Repozytorium Obiektów Nauki i Kultury(kronika.gov.pl). Utrzymanie (rozwój) oprogramowania."/>
    <m/>
    <n v="7082"/>
    <n v="5497"/>
    <n v="3256"/>
    <n v="0"/>
    <n v="0"/>
    <s v="procedowana umowa/porozumienie"/>
    <s v=" umowa "/>
    <s v="743/DZD/20"/>
    <s v="z POLCOM ITS SPÓŁKA Z OGRANICZONĄ ODPOWIEDZIALNOŚCIĄ I WSPÓLNICY - SPÓŁKA KOMANDYTOWA"/>
  </r>
  <r>
    <x v="0"/>
    <x v="14"/>
    <s v="nie dotyczy"/>
    <m/>
    <s v="nie dotyczy"/>
    <s v="BP"/>
    <m/>
    <n v="4000"/>
    <n v="0"/>
    <s v="16.5.2.1."/>
    <s v="budżet państwa (z wyjątkiem GDDKiA)"/>
    <s v="Oprogramowanie "/>
    <s v="Oprogramowanie graficzne typu Adobe do opracowań info-promo dotyczących portali dane.gov.pl i kronika.gov.pl"/>
    <n v="5"/>
    <n v="5"/>
    <n v="5"/>
    <n v="0"/>
    <n v="0"/>
    <s v="planowane"/>
    <s v="nie dotyczy"/>
    <m/>
    <s v="nie dotyczy"/>
  </r>
  <r>
    <x v="0"/>
    <x v="14"/>
    <s v="nie dotyczy"/>
    <m/>
    <s v="nie dotyczy"/>
    <s v="BP"/>
    <m/>
    <n v="4000"/>
    <n v="0"/>
    <s v="16.5.2.1."/>
    <s v="budżet państwa (z wyjątkiem GDDKiA)"/>
    <s v="tłumaczenia materiałów"/>
    <s v="tłumaczenia materiałówm m.in. na portalu dane.gov.pl"/>
    <n v="0"/>
    <n v="0"/>
    <n v="0"/>
    <n v="0"/>
    <n v="0"/>
    <s v="planowane"/>
    <s v="nie dotyczy"/>
    <m/>
    <s v="nie dotyczy"/>
  </r>
  <r>
    <x v="0"/>
    <x v="14"/>
    <s v="nie dotyczy"/>
    <m/>
    <s v="nie dotyczy"/>
    <s v="BP"/>
    <m/>
    <n v="4000"/>
    <n v="0"/>
    <s v="16.5.2.1."/>
    <s v="budżet państwa (z wyjątkiem GDDKiA)"/>
    <s v="Prezydencja- organizacja wydarzeń"/>
    <s v="Koszty organizacji i obsługi spotkań eksperckich (nieformalne posiedzenia grup i komitetów roboczych) "/>
    <n v="0"/>
    <n v="0"/>
    <n v="0"/>
    <n v="0"/>
    <n v="0"/>
    <s v="Prezydencja"/>
    <s v="nie dotyczy"/>
    <m/>
    <s v="nie dotyczy"/>
  </r>
  <r>
    <x v="0"/>
    <x v="14"/>
    <s v="nie dotyczy"/>
    <m/>
    <s v="nie dotyczy"/>
    <s v="BP"/>
    <m/>
    <n v="4000"/>
    <n v="0"/>
    <s v="16.5.2.1."/>
    <s v="budżet państwa (z wyjątkiem GDDKiA)"/>
    <s v="Prezydencja- organizacja wydarzeń wg wyliczeń KPRM"/>
    <s v="Koszty organizacji i obsługi innych wydarzeń związanych z prezydencją"/>
    <n v="424"/>
    <n v="0"/>
    <n v="0"/>
    <n v="0"/>
    <n v="0"/>
    <s v="Prezydencja"/>
    <s v="nie dotyczy"/>
    <m/>
    <s v="nie dotyczy"/>
  </r>
  <r>
    <x v="0"/>
    <x v="14"/>
    <s v="nie dotyczy"/>
    <m/>
    <s v="nie dotyczy"/>
    <s v="BP"/>
    <m/>
    <n v="4420"/>
    <n v="0"/>
    <s v="16.5.2.1."/>
    <s v="budżet państwa (z wyjątkiem GDDKiA)"/>
    <s v="Prezydencja- oddelegowanie na wsparcie SP RP"/>
    <s v="pochodne wynagrodzenie"/>
    <n v="94"/>
    <n v="0"/>
    <n v="0"/>
    <n v="0"/>
    <n v="0"/>
    <s v="Prezydencja"/>
    <s v="nie dotyczy"/>
    <m/>
    <s v="nie dotyczy"/>
  </r>
  <r>
    <x v="0"/>
    <x v="14"/>
    <s v="nie dotyczy"/>
    <m/>
    <s v="nie dotyczy"/>
    <s v="BP"/>
    <m/>
    <n v="4120"/>
    <n v="0"/>
    <s v="16.5.2.1."/>
    <s v="budżet państwa (z wyjątkiem GDDKiA)"/>
    <s v="Prezydencja- wynagrodzenie"/>
    <s v="pochodne wynagrodzenie"/>
    <m/>
    <m/>
    <m/>
    <m/>
    <m/>
    <s v="Prezydencja"/>
    <s v="nie dotyczy"/>
    <m/>
    <s v="nie dotyczy"/>
  </r>
  <r>
    <x v="0"/>
    <x v="14"/>
    <s v="nie dotyczy"/>
    <m/>
    <s v="nie dotyczy"/>
    <s v="BP"/>
    <m/>
    <n v="4010"/>
    <n v="0"/>
    <s v="16.5.2.1."/>
    <s v="budżet państwa (z wyjątkiem GDDKiA)"/>
    <s v="Prezydencja- wynagrodzenie"/>
    <s v="dodatkowy etat dla prezydencji - wynagrodzenie"/>
    <m/>
    <m/>
    <m/>
    <m/>
    <m/>
    <s v="Prezydencja"/>
    <s v="nie dotyczy"/>
    <m/>
    <s v="nie dotyczy"/>
  </r>
  <r>
    <x v="0"/>
    <x v="14"/>
    <s v="nie dotyczy"/>
    <m/>
    <s v="nie dotyczy"/>
    <s v="BP"/>
    <m/>
    <n v="4040"/>
    <n v="0"/>
    <s v="16.5.2.1."/>
    <s v="budżet państwa (z wyjątkiem GDDKiA)"/>
    <s v="Prezydencja- wynagrodzenie"/>
    <s v="dodatkowy etat dla prezydencji-trzynastka"/>
    <m/>
    <m/>
    <m/>
    <m/>
    <m/>
    <s v="Prezydencja"/>
    <s v="nie dotyczy"/>
    <m/>
    <s v="nie dotyczy"/>
  </r>
  <r>
    <x v="0"/>
    <x v="14"/>
    <s v="nie dotyczy"/>
    <m/>
    <s v="nie dotyczy"/>
    <s v="BP"/>
    <m/>
    <n v="4430"/>
    <n v="0"/>
    <s v="16.5.2.1."/>
    <s v="budżet państwa (z wyjątkiem GDDKiA)"/>
    <s v="Pozew o zapłatę kar umownych nałożonych w związku z nieprawidłowościami w realizacji umowy z dnia 6 maja 2019 r. nr 10/DODiRK/KRONIK@/2019"/>
    <m/>
    <n v="25"/>
    <n v="25"/>
    <n v="0"/>
    <n v="0"/>
    <n v="0"/>
    <s v="planowane"/>
    <s v="nie dotyczy"/>
    <m/>
    <s v="nie dotyczy"/>
  </r>
  <r>
    <x v="0"/>
    <x v="14"/>
    <s v="nie dotyczy"/>
    <m/>
    <s v="nie dotyczy"/>
    <s v="BP"/>
    <m/>
    <n v="4430"/>
    <n v="0"/>
    <s v="16.5.2.1."/>
    <s v="budżet państwa (z wyjątkiem GDDKiA)"/>
    <s v="Pozew o zapłatę w związku ze świadczonymi usługami ponad umowę z dnia 6 maja 2019 r. nr 10/DODiRK/KRONIK@/2019"/>
    <m/>
    <n v="25"/>
    <n v="1900"/>
    <n v="0"/>
    <n v="0"/>
    <n v="0"/>
    <s v="planowane"/>
    <s v="nie dotyczy"/>
    <m/>
    <s v="nie dotyczy"/>
  </r>
  <r>
    <x v="0"/>
    <x v="14"/>
    <s v="nie dotyczy"/>
    <m/>
    <s v="nie dotyczy"/>
    <s v="BP"/>
    <m/>
    <n v="4420"/>
    <n v="0"/>
    <s v="16.5.2.1."/>
    <s v="budżet państwa (z wyjątkiem GDDKiA)"/>
    <s v="Prezydencja - delegacje związane "/>
    <s v="spotkania grupy DAPIX w 2025 w Brukseli"/>
    <m/>
    <m/>
    <n v="0"/>
    <n v="0"/>
    <n v="0"/>
    <s v="planowane"/>
    <s v="nie dotyczy"/>
    <m/>
    <s v="nie dotyczy"/>
  </r>
  <r>
    <x v="0"/>
    <x v="14"/>
    <s v="nie dotyczy"/>
    <m/>
    <s v="nie dotyczy"/>
    <s v="BP"/>
    <m/>
    <n v="4420"/>
    <n v="0"/>
    <s v="16.5.2.1."/>
    <s v="budżet państwa (z wyjątkiem GDDKiA)"/>
    <s v="Prezydencja - delegacje związane "/>
    <s v="  trilogi w Brukseli dla projektu rozporządzenia wykonawczego do RODO"/>
    <m/>
    <m/>
    <n v="0"/>
    <n v="0"/>
    <n v="0"/>
    <s v="planowane"/>
    <s v="nie dotyczy"/>
    <m/>
    <s v="nie dotyczy"/>
  </r>
  <r>
    <x v="0"/>
    <x v="14"/>
    <s v="nie dotyczy"/>
    <m/>
    <s v="nie dotyczy"/>
    <s v="BP"/>
    <m/>
    <n v="4430"/>
    <n v="0"/>
    <s v="16.5.2.1."/>
    <s v="budżet państwa (z wyjątkiem GDDKiA)"/>
    <s v="Postępowania admistracyjnosądowe przed WSA i NSA "/>
    <m/>
    <n v="2"/>
    <n v="2"/>
    <n v="2"/>
    <n v="0"/>
    <m/>
    <s v="planowane"/>
    <s v="nie dotyczy"/>
    <s v="nie dotyczy"/>
    <s v="nie dotyczy"/>
  </r>
  <r>
    <x v="0"/>
    <x v="14"/>
    <s v="nie dotyczy"/>
    <m/>
    <s v="nie dotyczy"/>
    <s v="BP"/>
    <m/>
    <n v="4000"/>
    <n v="0"/>
    <s v="16.5.2.1."/>
    <s v="budżet państwa (z wyjątkiem GDDKiA)"/>
    <s v="Koszty organizacji i obsługi spotkań eksperckich i innych wydarzeń związanych z Prezydencją"/>
    <m/>
    <m/>
    <n v="0"/>
    <n v="0"/>
    <n v="0"/>
    <n v="0"/>
    <s v="planowane"/>
    <s v="nie dotyczy"/>
    <m/>
    <s v="nie dotyczy"/>
  </r>
  <r>
    <x v="0"/>
    <x v="14"/>
    <s v="nie dotyczy"/>
    <m/>
    <s v="nie dotyczy"/>
    <s v="BP"/>
    <m/>
    <n v="4410"/>
    <n v="0"/>
    <s v="16.5.2.1."/>
    <s v="budżet państwa (z wyjątkiem GDDKiA)"/>
    <s v="delegacje krajowe nie związane z Prezydencją"/>
    <m/>
    <m/>
    <m/>
    <m/>
    <m/>
    <n v="0"/>
    <s v="planowane"/>
    <s v="nie dotyczy"/>
    <m/>
    <s v="nie dotyczy"/>
  </r>
  <r>
    <x v="0"/>
    <x v="14"/>
    <s v="nie dotyczy"/>
    <m/>
    <s v="nie dotyczy"/>
    <s v="BP"/>
    <m/>
    <n v="4420"/>
    <n v="0"/>
    <s v="16.5.2.1."/>
    <s v="budżet państwa (z wyjątkiem GDDKiA)"/>
    <s v="delegacje zagraniczne nie związane z Prezydencją"/>
    <m/>
    <m/>
    <m/>
    <m/>
    <m/>
    <n v="0"/>
    <s v="planowane"/>
    <s v="nie dotyczy"/>
    <m/>
    <s v="nie dotyczy"/>
  </r>
  <r>
    <x v="1"/>
    <x v="12"/>
    <s v="inny - środki krajowe"/>
    <s v="Usługa chmury obliczeniowej, niezbędnych do utrzymania wybranych systemów IT administracji publicznej, w szczególności obecnych klientów Rządowej Chmury Obliczeniowej (RChO)."/>
    <s v="w trakcie"/>
    <s v="nd"/>
    <s v="do 2024"/>
    <n v="4000"/>
    <n v="0"/>
    <s v="16.5.1.2"/>
    <s v="budżet państwa (z wyjątkiem GDDKiA)"/>
    <s v="usługa chmury obliczeniowej, niezbędnych do utrzymania wybranych systemów IT administracji publicznej, w szczególności obecnych klientów Rządowej Chmury Obliczeniowej (RChO)."/>
    <s v="usługa chmury obliczeniowej, niezbędnych do utrzymania wybranych systemów IT administracji publicznej, w szczególności obecnych klientów Rządowej Chmury Obliczeniowej (RChO)."/>
    <n v="21000"/>
    <n v="3000"/>
    <n v="3000"/>
    <n v="0"/>
    <n v="0"/>
    <s v="umowa"/>
    <s v="umowa"/>
    <m/>
    <s v="środki będą uruchomione w RC poz. 43 (dot.Rządowa Chmura Obliczeniowa) przeksięgowanie z BP na RC po otrzymaniu RC"/>
  </r>
  <r>
    <x v="2"/>
    <x v="7"/>
    <s v="n/d"/>
    <s v="n/d"/>
    <s v="n/d"/>
    <s v="n/d"/>
    <s v="n/d"/>
    <n v="4000"/>
    <n v="0"/>
    <s v="11.4.2.2."/>
    <s v="budżet państwa (z wyjątkiem GDDKiA)"/>
    <s v="zadania obronne (Zaspokojenie potrzeb Sił Zbrojnych RP i wojsk sojuszniczych przez sektor pozamilitarny) Działanie 11.4.2.2"/>
    <s v="Podstawa prawna: art. 7 ustawy z dnia 11 marca 2022 r. o Obronie Ojczyzny (Dz.U. z 2022 r. poz. 2305 z późn. zm.). Realizacja zadań w zakresie m.in. przygotowania systemu kierowania bezpieczeństwem narodowym, warunków funkcjonowania organów władzy publicznej na stanowiskach kierowania oraz organizacji szkoleń obronnych. Zadania realizowane w oparciu o Program Pozamilitarnych Przygotowań Obronnych Działu Administracji Rządowej Informatyzacja w latach 2021-2035."/>
    <n v="190"/>
    <n v="0"/>
    <n v="0"/>
    <n v="0"/>
    <n v="0"/>
    <s v="obronność"/>
    <s v="n/d"/>
    <m/>
    <s v="n/d"/>
  </r>
  <r>
    <x v="2"/>
    <x v="7"/>
    <s v="n/d"/>
    <s v="n/d"/>
    <s v="n/d"/>
    <s v="n/d"/>
    <s v="n/d"/>
    <n v="4550"/>
    <n v="0"/>
    <s v="11.4.2.4."/>
    <s v="budżet państwa (z wyjątkiem GDDKiA)"/>
    <s v="zadania obronne (szkolenia/ćwiczenia obronne) Działanie 11.4.2.4"/>
    <s v="Podstawa prawna: art. 7 ustawy z dnia 11 marca 2022 r. o Obronie Ojczyzny (Dz.U. z 2022 r. poz. 2305 z późn. zm.). Realizacja zadań w zakresie m.in. przygotowania systemu kierowania bezpieczeństwem narodowym, warunków funkcjonowania organów władzy publicznej na stanowiskach kierowania oraz organizacji szkoleń obronnych. Zadania realizowane w oparciu o Program Pozamilitarnych Przygotowań Obronnych Działu Administracji Rządowej Informatyzacja w latach 2021-2035."/>
    <n v="55"/>
    <n v="40"/>
    <n v="40"/>
    <n v="42"/>
    <n v="0"/>
    <s v="obronność"/>
    <s v="n/d"/>
    <m/>
    <s v="n/d"/>
  </r>
  <r>
    <x v="2"/>
    <x v="7"/>
    <s v="n/d"/>
    <s v="n/d"/>
    <s v="n/d"/>
    <s v="n/d"/>
    <s v="01.04.2019 do 31.12.2024"/>
    <n v="4000"/>
    <n v="0"/>
    <s v="11.4.2.1."/>
    <s v="budżet państwa (z wyjątkiem GDDKiA)"/>
    <s v="zadania obronne (Przygotowanie systemu kierowania bezpieczeństwem narodowym, działanie 11.4.2.1,"/>
    <m/>
    <n v="427"/>
    <n v="100"/>
    <n v="40"/>
    <n v="60"/>
    <n v="0"/>
    <s v="obronność"/>
    <s v="umowa"/>
    <m/>
    <m/>
  </r>
  <r>
    <x v="2"/>
    <x v="7"/>
    <s v="n/d"/>
    <s v="n/d"/>
    <s v="n/d"/>
    <s v="n/d"/>
    <s v="01.04.2019 do 31.12.2024"/>
    <n v="4000"/>
    <n v="0"/>
    <s v="11.4.2.5."/>
    <s v="budżet państwa (z wyjątkiem GDDKiA)"/>
    <s v="zadania obronne (Przygotowanie systemu kierowania bezpieczeństwem narodowym, działanie 11.4.2.1,"/>
    <m/>
    <n v="3"/>
    <n v="2"/>
    <n v="3"/>
    <n v="3"/>
    <n v="0"/>
    <s v="obronność"/>
    <s v="umowa"/>
    <m/>
    <m/>
  </r>
  <r>
    <x v="3"/>
    <x v="7"/>
    <s v="n/d"/>
    <s v="n/d"/>
    <s v="n/d"/>
    <s v="n/d"/>
    <s v="n/d"/>
    <n v="4000"/>
    <n v="0"/>
    <s v="15.1.2.3."/>
    <s v="budżet państwa (z wyjątkiem GDDKiA)"/>
    <s v="Działania DC związane z Prezydencją - obsługa spotkań z udziałem delegacji państw członków UE"/>
    <s v="Konferencje, koszty przyjęcia delegacji zagranicznych w celu omówienia działań i proprytetów podejmowanych przez PL Prezydencję. Gadżety. Organizacja spotkań koordynujących"/>
    <n v="261"/>
    <n v="0"/>
    <n v="0"/>
    <n v="0"/>
    <n v="0"/>
    <s v="Prezydencja"/>
    <s v="n/d"/>
    <m/>
    <s v="n/d"/>
  </r>
  <r>
    <x v="3"/>
    <x v="10"/>
    <m/>
    <m/>
    <m/>
    <m/>
    <m/>
    <n v="4000"/>
    <n v="0"/>
    <s v="15.1.2.3."/>
    <m/>
    <s v="CIO meeting w ramach prezydencji PL w radzie UE"/>
    <s v="Koszty organizacji spotkania w Gdańsku"/>
    <n v="129"/>
    <s v="-"/>
    <s v="-"/>
    <s v="-"/>
    <s v="-"/>
    <s v="planowane"/>
    <m/>
    <m/>
    <m/>
  </r>
  <r>
    <x v="3"/>
    <x v="11"/>
    <s v="nd"/>
    <s v="nd"/>
    <s v="nd"/>
    <s v="nd"/>
    <s v="nd"/>
    <n v="4000"/>
    <n v="0"/>
    <s v="15.1.2.3."/>
    <m/>
    <s v="organizacja wydarzenia Cyber Week: cyber&amp;telco attache trip "/>
    <s v="Cyber Week stanowi powiązanie ze sobą 4 wydarzeń organizowanych przez Departament Cyberbezpieczeństwa oraz Departament Telekomunikacji. Całość odbędzie się w dniach 12-16 maja 2025 r. w Krakowie jako wydarzenia organizowane w ramach Polskiej Prezydencji w UE. DT będzie odpowiedzialne za  zamówienie na wybór operatora logistycznej obsługi całego wydarzenia. DC  za  pozostałe kwestie. Niektóre wydatki w ramach organizacji tego wydarzenia moga być uznane za niekwalifikowalne w ramach środków na Prezydencję przyznawanych przez KPRM, w związku z tym istnieje konieczność zabezpieczenia dodatkowych środków w budżecie DT."/>
    <n v="126"/>
    <n v="0"/>
    <n v="0"/>
    <n v="0"/>
    <n v="0"/>
    <s v="planowane"/>
    <s v="planowane"/>
    <m/>
    <s v="nd"/>
  </r>
  <r>
    <x v="3"/>
    <x v="13"/>
    <s v="BP (rezerwa PREZ)"/>
    <s v="Organizacja Szczytu Cyfrowego (Digital Summit) w ramach Przewodnictwa Polski w Radzie Unii Europejskiej w I połowie 2025 r."/>
    <s v="III/IV kw. 2024"/>
    <s v="n.d."/>
    <s v="II/III kw. 2025"/>
    <n v="4000"/>
    <s v="0 (rezerwa PREZ)"/>
    <s v="15.1.2.3"/>
    <s v="budżet państwa (z wyjątkiem GDDKiA)"/>
    <s v="Organizacja Szczytu Cyfrowego (Digital Summit) w ramach Przewodnictwa Polski w Radzie Unii Europejskiej w I połowie 2025 r."/>
    <s v="Organizacja Szczytu Cyfrowego (Digital Summit) w ramach Przewodnictwa Polski w Radzie Unii Europejskiej w I połowie 2025 r."/>
    <n v="593"/>
    <n v="0"/>
    <n v="0"/>
    <m/>
    <m/>
    <s v="planowane"/>
    <s v="umowa"/>
    <s v="b.d."/>
    <s v="b.d."/>
  </r>
  <r>
    <x v="3"/>
    <x v="13"/>
    <s v="BP (rezerwa PREZ)"/>
    <s v="Konferencja dot. dyplomacji cyfrowej"/>
    <s v="III/IV kw. 2024"/>
    <s v="n.d."/>
    <n v="2025"/>
    <n v="4000"/>
    <s v="0 (rezerwa PREZ)"/>
    <s v="15.1.2.3"/>
    <s v="budżet państwa (z wyjątkiem GDDKiA)"/>
    <s v="Konferencja dot. dyplomacji cyfrowej"/>
    <s v="Konferencja dot. dyplomacji cyfrowej"/>
    <n v="216"/>
    <n v="0"/>
    <n v="0"/>
    <m/>
    <m/>
    <s v="planowanie"/>
    <s v="umowa"/>
    <s v="b.d."/>
    <s v="b.d."/>
  </r>
  <r>
    <x v="3"/>
    <x v="13"/>
    <s v="BP (rezerwa PREZ)"/>
    <s v="Spotkanie ambasadorów UE ds. cyfrowych_x000a_ "/>
    <s v="III/IV kw. 2024"/>
    <s v="n.d."/>
    <n v="2025"/>
    <n v="4000"/>
    <s v="0 (rezerwa nr 62)"/>
    <s v="15.1.2.3"/>
    <s v="budżet państwa (z wyjątkiem GDDKiA)"/>
    <s v="Spotkanie ambasadorów UE ds. cyfrowych_x000a_ "/>
    <s v="Spotkanie ambasadorów UE ds. cyfrowych_x000a_ "/>
    <n v="101"/>
    <n v="0"/>
    <n v="0"/>
    <m/>
    <m/>
    <s v="planowanie"/>
    <s v="umowa"/>
    <s v="b.d."/>
    <s v="b.d."/>
  </r>
  <r>
    <x v="3"/>
    <x v="13"/>
    <s v="BP (rezerwa PREZ)"/>
    <s v="Ekspertyzy na potrzeby PREZ"/>
    <s v="n.d."/>
    <s v="n.d."/>
    <n v="2025"/>
    <n v="4000"/>
    <s v="0 (rezerwa PREZ)"/>
    <s v="15.1.2.3"/>
    <s v="budżet państwa (z wyjątkiem GDDKiA)"/>
    <s v="Ekspertyzy na potrzeby PREZ"/>
    <s v="Ekspertyzy na potrzeby PREZ"/>
    <n v="60"/>
    <n v="0"/>
    <n v="0"/>
    <m/>
    <m/>
    <s v="n.d."/>
    <s v="n.d."/>
    <s v="n.d."/>
    <s v="n.d."/>
  </r>
  <r>
    <x v="3"/>
    <x v="13"/>
    <s v="BP (rezerwa PREZ)"/>
    <s v="Delegacje zagraniczne finansowane ze środków PREZ"/>
    <s v="n.d."/>
    <s v="n.d."/>
    <n v="2025"/>
    <n v="4420"/>
    <s v="0 (rezerwa PREZ)"/>
    <s v="15.1.2.3"/>
    <s v="budżet państwa (z wyjątkiem GDDKiA)"/>
    <s v="Delegacje zagraniczne finansowane ze środków PREZ"/>
    <s v="Delegacje zagraniczne finansowane ze środków PREZ"/>
    <n v="1660"/>
    <n v="0"/>
    <n v="0"/>
    <m/>
    <m/>
    <s v="n.d."/>
    <s v="n.d."/>
    <s v="n.d."/>
    <s v="n.d."/>
  </r>
  <r>
    <x v="3"/>
    <x v="13"/>
    <s v="BP (rezerwa PREZ)"/>
    <s v="Delegacje krajowe finansowane ze środków PREZ"/>
    <s v="n.d."/>
    <s v="n.d."/>
    <n v="2025"/>
    <n v="4410"/>
    <s v="0 (rezerwa PREZ)"/>
    <s v="15.1.2.3"/>
    <s v="budżet państwa (z wyjątkiem GDDKiA)"/>
    <s v="Delegacje krajowe finansowane ze środków PREZ"/>
    <s v="Delegacje krajowe finansowane ze środków PREZ"/>
    <n v="235"/>
    <n v="0"/>
    <n v="0"/>
    <m/>
    <m/>
    <s v="n.d."/>
    <s v="n.d."/>
    <s v="n.d."/>
    <s v="n.d."/>
  </r>
  <r>
    <x v="3"/>
    <x v="14"/>
    <s v="nie dotyczy"/>
    <m/>
    <s v="nie dotyczy"/>
    <s v="BP"/>
    <m/>
    <n v="4000"/>
    <n v="0"/>
    <s v="15.1.2.3."/>
    <s v="budżet państwa (z wyjątkiem GDDKiA)"/>
    <s v=" PREZ PL- organizacja wydarzeń wg wyliczeń KPRM,  koszty organizacji i obsługi  konferencji The Future is Data"/>
    <m/>
    <n v="288"/>
    <n v="0"/>
    <n v="0"/>
    <n v="0"/>
    <n v="0"/>
    <s v="Prezydencja"/>
    <s v="nie dotyczy"/>
    <m/>
    <s v="nie dotyczy"/>
  </r>
  <r>
    <x v="4"/>
    <x v="7"/>
    <s v="n/d"/>
    <s v="n/d"/>
    <s v="n/d"/>
    <s v="n/d"/>
    <s v="n/d"/>
    <n v="2430"/>
    <n v="0"/>
    <s v="16.5.3.4."/>
    <s v="budżet państwa (z wyjątkiem GDDKiA)"/>
    <s v="dotacja z budżetu państwa"/>
    <s v="Dotacja z budżetu państwa do Funduszu Cyberbezpieczeństwa"/>
    <n v="250000"/>
    <n v="250000"/>
    <n v="250000"/>
    <n v="0"/>
    <n v="0"/>
    <s v="Fundusz Cyberbezpieczeństwa"/>
    <s v="n/d"/>
    <m/>
    <s v="n/d"/>
  </r>
  <r>
    <x v="5"/>
    <x v="7"/>
    <s v="n/d"/>
    <s v="n/d"/>
    <s v="n/d"/>
    <s v="n/d"/>
    <s v="n/d"/>
    <n v="2350"/>
    <s v="Fundusz Pomocy"/>
    <s v="n/d"/>
    <s v="podmioty pozostałe (z wyjątkiem PKP PLK S.A.)"/>
    <s v="Wsparcie finansowe dla IŁ-PIB pn. „Mobilne centrum przetwarzania danych na potrzeby zapewnienia bezpieczeństwa kluczowych rejestrów państwowych Ukrainy - kontynuacja utrzymania i udostępnienia na terytorium Rzeczypospolitej Polskiej kontenerowego centrum przetwarzania danych na potrzeby państwowych zasobów informatycznych i publicznych rejestrów elektronicznych Państwowej Służby Podatkowej Ukrainy”(Data Center I)."/>
    <s v=""/>
    <n v="0"/>
    <n v="0"/>
    <n v="0"/>
    <n v="0"/>
    <n v="0"/>
    <s v="Fundusz Pomocy"/>
    <s v="n/d"/>
    <m/>
    <s v="nd"/>
  </r>
  <r>
    <x v="5"/>
    <x v="7"/>
    <s v="n/d"/>
    <s v="n/d"/>
    <s v="n/d"/>
    <s v="n/d"/>
    <s v="n/d"/>
    <n v="2350"/>
    <s v="Fundusz Pomocy"/>
    <s v="n/d"/>
    <s v="Instytut Łączności -PIB"/>
    <s v="Wsparcie finansowe dla IŁ-PIB pn. „Mobilne centrum przetwarzania danych na potrzeby zapewnienia bezpieczeństwa kluczowych rejestrów państwowych Ukrainy - kontynuacja utrzymania i udostępnienia na terytorium Rzeczypospolitej Polskiej kontenerowego centrum&quot;"/>
    <s v="Zadanie jest realizaowane na podstawie art. 14 ust. 13 ustawy z dnia 12 marca 2022 r. o pomocy obywatelom Ukrainy_x000a_w związku z konfliktem zbrojnym na terytorium tego państwa (kolejne etapy realizacji będą uwzględniały  dodatkową podstawę prawną art. 14 ust. 11e) Zgodnie z Decyzją nr 219/R/23 z dnia 25 września 2023 r. w sprawie udostępnienia rezerw strategicznych, na podstawie art. 19 ust. 1 i 2 w związku z art. 3 oraz art. 19 ust. 5, 6 i 7 ustawy z dnia 17 grudnia 2020 r. o rezerwach strategicznych (Dz. U. z 2023 r. poz. 294), Prezes Rady Ministrów ustalił szczególne warunki udostępnienia Instytutowi Łączności rezerw strategicznych w postaci Mobilnego Centrum Przetwarzania Danych (Data Center I), wskazując że:_x000a_a) udostępniany asortyment rezerw strategicznych podlega eksploatacji do 6 miesięcy po zakończeniu lub odwołaniu stanu wojennego na terytorium Ukrainy, nie później jednak niż do 20 maja 2025 r.,_x000a_b) udostępniany asortyment rezerw strategicznych podlega zwrotowi w terminie 30 dni od dnia upływu okresu eksploatacji, nie dłużej jednak niż do 20 czerwca 2025r._x000a_W związku z brakiem odwołania ww. decyzji oraz kontynuacją udostępnienia Data Center I konieczne jest dalsze wsparcie finansowe z Funduszu Pomocy._x000a_Zadanie zgłoszone dnia 22.12.2023 r. (e mail do BBF) jest zadaniem wskazanym w przedmiotowej tabeli. W styczniu br. zmieniła się nazwa zadania poprzez dodanie słowa &quot;kontynuacja&quot;. Natomiast należy zaznaczyć, że planowane wsparcie finansowe dotyczy tego samego Mobilnego Centrum (Data Center I). Ponadto pismo nr. WRiN.DC.WRIN.731.2.2023, skierowane do BBF odnosi się również do przedmiotowego zadania."/>
    <n v="0"/>
    <n v="0"/>
    <n v="0"/>
    <n v="0"/>
    <n v="0"/>
    <s v="Realizacja zawartej umowy"/>
    <s v="n/d"/>
    <s v="1/DC/2024"/>
    <s v="Instytut Łączności - PIB"/>
  </r>
  <r>
    <x v="5"/>
    <x v="7"/>
    <s v="n/d"/>
    <s v="n/d"/>
    <s v="n/d"/>
    <s v="n/d"/>
    <s v="n/d"/>
    <n v="6490"/>
    <s v="Fundusz Pomocy"/>
    <s v="n/d"/>
    <s v="Instytut Łączności -PIB"/>
    <s v="Wsparcie finansowe dla IŁ-PIB pn. „Mobilne centrum przetwarzania danych na potrzeby zapewnienia bezpieczeństwa kluczowych rejestrów państwowych Ukrainy - kontynuacja utrzymania i udostępnienia na terytorium Rzeczypospolitej Polskiej kontenerowego centrum&quot;"/>
    <s v="Zadanie jest realizaowane na podstawie art. 14 ust. 13 ustawy z dnia 12 marca 2022 r. o pomocy obywatelom Ukrainy_x000a_w związku z konfliktem zbrojnym na terytorium tego państwa (kolejne etapy realizacji będą uwzględniały  dodatkową podstawę prawną art. 14 ust. 11e) Zgodnie z Decyzją nr 219/R/23 z dnia 25 września 2023 r. w sprawie udostępnienia rezerw strategicznych, na podstawie art. 19 ust. 1 i 2 w związku z art. 3 oraz art. 19 ust. 5, 6 i 7 ustawy z dnia 17 grudnia 2020 r. o rezerwach strategicznych (Dz. U. z 2023 r. poz. 294), Prezes Rady Ministrów ustalił szczególne warunki udostępnienia Instytutowi Łączności rezerw strategicznych w postaci Mobilnego Centrum Przetwarzania Danych (Data Center I), wskazując że:_x000a_a) udostępniany asortyment rezerw strategicznych podlega eksploatacji do 6 miesięcy po zakończeniu lub odwołaniu stanu wojennego na terytorium Ukrainy, nie później jednak niż do 20 maja 2025 r.,_x000a_b) udostępniany asortyment rezerw strategicznych podlega zwrotowi w terminie 30 dni od dnia upływu okresu eksploatacji, nie dłużej jednak niż do 20 czerwca 2025r._x000a_W związku z brakiem odwołania ww. decyzji oraz kontynuacją udostępnienia Data Center I konieczne jest dalsze wsparcie finansowe z Funduszu Pomocy._x000a_Zadanie zgłoszone dnia 22.12.2023 r. (e mail do BBF) jest zadaniem wskazanym w przedmiotowej tabeli. W styczniu br. zmieniła się nazwa zadania poprzez dodanie słowa &quot;kontynuacja&quot;. Natomiast należy zaznaczyć, że planowane wsparcie finansowe dotyczy tego samego Mobilnego Centrum (Data Center I). Ponadto pismo nr. WRiN.DC.WRIN.731.2.2023, skierowane do BBF odnosi się również do przedmiotowego zadania."/>
    <n v="0"/>
    <n v="0"/>
    <n v="0"/>
    <n v="0"/>
    <n v="0"/>
    <s v="Realizacja zawartej umowy"/>
    <s v="n/d"/>
    <s v="1/DC/2024"/>
    <s v="Instytut Łączności - PIB"/>
  </r>
  <r>
    <x v="5"/>
    <x v="11"/>
    <s v="nd"/>
    <s v="nd"/>
    <s v="nd"/>
    <s v="nd"/>
    <s v="nd"/>
    <n v="2350"/>
    <n v="0"/>
    <s v="bd"/>
    <m/>
    <s v="umowa o zapewnieniu wsparcia ze środków Funduszu Pomocy"/>
    <s v="Planowana do zawarcia umowa o zapewnieniu wsparcia ze środków Funduszu Pomocy, planowana do zawarcia z Instytutem Łączności – Państwowym Instytutem Badawczym, na podstawie art. 14 ust. 11 e i 13 ustawy z dnia 12 marca 2022 r. o pomocy obywatelom Ukrainy w związku z konfliktem zbrojnym na terytorium tego państwa (Dz.U. 2024 r. poz. 167, z późn. zm.) na realizację zadania &quot;Zapewnienie łączności na terytorium Ukrainy dla obywateli tego państwa&quot;."/>
    <n v="129400"/>
    <m/>
    <m/>
    <m/>
    <m/>
    <s v="Fundusz Pomocy"/>
    <s v="planowane"/>
    <m/>
    <s v="IŁ-PIB"/>
  </r>
  <r>
    <x v="6"/>
    <x v="5"/>
    <m/>
    <m/>
    <m/>
    <m/>
    <m/>
    <n v="4530"/>
    <n v="0"/>
    <s v="16.5.2.2"/>
    <m/>
    <s v="VAT na realizację zadania C16 z  inwestycji C2.1.3 KPO"/>
    <s v="Zabezpieczenie VAT jest niezbędne do dalszej realizacji inwestycji C2.1.3 E komptencje. Bez środków na VAT nie będzie możliwe wykorzystanie kwoty około 35 mln zł na realizację zadania C16 (funkcjonowanie działalności CRKC)."/>
    <n v="6967"/>
    <n v="790"/>
    <n v="0"/>
    <n v="0"/>
    <n v="0"/>
    <s v="KPO"/>
    <s v="umowa"/>
    <s v="KPOD.05.08-IZ.00-0001/23"/>
    <m/>
  </r>
  <r>
    <x v="6"/>
    <x v="5"/>
    <m/>
    <m/>
    <m/>
    <m/>
    <m/>
    <n v="4530"/>
    <n v="0"/>
    <s v="16.5.2.2"/>
    <m/>
    <s v="Vat na badanie czynników motywujących do podnoszenia kompetencji cyfrowych(KPO)"/>
    <s v="Badanie będzie realizowane w  ramach zadania C16 z inwestycji C2.1.3. Przeprowadzono już szacowanie wartości zamówienia. Trwają przygotowania wniosku o udzielenie zamówienia publicznego"/>
    <n v="143"/>
    <n v="0"/>
    <n v="0"/>
    <n v="0"/>
    <n v="0"/>
    <s v="KPO"/>
    <m/>
    <m/>
    <m/>
  </r>
  <r>
    <x v="6"/>
    <x v="5"/>
    <m/>
    <m/>
    <m/>
    <m/>
    <m/>
    <n v="4000"/>
    <n v="0"/>
    <s v="16.5.2.2"/>
    <m/>
    <s v="VAT na realizację zadania C19 i C20 z  inwestycji C2.1.3 KPO"/>
    <s v="Zabezpieczenie VAT jest niezbędne do dalszej realizacji zadań C19 i C20 w inwestycji C2.1.3 E komptencje. VAT jest niezbędny do zakupu pomocy dydaktycznych dla placówek przedszkolnych, które wydelegują co najmniej dwóch swoich pracowników na szkolenia."/>
    <m/>
    <m/>
    <m/>
    <m/>
    <m/>
    <s v="KPO"/>
    <s v="umowa"/>
    <s v="KPOD.05.08-IZ.00-0001/23"/>
    <m/>
  </r>
  <r>
    <x v="6"/>
    <x v="5"/>
    <m/>
    <m/>
    <m/>
    <m/>
    <m/>
    <n v="4000"/>
    <n v="0"/>
    <s v="16.5.2.2"/>
    <m/>
    <s v="Rozbudowa i utrzymanie, stworzonego przez COI,  systemu teleinformatycznego do obsługi dystrybucji bonów dla nauczycieli oraz koszty związane z działaniem infolinii."/>
    <s v=" Realizacja zadania wynika z ustawy o o wsparciu rozwoju kompetencji cyfrowych uczniów i nauczycieli. "/>
    <n v="5760"/>
    <n v="2880"/>
    <n v="0"/>
    <n v="0"/>
    <n v="0"/>
    <s v="umowa"/>
    <m/>
    <m/>
    <m/>
  </r>
  <r>
    <x v="6"/>
    <x v="5"/>
    <m/>
    <m/>
    <m/>
    <m/>
    <m/>
    <n v="2830"/>
    <n v="0"/>
    <s v="16.5.2.2"/>
    <m/>
    <s v="Kwota całkowita zakup komputerów dla uczniów"/>
    <s v="Realizacja zadania wynika z ustawy o o wsparciu rozwoju kompetencji cyfrowych uczniów i nauczycieli. Zakładana szacowana kwota za laptopa to 3300 brutto x (391906 szt.)392000= "/>
    <m/>
    <m/>
    <m/>
    <m/>
    <m/>
    <s v="KPO"/>
    <s v="planowane"/>
    <m/>
    <m/>
  </r>
  <r>
    <x v="6"/>
    <x v="5"/>
    <m/>
    <m/>
    <m/>
    <m/>
    <m/>
    <n v="2830"/>
    <n v="0"/>
    <s v="16.5.2.2"/>
    <m/>
    <s v="Wynagrodzenie COAR za realizację umów ramowych i innych zadań związanych z zakupem komputerów dla uczniów."/>
    <s v="Realizacja zadania wynika z ustawy o o wsparciu rozwoju kompetencji cyfrowych uczniów i nauczycieli oraz nowelizowanego Zarządzenia PRM z dnia 22 grudnia 2022 r. zmieniające zarządzenie w sprawie wskazania centralnego zamawiającego dla jednostek administracji rządowej oraz wskazania jednostek administracji rządowej zobowiązanych do nabywania zamówień od centralnego zamawiającego"/>
    <m/>
    <m/>
    <m/>
    <m/>
    <m/>
    <s v="planowane"/>
    <s v="zrealizowano"/>
    <m/>
    <m/>
  </r>
  <r>
    <x v="6"/>
    <x v="5"/>
    <m/>
    <m/>
    <m/>
    <m/>
    <m/>
    <n v="4530"/>
    <n v="0"/>
    <s v="16.5.2.2"/>
    <m/>
    <s v="Zapewnienie z BP środków na podtek VAT w ramach inwestycji C2.2.1 KPO"/>
    <s v="VAT niekwalifikowany z KPO - Wydatek niezbędny do realizacji inwestycji w zakresie pracowni STEM, AI i doposażenia sal lekcyjnych w sprzęt do nauku zdalnej. "/>
    <n v="490259"/>
    <n v="0"/>
    <n v="0"/>
    <n v="0"/>
    <n v="0"/>
    <s v="wystąpienie MF"/>
    <s v="planowane"/>
    <m/>
    <m/>
  </r>
  <r>
    <x v="6"/>
    <x v="5"/>
    <m/>
    <m/>
    <m/>
    <m/>
    <m/>
    <n v="4530"/>
    <n v="0"/>
    <s v="16.5.2.2"/>
    <m/>
    <s v="Zapewnienie z BP środków na podatek VAT w ramach inwestycji C2.1.2 KPO wskaźnik C14G"/>
    <s v="VAT niekwalifikowany z KPO - Wydatek niezbędny do dalszej realizacji inwestycji w zakresie wskaźnika C14G Nowe kumputery przenośne do dyspozycji nauczycieli - bonów dla nauczycieli"/>
    <n v="41295"/>
    <n v="0"/>
    <n v="0"/>
    <n v="0"/>
    <n v="0"/>
    <s v="wystąpienie MF"/>
    <s v="planowane"/>
    <m/>
    <m/>
  </r>
  <r>
    <x v="6"/>
    <x v="5"/>
    <m/>
    <m/>
    <m/>
    <m/>
    <m/>
    <n v="4530"/>
    <n v="0"/>
    <s v="16.5.2.2"/>
    <m/>
    <s v="Zapewnienie z BP środków na podatek VAT w ramach inwestycji C2.1.2 KPO wskaźnik C15G"/>
    <s v="VAT niekwalifikowany z KPO - Wydatek niezbędny do realizacji inwestycji w zakresie wskaźnika C15G Nowe komputery przenośne do dyspozycji uczniów - program Cyfrowy uczeń"/>
    <n v="349717"/>
    <n v="0"/>
    <n v="0"/>
    <n v="0"/>
    <n v="0"/>
    <s v="wystąpienie MF"/>
    <s v="planowane"/>
    <m/>
    <m/>
  </r>
  <r>
    <x v="6"/>
    <x v="7"/>
    <s v="n/d"/>
    <s v="n/d"/>
    <s v="n/d"/>
    <s v="n/d"/>
    <s v="n/d"/>
    <n v="4000"/>
    <n v="0"/>
    <s v="16.5.3.1."/>
    <s v="budżet państwa (z wyjątkiem GDDKiA)"/>
    <s v="Koszty organizacji stanowiska pracy dla pracownika prowadzącego postępowania w sprawie uznania za dostawcę wysokiego ryzyka"/>
    <s v="Planowane wydatki dotyczyły zadań zawartych w nowelizacji ustawy o krajowym systemie cyberbezpieczeństwa. Nowelizacja ta wdrażała część przepisów unijnych. Przewidywała także procedurę identyfikacji dostawców wysokiego ryzyka, co wprost wynika z dokumentów unijnych. W 2024 r. Polska jest zobligowana do wdrożenia dyrektywy NIS2. W związku z tym konieczne będzie poniesienie nowych wydatków na nowe zadania, które w pokrywały się z tymi, które przewidywała nowelizacja ustawy o krajowym systemie cyberbezpieczeństwa. Nowelizacja przewidywała także środki na utworzenie CSIRT sektorowych - utworzenie tych zespołów jest kamieniem milowym KPO, dlatego zasadne jest także utrzymanie tych wydatków."/>
    <n v="0"/>
    <n v="0"/>
    <n v="0"/>
    <n v="0"/>
    <n v="0"/>
    <s v="KPO"/>
    <s v="n/d"/>
    <m/>
    <s v="nd"/>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
  <r>
    <n v="27"/>
    <s v="DTC"/>
    <m/>
    <s v="Wdrożenie rozporządzenie eIDAS2"/>
    <m/>
    <s v="nd"/>
    <m/>
    <n v="6060"/>
    <n v="0"/>
    <s v="16.5.1.2"/>
    <s v="Budżet państwa"/>
    <s v="Wdrożenie rozporządzenie eIDAS2"/>
    <s v="Wdrożenie rozporządzenie eIDAS2"/>
    <n v="13000"/>
    <n v="10000"/>
    <n v="10434"/>
    <m/>
    <m/>
    <m/>
    <m/>
    <m/>
    <m/>
    <s v="NA ETAPIE PLANOWANIA NIE MOŻNA WSKAZAĆ BZ - nowe zadanie"/>
    <x v="0"/>
  </r>
  <r>
    <n v="27"/>
    <s v="DTC"/>
    <s v="inny - środki krajowe"/>
    <s v="Umowa na realizację przez COI niektórych zadań Ministra Cyfryzacji"/>
    <s v="nd"/>
    <s v="nd"/>
    <m/>
    <n v="6060"/>
    <n v="0"/>
    <s v="16.5.1.2"/>
    <s v="budżet państwa (z wyjątkiem GDDKiA)"/>
    <s v="Realizacja bieżącego rozwoju aplikacji zlecona na podstawie bieżących potrzeb Ministra Cyfryzacji"/>
    <s v="Realizacja bieżącego rozwoju aplikacji zlecona na podstawie bieżących potrzeb Ministra Cyfryzacji"/>
    <n v="0"/>
    <m/>
    <m/>
    <m/>
    <m/>
    <m/>
    <m/>
    <m/>
    <m/>
    <m/>
    <x v="1"/>
  </r>
  <r>
    <n v="27"/>
    <s v="DTC"/>
    <s v="inny - środki krajowe"/>
    <s v="Umowa na realizację przez COI niektórych zadań Ministra Cyfryzacji"/>
    <s v="nd"/>
    <s v="nd"/>
    <m/>
    <n v="6060"/>
    <n v="0"/>
    <s v="16.5.1.2"/>
    <s v="budżet państwa (z wyjątkiem GDDKiA)"/>
    <s v="Prace rozwojowe systemu ZUCH w zakresie obslugi klienta chmurowego"/>
    <s v="Prace rozwojowe systemu ZUCH w zakresie obslugi klienta chmurowego"/>
    <n v="7165"/>
    <m/>
    <m/>
    <m/>
    <m/>
    <m/>
    <m/>
    <m/>
    <m/>
    <m/>
    <x v="1"/>
  </r>
  <r>
    <n v="27"/>
    <s v="DTC"/>
    <s v="inny - środki krajowe"/>
    <s v="Umowa na realizację przez COI niektórych zadań Ministra Cyfryzacji"/>
    <s v="nd"/>
    <s v="nd"/>
    <m/>
    <n v="6060"/>
    <n v="0"/>
    <s v="16.1.2.1"/>
    <s v="budżet państwa (z wyjątkiem GDDKiA)"/>
    <s v=" Budowa systemu dokumentacji prawnej"/>
    <s v=" Budowa systemu dokumentacji prawnej"/>
    <n v="11933"/>
    <m/>
    <m/>
    <m/>
    <m/>
    <m/>
    <m/>
    <m/>
    <m/>
    <m/>
    <x v="1"/>
  </r>
  <r>
    <n v="27"/>
    <s v="DTC"/>
    <s v="inny - środki krajowe"/>
    <s v="Umowa na realizację przez COI niektórych zadań Ministra Cyfryzacji"/>
    <s v="nd"/>
    <s v="nd"/>
    <m/>
    <n v="6060"/>
    <n v="0"/>
    <s v="16.1.2.1"/>
    <s v="budżet państwa (z wyjątkiem GDDKiA)"/>
    <s v="Rozbudowa systemu Dane.gov.pl"/>
    <s v="Rozbudowa systemu Dane.gov.pl"/>
    <n v="3090"/>
    <m/>
    <m/>
    <m/>
    <m/>
    <m/>
    <m/>
    <m/>
    <m/>
    <m/>
    <x v="1"/>
  </r>
  <r>
    <n v="27"/>
    <s v="DTC"/>
    <s v="inny - środki krajowe"/>
    <s v="Umowa na realizację przez COI niektórych zadań Ministra Cyfryzacji - odsprzedaż"/>
    <s v="nd"/>
    <s v="nd"/>
    <m/>
    <n v="6060"/>
    <n v="0"/>
    <s v="16.1.2.1"/>
    <s v="budżet państwa (z wyjątkiem GDDKiA)"/>
    <s v="Zakup niezbędnego oprogramowania wspierającego proces wytwórczy dla systemów będących we właściwości MC"/>
    <s v="Zakup niezbędnego oprogramowania wspierającego proces wytwórczy dla systemów będących we właściwości MC"/>
    <n v="947"/>
    <m/>
    <m/>
    <m/>
    <m/>
    <m/>
    <m/>
    <m/>
    <m/>
    <m/>
    <x v="0"/>
  </r>
  <r>
    <n v="27"/>
    <s v="DTC"/>
    <s v="inny - środki krajowe"/>
    <s v="Umowa na realizację przez COI niektórych zadań Ministra Cyfryzacji - odsprzedaż"/>
    <s v="nd"/>
    <s v="nd"/>
    <m/>
    <n v="6060"/>
    <n v="0"/>
    <s v="16.1.2.1"/>
    <s v="budżet państwa (z wyjątkiem GDDKiA)"/>
    <s v="Wymiana sprzętu (serwery) i oprogramowania wykorzystywanego w procesie wytwórczym SRP "/>
    <s v="Wymiana sprzętu (serwery) i oprogramowania wykorzystywanego w procesie wytwórczym SRP "/>
    <n v="15146"/>
    <m/>
    <m/>
    <m/>
    <m/>
    <m/>
    <m/>
    <m/>
    <m/>
    <m/>
    <x v="0"/>
  </r>
  <r>
    <n v="27"/>
    <s v="DTC"/>
    <s v="inny - środki krajowe"/>
    <s v="Umowa na realizację przez COI niektórych zadań Ministra Cyfryzacji - odsprzedaż"/>
    <s v="nd"/>
    <s v="nd"/>
    <m/>
    <n v="6060"/>
    <n v="0"/>
    <s v="16.1.2.1"/>
    <s v="budżet państwa (z wyjątkiem GDDKiA)"/>
    <s v="Dostawa dwóch urządzeń typu DefensePro wraz z niezbędnymi licencjami i ochroną zasobów Zamawiającego przed atakami typu DDoS, dla ataków przekraczających limity dla urządzeń DefensePro"/>
    <s v="Dostawa dwóch urządzeń typu DefensePro wraz z niezbędnymi licencjami i ochroną zasobów Zamawiającego przed atakami typu DDoS, dla ataków przekraczających limity dla urządzeń DefensePro"/>
    <n v="8904"/>
    <m/>
    <m/>
    <m/>
    <m/>
    <m/>
    <m/>
    <m/>
    <m/>
    <m/>
    <x v="0"/>
  </r>
  <r>
    <n v="27"/>
    <s v="DTC"/>
    <s v="inny - środki krajowe"/>
    <s v="Umowa na realizację przez COI niektórych zadań Ministra Cyfryzacji - odsprzedaż"/>
    <s v="nd"/>
    <s v="nd"/>
    <m/>
    <n v="6060"/>
    <n v="0"/>
    <s v="16.1.2.1"/>
    <s v="budżet państwa (z wyjątkiem GDDKiA)"/>
    <s v=" Rozbudowa systemu do analizy kodu (DAST, IAST) oraz platform mobilnych"/>
    <s v=" Rozbudowa systemu do analizy kodu (DAST, IAST) oraz platform mobilnych"/>
    <n v="1107"/>
    <m/>
    <m/>
    <m/>
    <m/>
    <m/>
    <m/>
    <m/>
    <m/>
    <m/>
    <x v="1"/>
  </r>
  <r>
    <n v="27"/>
    <s v="DTC"/>
    <s v="inny - środki krajowe"/>
    <s v="Umowa na realizację przez COI niektórych zadań Ministra Cyfryzacji - odsprzedaż"/>
    <s v="nd"/>
    <s v="nd"/>
    <m/>
    <n v="6060"/>
    <n v="0"/>
    <s v="16.1.2.1"/>
    <s v="budżet państwa (z wyjątkiem GDDKiA)"/>
    <s v="Zakup oprogramowania do ochrony warstwy aplikacyjnej"/>
    <s v="Zakup oprogramowania do ochrony warstwy aplikacyjnej"/>
    <n v="959"/>
    <m/>
    <m/>
    <m/>
    <m/>
    <m/>
    <m/>
    <m/>
    <m/>
    <m/>
    <x v="0"/>
  </r>
  <r>
    <n v="27"/>
    <s v="DTC"/>
    <s v="inny - środki krajowe"/>
    <s v="Umowa na realizację przez COI niektórych zadań Ministra Cyfryzacji - odsprzedaż"/>
    <s v="nd"/>
    <s v="nd"/>
    <m/>
    <n v="6060"/>
    <n v="0"/>
    <s v="16.1.2.1"/>
    <s v="budżet państwa (z wyjątkiem GDDKiA)"/>
    <s v="Zakup infrastruktury Centralnego Serwera Logów"/>
    <s v="Zakup infrastruktury Centralnego Serwera Logów"/>
    <n v="1181"/>
    <m/>
    <m/>
    <m/>
    <m/>
    <m/>
    <m/>
    <m/>
    <m/>
    <m/>
    <x v="0"/>
  </r>
  <r>
    <n v="27"/>
    <s v="DTC"/>
    <s v="inny - środki krajowe"/>
    <s v="Umowa na realizację przez COI niektórych zadań Ministra Cyfryzacji - odsprzedaż"/>
    <s v="nd"/>
    <s v="nd"/>
    <m/>
    <n v="6060"/>
    <n v="0"/>
    <s v="16.1.2.1"/>
    <s v="budżet państwa (z wyjątkiem GDDKiA)"/>
    <s v="Terminowanie VPN, rozbudowanie infrastruktury"/>
    <s v="Terminowanie VPN, rozbudowanie infrastruktury"/>
    <n v="1697"/>
    <m/>
    <m/>
    <m/>
    <m/>
    <m/>
    <m/>
    <m/>
    <m/>
    <m/>
    <x v="1"/>
  </r>
  <r>
    <n v="27"/>
    <s v="DTC"/>
    <s v="inny - środki krajowe"/>
    <s v="Umowa na realizację przez COI niektórych zadań Ministra Cyfryzacji - odsprzedaż"/>
    <s v="nd"/>
    <s v="nd"/>
    <m/>
    <n v="6060"/>
    <n v="0"/>
    <s v="16.1.2.1"/>
    <s v="budżet państwa (z wyjątkiem GDDKiA)"/>
    <s v="Rozbudowa systemu SIEM o sprzęt i licencje"/>
    <s v="Rozbudowa systemu SIEM o sprzęt i licencje"/>
    <n v="2214"/>
    <m/>
    <m/>
    <m/>
    <m/>
    <m/>
    <m/>
    <m/>
    <m/>
    <m/>
    <x v="0"/>
  </r>
  <r>
    <n v="27"/>
    <s v="DTC"/>
    <s v="inny - środki krajowe"/>
    <s v="Umowa na realizację przez COI niektórych zadań Ministra Cyfryzacji - odsprzedaż"/>
    <s v="nd"/>
    <s v="nd"/>
    <m/>
    <n v="6060"/>
    <n v="0"/>
    <s v="16.1.2.1"/>
    <s v="budżet państwa (z wyjątkiem GDDKiA)"/>
    <s v="Zakup Identity Management (IdM) – Zarządzanie Tożsamością"/>
    <s v="Zakup Identity Management (IdM) – Zarządzanie Tożsamością"/>
    <n v="3690"/>
    <m/>
    <m/>
    <m/>
    <m/>
    <m/>
    <m/>
    <m/>
    <m/>
    <m/>
    <x v="1"/>
  </r>
  <r>
    <n v="27"/>
    <s v="DTC"/>
    <s v="inny - środki krajowe"/>
    <s v="Umowa na realizację przez COI niektórych zadań Ministra Cyfryzacji - odsprzedaż"/>
    <s v="nd"/>
    <s v="nd"/>
    <m/>
    <n v="6060"/>
    <n v="0"/>
    <s v="16.1.2.1"/>
    <s v="budżet państwa (z wyjątkiem GDDKiA)"/>
    <s v="Zakup Network Access Control (NAC)"/>
    <s v="Zakup Network Access Control (NAC)"/>
    <n v="1353"/>
    <m/>
    <m/>
    <m/>
    <m/>
    <m/>
    <m/>
    <m/>
    <m/>
    <m/>
    <x v="1"/>
  </r>
  <r>
    <n v="27"/>
    <s v="DTC"/>
    <s v="inny - środki krajowe"/>
    <s v="Umowa na realizację przez COI niektórych zadań Ministra Cyfryzacji - odsprzedaż"/>
    <s v="nd"/>
    <s v="nd"/>
    <m/>
    <n v="6060"/>
    <n v="0"/>
    <s v="16.1.2.1"/>
    <s v="budżet państwa (z wyjątkiem GDDKiA)"/>
    <s v="Budowa clastra open shift na potrzeby Rejestrów Państwowych "/>
    <s v="Budowa clastra open shift na potrzeby Rejestrów Państwowych "/>
    <n v="0"/>
    <m/>
    <m/>
    <m/>
    <m/>
    <m/>
    <m/>
    <m/>
    <m/>
    <m/>
    <x v="1"/>
  </r>
  <r>
    <n v="27"/>
    <s v="DTC"/>
    <s v="inny - środki krajowe"/>
    <s v="Umowa na realizację przez COI niektórych zadań Ministra Cyfryzacji - odsprzedaż"/>
    <s v="nd"/>
    <s v="nd"/>
    <m/>
    <n v="6060"/>
    <n v="0"/>
    <s v="16.1.2.1"/>
    <s v="budżet państwa (z wyjątkiem GDDKiA)"/>
    <s v="Rozbudowa macierzy obiektowych  na potrzeby Rejstrów Państwowych "/>
    <s v="Rozbudowa macierzy obiektowych  na potrzeby Rejstrów Państwowych "/>
    <n v="0"/>
    <m/>
    <m/>
    <m/>
    <m/>
    <m/>
    <m/>
    <m/>
    <m/>
    <m/>
    <x v="1"/>
  </r>
  <r>
    <n v="27"/>
    <s v="DTC"/>
    <s v="inny - środki krajowe"/>
    <s v="Umowa na realizację przez COI niektórych zadań Ministra Cyfryzacji - odsprzedaż"/>
    <s v="nd"/>
    <s v="nd"/>
    <m/>
    <n v="6060"/>
    <n v="0"/>
    <s v="16.1.2.1"/>
    <s v="budżet państwa (z wyjątkiem GDDKiA)"/>
    <s v="Rozbudowa środowiska Wirtualizacyjnego "/>
    <s v="Rozbudowa środowiska Wirtualizacyjnego "/>
    <n v="0"/>
    <m/>
    <m/>
    <m/>
    <m/>
    <m/>
    <m/>
    <m/>
    <m/>
    <m/>
    <x v="1"/>
  </r>
  <r>
    <n v="27"/>
    <s v="DTC"/>
    <s v="inny - środki krajowe"/>
    <s v="Umowa na realizację przez COI niektórych zadań Ministra Cyfryzacji - odsprzedaż"/>
    <s v="nd"/>
    <s v="nd"/>
    <m/>
    <n v="6060"/>
    <n v="0"/>
    <s v="16.1.2.1"/>
    <s v="budżet państwa (z wyjątkiem GDDKiA)"/>
    <s v="Rozbudowa Programowej Sieci Komputerowej (ang. SDN)"/>
    <s v="Rozbudowa Programowej Sieci Komputerowej (ang. SDN)"/>
    <n v="0"/>
    <m/>
    <m/>
    <m/>
    <m/>
    <m/>
    <m/>
    <m/>
    <m/>
    <m/>
    <x v="1"/>
  </r>
  <r>
    <n v="27"/>
    <s v="DTC"/>
    <s v="inny - środki krajowe"/>
    <s v="Umowa na realizację przez COI niektórych zadań Ministra Cyfryzacji - odsprzedaż"/>
    <s v="nd"/>
    <s v="nd"/>
    <m/>
    <n v="6060"/>
    <n v="0"/>
    <s v="16.1.2.1"/>
    <s v="budżet państwa (z wyjątkiem GDDKiA)"/>
    <s v="Zakup jednostek Azure Prepaymant "/>
    <s v="Zakup jednostek Azure Prepaymant "/>
    <n v="0"/>
    <m/>
    <m/>
    <m/>
    <m/>
    <m/>
    <m/>
    <m/>
    <m/>
    <m/>
    <x v="0"/>
  </r>
  <r>
    <n v="27"/>
    <s v="DTC"/>
    <s v="inny - środki krajowe"/>
    <s v="Umowa na realizację przez COI niektórych zadań Ministra Cyfryzacji - odsprzedaż"/>
    <s v="nd"/>
    <s v="nd"/>
    <m/>
    <n v="6060"/>
    <n v="0"/>
    <s v="16.1.2.1"/>
    <s v="budżet państwa (z wyjątkiem GDDKiA)"/>
    <s v="Rozbudowa systemu loadbancer "/>
    <s v="Rozbudowa systemu loadbancer "/>
    <n v="0"/>
    <m/>
    <m/>
    <m/>
    <m/>
    <m/>
    <m/>
    <m/>
    <m/>
    <m/>
    <x v="0"/>
  </r>
  <r>
    <n v="27"/>
    <s v="DTC"/>
    <s v="inny - środki krajowe"/>
    <s v="Umowa na realizację przez COI niektórych zadań Ministra Cyfryzacji - odsprzedaż"/>
    <s v="nd"/>
    <s v="nd"/>
    <m/>
    <n v="6060"/>
    <n v="0"/>
    <s v="16.1.2.1"/>
    <s v="budżet państwa (z wyjątkiem GDDKiA)"/>
    <s v="Dostawa, montaż i konfiguracja Urządzeń przeznaczonych pod budowę Uniwersalnego Brzegu Sieci"/>
    <s v="Dostawa, montaż i konfiguracja Urządzeń przeznaczonych pod budowę Uniwersalnego Brzegu Sieci"/>
    <n v="0"/>
    <m/>
    <m/>
    <m/>
    <m/>
    <m/>
    <m/>
    <m/>
    <m/>
    <m/>
    <x v="0"/>
  </r>
  <r>
    <n v="27"/>
    <s v="DTC"/>
    <s v="inny - środki krajowe"/>
    <s v="Umowa na realizację przez COI niektórych zadań Ministra Cyfryzacji - odsprzedaż"/>
    <s v="nd"/>
    <s v="nd"/>
    <m/>
    <n v="6060"/>
    <n v="0"/>
    <s v="16.1.2.1"/>
    <s v="budżet państwa (z wyjątkiem GDDKiA)"/>
    <s v="Rozbudowa PAM - system do nadzoru _x000a_dostępu uprzywilejowanego"/>
    <s v="Rozbudowa PAM - system do nadzoru _x000a_dostępu uprzywilejowanego"/>
    <n v="0"/>
    <m/>
    <m/>
    <m/>
    <m/>
    <m/>
    <m/>
    <m/>
    <m/>
    <m/>
    <x v="1"/>
  </r>
  <r>
    <n v="27"/>
    <s v="DTC"/>
    <s v="inny - środki krajowe"/>
    <s v="Umowa na realizację przez COI niektórych zadań Ministra Cyfryzacji - odsprzedaż"/>
    <s v="nd"/>
    <s v="nd"/>
    <m/>
    <n v="6060"/>
    <n v="0"/>
    <s v="16.1.2.1"/>
    <s v="budżet państwa (z wyjątkiem GDDKiA)"/>
    <s v=" Zakupu urządzeń firewall (ang. Next Generation Firewall) oraz licencji"/>
    <s v=" Zakupu urządzeń firewall (ang. Next Generation Firewall) oraz licencji"/>
    <n v="0"/>
    <m/>
    <m/>
    <m/>
    <m/>
    <m/>
    <m/>
    <m/>
    <m/>
    <m/>
    <x v="0"/>
  </r>
  <r>
    <n v="27"/>
    <s v="DTC"/>
    <s v="inny - środki krajowe"/>
    <s v="Umowa na realizację przez COI niektórych zadań Ministra Cyfryzacji - odsprzedaż"/>
    <s v="nd"/>
    <s v="nd"/>
    <m/>
    <n v="6060"/>
    <n v="0"/>
    <s v="16.1.2.1"/>
    <s v="budżet państwa (z wyjątkiem GDDKiA)"/>
    <s v="Rozbudowa, dostawa, montaż i konfiguracja _x000a_Programowalnej Sieci Komputerowej (ang. SDN) - Ekosystem"/>
    <s v="Rozbudowa, dostawa, montaż i konfiguracja _x000a_Programowalnej Sieci Komputerowej (ang. SDN) - Ekosystem"/>
    <n v="0"/>
    <m/>
    <m/>
    <m/>
    <m/>
    <m/>
    <m/>
    <m/>
    <m/>
    <m/>
    <x v="1"/>
  </r>
  <r>
    <n v="27"/>
    <s v="DTC"/>
    <s v="inny - środki krajowe"/>
    <s v="Umowa na realizację przez COI niektórych zadań Ministra Cyfryzacji - odsprzedaż"/>
    <s v="nd"/>
    <s v="nd"/>
    <m/>
    <n v="6060"/>
    <n v="0"/>
    <s v="16.5.1.2"/>
    <s v="budżet państwa (z wyjątkiem GDDKiA)"/>
    <s v="Dostawa pakietów subskrypcyjnych w zakresie usługi publicznej _x000a_chmury obliczeniowej oraz usługi mailingowej/ zakup 294 sztuk-jednostek "/>
    <s v="Dostawa pakietów subskrypcyjnych w zakresie usługi publicznej _x000a_chmury obliczeniowej oraz usługi mailingowej/ zakup 294 sztuk-jednostek "/>
    <n v="0"/>
    <m/>
    <m/>
    <m/>
    <m/>
    <m/>
    <m/>
    <m/>
    <m/>
    <m/>
    <x v="1"/>
  </r>
  <r>
    <n v="27"/>
    <s v="DTC"/>
    <s v="inny - środki krajowe"/>
    <s v="Umowa na realizację przez COI niektórych zadań Ministra Cyfryzacji - odsprzedaż"/>
    <s v="nd"/>
    <s v="nd"/>
    <m/>
    <n v="6060"/>
    <n v="0"/>
    <s v="16.1.2.1"/>
    <s v="budżet państwa (z wyjątkiem GDDKiA)"/>
    <s v="Rozbudowa Platformy Gigamon"/>
    <s v="Rozbudowa Platformy Gigamon"/>
    <n v="0"/>
    <m/>
    <m/>
    <m/>
    <m/>
    <m/>
    <m/>
    <m/>
    <m/>
    <m/>
    <x v="1"/>
  </r>
  <r>
    <n v="27"/>
    <s v="DTC"/>
    <s v="inny - środki krajowe"/>
    <s v="Umowa na realizację przez COI niektórych zadań Ministra Cyfryzacji - odsprzedaż"/>
    <s v="nd"/>
    <s v="nd"/>
    <m/>
    <n v="6060"/>
    <n v="0"/>
    <s v="16.1.2.1"/>
    <s v="budżet państwa (z wyjątkiem GDDKiA)"/>
    <s v="Zakup oprogramowania dla urządzeń infrastruktury węzłów telekomunikacyjnych marki F5 _x000a_"/>
    <s v="Zakup oprogramowania dla urządzeń infrastruktury węzłów telekomunikacyjnych marki F5 _x000a_"/>
    <n v="153"/>
    <m/>
    <m/>
    <m/>
    <m/>
    <m/>
    <m/>
    <m/>
    <m/>
    <m/>
    <x v="0"/>
  </r>
  <r>
    <n v="27"/>
    <s v="DTC"/>
    <s v="inny - środki krajowe"/>
    <s v="Umowa na realizację przez COI niektórych zadań Ministra Cyfryzacji - odsprzedaż"/>
    <s v="nd"/>
    <s v="nd"/>
    <m/>
    <n v="6060"/>
    <n v="0"/>
    <s v="16.1.2.1"/>
    <s v="budżet państwa (z wyjątkiem GDDKiA)"/>
    <s v="Dostawa dwóch blokowych macierzy dyskowych"/>
    <s v="Dostawa dwóch blokowych macierzy dyskowych"/>
    <n v="0"/>
    <m/>
    <m/>
    <m/>
    <m/>
    <m/>
    <m/>
    <m/>
    <m/>
    <m/>
    <x v="0"/>
  </r>
  <r>
    <n v="27"/>
    <s v="DTC"/>
    <s v="inny - środki krajowe"/>
    <s v="Umowa na realizację przez COI niektórych zadań Ministra Cyfryzacji - odsprzedaż"/>
    <s v="nd"/>
    <s v="nd"/>
    <m/>
    <n v="6060"/>
    <n v="0"/>
    <s v="16.1.2.1"/>
    <s v="budżet państwa (z wyjątkiem GDDKiA)"/>
    <s v="Dostawa Sprzętu i Oprogramowania - Dostawa urządzeń sieciowych - KN"/>
    <s v="Dostawa Sprzętu i Oprogramowania - Dostawa urządzeń sieciowych - KN"/>
    <n v="0"/>
    <m/>
    <m/>
    <m/>
    <m/>
    <m/>
    <m/>
    <m/>
    <m/>
    <m/>
    <x v="0"/>
  </r>
  <r>
    <n v="27"/>
    <s v="DTC"/>
    <s v="inny - środki krajowe"/>
    <s v="Umowa na realizację przez COI niektórych zadań Ministra Cyfryzacji - odsprzedaż"/>
    <s v="nd"/>
    <s v="nd"/>
    <m/>
    <n v="6060"/>
    <n v="0"/>
    <s v="16.1.2.1"/>
    <s v="budżet państwa (z wyjątkiem GDDKiA)"/>
    <s v="Dostawa systemu backup"/>
    <s v="Dostawa systemu backup"/>
    <n v="0"/>
    <m/>
    <m/>
    <m/>
    <m/>
    <m/>
    <m/>
    <m/>
    <m/>
    <m/>
    <x v="1"/>
  </r>
  <r>
    <n v="27"/>
    <s v="DTC"/>
    <s v="inny - środki krajowe"/>
    <s v="Umowa na realizację przez COI niektórych zadań Ministra Cyfryzacji - odsprzedaż"/>
    <s v="nd"/>
    <s v="nd"/>
    <m/>
    <n v="6060"/>
    <n v="0"/>
    <s v="16.1.2.1"/>
    <s v="budżet państwa (z wyjątkiem GDDKiA)"/>
    <s v="Dostawa oraz wdrożenie sprzętowej platformy wirtualizacyjnej _x000a_Hiper Converged Infrastructure HCI"/>
    <s v="Dostawa oraz wdrożenie sprzętowej platformy wirtualizacyjnej _x000a_Hiper Converged Infrastructure HCI"/>
    <n v="0"/>
    <m/>
    <m/>
    <m/>
    <m/>
    <m/>
    <m/>
    <m/>
    <m/>
    <m/>
    <x v="1"/>
  </r>
  <r>
    <n v="27"/>
    <s v="DTC"/>
    <s v="inny - środki krajowe"/>
    <s v="Umowa na realizację przez COI niektórych zadań Ministra Cyfryzacji - odsprzedaż"/>
    <s v="nd"/>
    <s v="nd"/>
    <m/>
    <n v="6060"/>
    <n v="0"/>
    <s v="16.1.2.1"/>
    <s v="budżet państwa (z wyjątkiem GDDKiA)"/>
    <s v="Rozbudowa platformy_x000a_ wirtualizacyjnej"/>
    <s v="Rozbudowa platformy_x000a_ wirtualizacyjnej"/>
    <n v="2654"/>
    <m/>
    <m/>
    <m/>
    <m/>
    <m/>
    <m/>
    <m/>
    <m/>
    <m/>
    <x v="1"/>
  </r>
  <r>
    <n v="27"/>
    <s v="DTC"/>
    <s v="inny - środki krajowe"/>
    <s v="Umowa na realizację przez COI niektórych zadań Ministra Cyfryzacji - odsprzedaż"/>
    <s v="nd"/>
    <s v="nd"/>
    <m/>
    <n v="6060"/>
    <n v="0"/>
    <s v="16.1.2.1"/>
    <s v="budżet państwa (z wyjątkiem GDDKiA)"/>
    <s v="Dostawa i rozbudowa systemu backup wraz z montażem"/>
    <s v="Dostawa i rozbudowa systemu backup wraz z montażem"/>
    <n v="83"/>
    <m/>
    <m/>
    <m/>
    <m/>
    <m/>
    <m/>
    <m/>
    <m/>
    <m/>
    <x v="1"/>
  </r>
  <r>
    <n v="27"/>
    <s v="DTC"/>
    <s v="inny - środki krajowe"/>
    <s v="Umowa na realizację przez COI niektórych zadań Ministra Cyfryzacji - odsprzedaż"/>
    <s v="nd"/>
    <s v="nd"/>
    <m/>
    <n v="6060"/>
    <n v="0"/>
    <s v="16.1.2.1"/>
    <s v="budżet państwa (z wyjątkiem GDDKiA)"/>
    <s v="Rozbudowa istniejącej infrastruktury Fortinet poprzez zakup _x000a_oprogramowania FortiMail lub oprogramowania równoważnego"/>
    <s v="Rozbudowa istniejącej infrastruktury Fortinet poprzez zakup _x000a_oprogramowania FortiMail lub oprogramowania równoważnego"/>
    <n v="194"/>
    <m/>
    <m/>
    <m/>
    <m/>
    <m/>
    <m/>
    <m/>
    <m/>
    <m/>
    <x v="0"/>
  </r>
  <r>
    <n v="27"/>
    <s v="DTC"/>
    <s v="inny - środki krajowe"/>
    <s v="Umowa na realizację przez COI niektórych zadań Ministra Cyfryzacji - odsprzedaż"/>
    <s v="nd"/>
    <s v="nd"/>
    <m/>
    <n v="6060"/>
    <n v="0"/>
    <s v="16.1.2.1"/>
    <s v="budżet państwa (z wyjątkiem GDDKiA)"/>
    <s v="Dostawa oraz wdrożenie Platformy Bazodanowej"/>
    <s v="Dostawa oraz wdrożenie Platformy Bazodanowej"/>
    <m/>
    <m/>
    <m/>
    <m/>
    <m/>
    <m/>
    <m/>
    <m/>
    <m/>
    <m/>
    <x v="1"/>
  </r>
  <r>
    <n v="27"/>
    <s v="DTC"/>
    <s v="inny - środki krajowe"/>
    <s v="Umowa na realizację przez COI niektórych zadań Ministra Cyfryzacji - odsprzedaż"/>
    <s v="nd"/>
    <s v="nd"/>
    <m/>
    <n v="6060"/>
    <n v="0"/>
    <s v="16.1.2.1"/>
    <s v="budżet państwa (z wyjątkiem GDDKiA)"/>
    <s v="Zakup sprzętu, konwersja licencji IBM"/>
    <s v="Zakup sprzętu, konwersja licencji IBM"/>
    <n v="10194"/>
    <m/>
    <m/>
    <m/>
    <m/>
    <m/>
    <m/>
    <m/>
    <m/>
    <m/>
    <x v="0"/>
  </r>
  <r>
    <n v="27"/>
    <s v="DTC"/>
    <s v="inny - środki krajowe"/>
    <s v="Umowa na realizację przez COI niektórych zadań Ministra Cyfryzacji - odsprzedaż"/>
    <s v="nd"/>
    <s v="nd"/>
    <m/>
    <n v="6060"/>
    <n v="0"/>
    <s v="16.1.2.1"/>
    <s v="budżet państwa (z wyjątkiem GDDKiA)"/>
    <s v="Dostawa sprzętu i oprogramowania do monitoringu wydajności"/>
    <s v="Dostawa sprzętu i oprogramowania do monitoringu wydajności"/>
    <n v="1750"/>
    <m/>
    <m/>
    <m/>
    <m/>
    <m/>
    <m/>
    <m/>
    <m/>
    <m/>
    <x v="0"/>
  </r>
  <r>
    <n v="27"/>
    <s v="DTC"/>
    <s v="inny - środki krajowe"/>
    <s v="Umowa na realizację przez COI niektórych zadań Ministra Cyfryzacji - odsprzedaż"/>
    <s v="nd"/>
    <s v="nd"/>
    <m/>
    <n v="6060"/>
    <n v="0"/>
    <s v="16.1.2.1"/>
    <s v="budżet państwa (z wyjątkiem GDDKiA)"/>
    <s v="Dostawa serwerów wraz z gwarancją na okres 36 miesięcy _x000a_oraz dostawa oprogramowania_x000a_RedHat CEPH lub równoważnego_x000a_ "/>
    <s v="Dostawa serwerów wraz z gwarancją na okres 36 miesięcy _x000a_oraz dostawa oprogramowania_x000a_RedHat CEPH lub równoważnego_x000a_ "/>
    <n v="0"/>
    <m/>
    <m/>
    <m/>
    <m/>
    <m/>
    <m/>
    <m/>
    <m/>
    <m/>
    <x v="0"/>
  </r>
  <r>
    <n v="27"/>
    <s v="DTC"/>
    <s v="inny - środki krajowe"/>
    <s v="Umowa na realizację przez COI niektórych zadań Ministra Cyfryzacji - odsprzedaż"/>
    <s v="nd"/>
    <s v="nd"/>
    <m/>
    <n v="6060"/>
    <n v="0"/>
    <s v="16.1.2.1"/>
    <s v="budżet państwa (z wyjątkiem GDDKiA)"/>
    <s v="Dostawa licencji oprogramowania antywirusowego"/>
    <s v="Dostawa licencji oprogramowania antywirusowego"/>
    <n v="0"/>
    <m/>
    <m/>
    <m/>
    <m/>
    <m/>
    <m/>
    <m/>
    <m/>
    <m/>
    <x v="2"/>
  </r>
  <r>
    <n v="27"/>
    <s v="DTC"/>
    <s v="inny - środki krajowe"/>
    <s v="Umowa na realizację przez COI niektórych zadań Ministra Cyfryzacji - odsprzedaż"/>
    <s v="nd"/>
    <s v="nd"/>
    <m/>
    <n v="6060"/>
    <n v="0"/>
    <s v="16.1.2.1"/>
    <s v="budżet państwa (z wyjątkiem GDDKiA)"/>
    <s v="Rozbudowa infrastruktury systemów nadzoru i bezpieczeństwa NGFW"/>
    <s v="Rozbudowa infrastruktury systemów nadzoru i bezpieczeństwa NGFW"/>
    <n v="0"/>
    <m/>
    <m/>
    <m/>
    <m/>
    <m/>
    <m/>
    <m/>
    <m/>
    <m/>
    <x v="1"/>
  </r>
  <r>
    <n v="27"/>
    <s v="DTC"/>
    <s v="inny - środki krajowe"/>
    <s v="Umowa na realizację przez COI niektórych zadań Ministra Cyfryzacji"/>
    <s v="nd"/>
    <s v="nd"/>
    <m/>
    <n v="6060"/>
    <n v="0"/>
    <s v="16.1.2.1"/>
    <s v="budżet państwa (z wyjątkiem GDDKiA)"/>
    <s v="Rozwój systemu LSI oraz migracja do infrastruktury utrzymywanej przez COI"/>
    <s v="Rozwój systemu LSI oraz migracja do infrastruktury utrzymywanej przez COI"/>
    <n v="7583"/>
    <m/>
    <m/>
    <m/>
    <m/>
    <m/>
    <m/>
    <m/>
    <m/>
    <m/>
    <x v="1"/>
  </r>
  <r>
    <n v="27"/>
    <s v="DTC"/>
    <s v="inny - środki krajowe"/>
    <s v="Umowa na realizację przez COI niektórych zadań Ministra Cyfryzacji - odsprzedaż"/>
    <s v="nd"/>
    <s v="nd"/>
    <m/>
    <n v="6060"/>
    <n v="0"/>
    <s v="16.1.2.1"/>
    <s v="budżet państwa (z wyjątkiem GDDKiA)"/>
    <s v="Zakup infrastruktury systemu Kronik@ 2.0 (nowy projekt)"/>
    <s v="Zakup infrastruktury systemu Kronik@ 2.0 (nowy projekt)"/>
    <n v="0"/>
    <m/>
    <m/>
    <m/>
    <m/>
    <m/>
    <m/>
    <m/>
    <m/>
    <m/>
    <x v="0"/>
  </r>
  <r>
    <n v="27"/>
    <s v="DTC"/>
    <s v="inny - środki krajowe"/>
    <s v="Umowa na realizację przez COI niektórych zadań Ministra Cyfryzacji - odsprzedaż"/>
    <s v="nd"/>
    <s v="nd"/>
    <m/>
    <n v="6060"/>
    <n v="0"/>
    <s v="16.1.2.1"/>
    <s v="budżet państwa (z wyjątkiem GDDKiA)"/>
    <s v="Zakup infrastruktury do migracji systemu Kronik@ oraz Zakup infrastruktury systemu Kronik@ 2.0 (nowy projekt)"/>
    <s v="Zakup infrastruktury do migracji systemu Kronik@ oraz Zakup infrastruktury systemu Kronik@ 2.0 (nowy projekt)"/>
    <n v="33944"/>
    <m/>
    <m/>
    <m/>
    <m/>
    <m/>
    <m/>
    <m/>
    <m/>
    <m/>
    <x v="0"/>
  </r>
  <r>
    <n v="27"/>
    <s v="DTC"/>
    <s v="inny - środki krajowe"/>
    <s v="Umowa na realizację przez COI niektórych zadań Ministra Cyfryzacji"/>
    <s v="nd"/>
    <s v="nd"/>
    <m/>
    <n v="6060"/>
    <n v="0"/>
    <s v="16.1.2.1"/>
    <s v="budżet państwa (z wyjątkiem GDDKiA)"/>
    <s v="Rozwój systemu Kronik@ oraz migracja do infrastruktury utrzymywanej przez COI"/>
    <s v="Rozwój systemu Kronik@ oraz migracja do infrastruktury utrzymywanej przez COI"/>
    <n v="16000"/>
    <m/>
    <m/>
    <m/>
    <m/>
    <m/>
    <m/>
    <m/>
    <m/>
    <m/>
    <x v="1"/>
  </r>
  <r>
    <n v="27"/>
    <s v="DTC"/>
    <s v="inny - środki krajowe"/>
    <s v="Umowa na realizację przez COI niektórych zadań Ministra Cyfryzacji - odsprzedaż"/>
    <s v="nd"/>
    <s v="nd"/>
    <m/>
    <n v="6060"/>
    <n v="0"/>
    <s v="16.5.1.2"/>
    <s v="budżet państwa (z wyjątkiem GDDKiA)"/>
    <s v="Zakup oprogramowania (licencje) trzeciego węzła Rządowego Klastra Bezpieczeństwa"/>
    <s v="Zakup oprogramowania (licencje) trzeciego węzła Rządowego Klastra Bezpieczeństwa"/>
    <n v="0"/>
    <m/>
    <m/>
    <m/>
    <m/>
    <m/>
    <m/>
    <m/>
    <m/>
    <m/>
    <x v="2"/>
  </r>
  <r>
    <n v="27"/>
    <s v="BA "/>
    <s v="n/d"/>
    <s v="Zakup urządzeń sieciowych - MC"/>
    <s v="n/d"/>
    <s v="n/d"/>
    <s v="n/d"/>
    <n v="6060"/>
    <n v="0"/>
    <s v="22.1.1.1."/>
    <s v="budżet państwa (z wyjątkiem GDDKiA)"/>
    <s v="Zakup urządzeń sieciowych - MC"/>
    <s v="Zakup urządzeń potrzeby sieci LAN/WAN MC, które powstały w wyniku wydzielenia MC ze struktur KPRM  (Serwer HCI, switche core, switche accessowe, firewall brzegowy, sieć WiFi (kontrolery oraz access pointy), Routery)"/>
    <n v="10000"/>
    <n v="0"/>
    <n v="0"/>
    <n v="0"/>
    <n v="0"/>
    <s v="planowane"/>
    <s v="nie dotyczy"/>
    <m/>
    <s v="n/d"/>
    <m/>
    <x v="3"/>
  </r>
  <r>
    <n v="27"/>
    <s v="BA "/>
    <s v="n/d"/>
    <s v="zakupy inwestycyjne na potrzeby MC"/>
    <s v="n/d"/>
    <m/>
    <s v="n/d"/>
    <n v="6060"/>
    <n v="0"/>
    <s v="22.1.1.1."/>
    <m/>
    <s v="zakupy inwestycyjne na potrzeby MC"/>
    <s v="skaner, bramka itp.."/>
    <n v="0"/>
    <n v="0"/>
    <n v="0"/>
    <n v="0"/>
    <n v="0"/>
    <s v="planowane"/>
    <s v="nie dotyczy"/>
    <m/>
    <s v="n/d"/>
    <m/>
    <x v="1"/>
  </r>
  <r>
    <n v="27"/>
    <s v="DTC"/>
    <s v="inny - środki krajowe"/>
    <s v="Umowa na realizację przez COI niektórych zadań Ministra Cyfryzacji - odsprzedaż"/>
    <s v="nd"/>
    <s v="nd"/>
    <m/>
    <n v="6060"/>
    <n v="0"/>
    <s v="16.5.1.2"/>
    <s v="budżet państwa (z wyjątkiem GDDKiA)"/>
    <s v="Zakup urządzeń sieciowych trzeciego węzła Rządowego Klastra Bezpieczeństwa"/>
    <s v="Zakup urządzeń sieciowych trzeciego węzła Rządowego Klastra Bezpieczeństwa"/>
    <n v="0"/>
    <m/>
    <m/>
    <m/>
    <m/>
    <m/>
    <m/>
    <m/>
    <m/>
    <m/>
    <x v="3"/>
  </r>
  <r>
    <n v="27"/>
    <s v="DTC"/>
    <s v="inny - środki krajowe"/>
    <s v="Umowa na realizację przez COI niektórych zadań Ministra Cyfryzacji - odsprzedaż"/>
    <s v="nd"/>
    <s v="nd"/>
    <m/>
    <n v="6060"/>
    <n v="0"/>
    <s v="16.5.1.2"/>
    <s v="budżet państwa (z wyjątkiem GDDKiA)"/>
    <s v="Zakup sprzętu komputerowego – doposażenie dwóch ośrodków obliczeniowych Rządowej Chmury Obliczeniowej"/>
    <s v="Zakup sprzętu komputerowego – doposażenie dwóch ośrodków obliczeniowych Rządowej Chmury Obliczeniowej"/>
    <n v="0"/>
    <m/>
    <m/>
    <m/>
    <m/>
    <m/>
    <m/>
    <m/>
    <m/>
    <m/>
    <x v="0"/>
  </r>
  <r>
    <n v="27"/>
    <s v="DTC"/>
    <s v="inny - środki krajowe"/>
    <s v="Umowa na realizację przez COI niektórych zadań Ministra Cyfryzacji - odsprzedaż"/>
    <s v="nd"/>
    <s v="nd"/>
    <m/>
    <n v="6060"/>
    <n v="0"/>
    <s v="16.5.1.2"/>
    <s v="budżet państwa (z wyjątkiem GDDKiA)"/>
    <s v="Zakup sprzętu komputerowego i oprogramowania (licencje) na potrzeby rozwoju Systemu Zapewniania Usług Chmurowych"/>
    <s v="Zakup sprzętu komputerowego i oprogramowania (licencje) na potrzeby rozwoju Systemu Zapewniania Usług Chmurowych"/>
    <n v="2500"/>
    <m/>
    <m/>
    <m/>
    <m/>
    <m/>
    <m/>
    <m/>
    <m/>
    <m/>
    <x v="0"/>
  </r>
  <r>
    <n v="27"/>
    <s v="DTC"/>
    <s v="inny - środki krajowe"/>
    <s v="Umowa na realizację przez COI niektórych zadań Ministra Cyfryzacji - odsprzedaż"/>
    <s v="nd"/>
    <s v="nd"/>
    <m/>
    <n v="6060"/>
    <n v="0"/>
    <s v="16.5.1.2"/>
    <s v="budżet państwa (z wyjątkiem GDDKiA)"/>
    <s v="Zakup oprogramowania (licencje) Rządowego Klastra Bezpieczeństwa"/>
    <s v="Zakup oprogramowania (licencje) Rządowego Klastra Bezpieczeństwa"/>
    <n v="5000"/>
    <m/>
    <m/>
    <m/>
    <m/>
    <m/>
    <m/>
    <m/>
    <m/>
    <m/>
    <x v="2"/>
  </r>
  <r>
    <n v="27"/>
    <s v="DTC"/>
    <s v="inny - środki krajowe"/>
    <s v="Umowa na realizację przez COI niektórych zadań Ministra Cyfryzacji - odsprzedaż"/>
    <s v="nd"/>
    <s v="nd"/>
    <m/>
    <n v="6060"/>
    <n v="0"/>
    <s v="16.5.1.2"/>
    <s v="budżet państwa (z wyjątkiem GDDKiA)"/>
    <s v="Zakup urządzeń sieciowych (odtworzenie) Rządowego Klastra Bezpieczeństwa"/>
    <s v="Zakup urządzeń sieciowych (odtworzenie) Rządowego Klastra Bezpieczeństwa"/>
    <n v="10213"/>
    <m/>
    <m/>
    <m/>
    <m/>
    <m/>
    <m/>
    <m/>
    <m/>
    <m/>
    <x v="3"/>
  </r>
  <r>
    <n v="27"/>
    <s v="DTC"/>
    <s v="inny - środki krajowe"/>
    <s v="Umowa na realizację przez COI niektórych zadań Ministra Cyfryzacji - odsprzedaż"/>
    <s v="nd"/>
    <s v="nd"/>
    <m/>
    <n v="6060"/>
    <n v="0"/>
    <s v="16.5.1.2"/>
    <s v="budżet państwa (z wyjątkiem GDDKiA)"/>
    <s v="Zakup oprogramowania (licencje) Rządowej Chmury Obliczeniowej"/>
    <s v="Zakup oprogramowania (licencje) Rządowej Chmury Obliczeniowej"/>
    <n v="12400"/>
    <m/>
    <m/>
    <m/>
    <m/>
    <m/>
    <m/>
    <m/>
    <m/>
    <m/>
    <x v="2"/>
  </r>
  <r>
    <n v="27"/>
    <s v="DTC"/>
    <s v="inny - środki krajowe"/>
    <s v="Umowa na realizację przez COI niektórych zadań Ministra Cyfryzacji - odsprzedaż"/>
    <s v="nd"/>
    <s v="nd"/>
    <m/>
    <n v="6060"/>
    <n v="0"/>
    <s v="16.5.1.2"/>
    <s v="budżet państwa (z wyjątkiem GDDKiA)"/>
    <s v="Zakup sprzętu komputerowego (odtworzenie) Rządowej Chmury Obliczeniowej"/>
    <s v="Zakup sprzętu komputerowego (odtworzenie) Rządowej Chmury Obliczeniowej"/>
    <n v="15000"/>
    <m/>
    <m/>
    <m/>
    <m/>
    <m/>
    <m/>
    <m/>
    <m/>
    <m/>
    <x v="0"/>
  </r>
  <r>
    <n v="27"/>
    <s v="DTC"/>
    <s v="inny - środki krajowe"/>
    <s v="Umowa na realizację przez COI niektórych zadań Ministra Cyfryzacji"/>
    <s v="nd"/>
    <s v="nd"/>
    <m/>
    <n v="6060"/>
    <n v="0"/>
    <s v="16.1.2.1"/>
    <s v="budżet państwa (z wyjątkiem GDDKiA)"/>
    <s v="System Rejestrów Państwowych - rozwój i wdrażanie zmian wynikajacych ze zmian przepisów prawa, w tym realizacja Programu refaktoringu"/>
    <s v="System Rejestrów Państwowych - rozwój i wdrażanie zmian wynikajacych ze zmian przepisów prawa, w tym realizacja Programu refaktoringu"/>
    <n v="14250"/>
    <m/>
    <m/>
    <m/>
    <m/>
    <m/>
    <m/>
    <m/>
    <m/>
    <m/>
    <x v="1"/>
  </r>
  <r>
    <n v="27"/>
    <s v="DTC"/>
    <s v="inny - środki krajowe"/>
    <s v="Umowa na realizację przez COI niektórych zadań Ministra Cyfryzacji"/>
    <s v="nd"/>
    <s v="nd"/>
    <m/>
    <n v="6060"/>
    <n v="0"/>
    <s v="16.1.2.1"/>
    <s v="budżet państwa (z wyjątkiem GDDKiA)"/>
    <s v="Rozwój Centralnego Rejestru Wyborców"/>
    <s v="Rozwój Centralnego Rejestru Wyborców"/>
    <n v="8000"/>
    <m/>
    <m/>
    <m/>
    <m/>
    <m/>
    <m/>
    <m/>
    <m/>
    <m/>
    <x v="1"/>
  </r>
  <r>
    <n v="27"/>
    <s v="DTC"/>
    <s v="inny - środki krajowe"/>
    <s v="Umowa na realizację przez COI niektórych zadań Ministra Cyfryzacji"/>
    <s v="nd"/>
    <s v="nd"/>
    <m/>
    <n v="6060"/>
    <n v="0"/>
    <s v="16.5.1.2"/>
    <s v="budżet państwa (z wyjątkiem GDDKiA)"/>
    <s v="Rozwój ePUAP"/>
    <s v="Rozwój ePUAP"/>
    <n v="7084"/>
    <m/>
    <m/>
    <m/>
    <m/>
    <m/>
    <m/>
    <m/>
    <m/>
    <m/>
    <x v="1"/>
  </r>
  <r>
    <n v="27"/>
    <s v="DTC"/>
    <s v="inny - środki krajowe"/>
    <s v="Umowa na realizację przez COI niektórych zadań Ministra Cyfryzacji"/>
    <s v="nd"/>
    <s v="nd"/>
    <m/>
    <n v="6060"/>
    <n v="0"/>
    <s v="16.5.1.2"/>
    <s v="budżet państwa (z wyjątkiem GDDKiA)"/>
    <s v="Rozwój Katalogu Podmiotów Publicznych"/>
    <s v="Rozwój Katalogu Podmiotów Publicznych"/>
    <n v="1693"/>
    <m/>
    <m/>
    <m/>
    <m/>
    <m/>
    <m/>
    <m/>
    <m/>
    <m/>
    <x v="1"/>
  </r>
  <r>
    <n v="27"/>
    <s v="DTC"/>
    <s v="inny - środki krajowe"/>
    <s v="Umowa na realizację przez COI niektórych zadań Ministra Cyfryzacji"/>
    <s v="nd"/>
    <s v="nd"/>
    <m/>
    <n v="6060"/>
    <n v="0"/>
    <s v="16.5.1.2"/>
    <s v="budżet państwa (z wyjątkiem GDDKiA)"/>
    <s v="Rozwój systemu e-Doręczeń"/>
    <s v="Rozwój systemu e-Doręczeń"/>
    <n v="18245"/>
    <m/>
    <m/>
    <m/>
    <m/>
    <m/>
    <m/>
    <m/>
    <m/>
    <m/>
    <x v="1"/>
  </r>
  <r>
    <n v="27"/>
    <s v="DTC"/>
    <s v="inny - środki krajowe"/>
    <s v="Umowa na realizację przez COI niektórych zadań Ministra Cyfryzacji"/>
    <s v="nd"/>
    <s v="nd"/>
    <m/>
    <n v="6060"/>
    <n v="0"/>
    <s v="16.1.2.1"/>
    <s v="budżet państwa (z wyjątkiem GDDKiA)"/>
    <s v="Rozwój systemu Profil Zaufany związany z budową środka identyfikacji dla osób prawnych"/>
    <s v="Rozwój systemu Profil Zaufany związany z budową środka identyfikacji dla osób prawnych"/>
    <n v="22632"/>
    <m/>
    <m/>
    <m/>
    <m/>
    <m/>
    <m/>
    <m/>
    <m/>
    <m/>
    <x v="1"/>
  </r>
  <r>
    <n v="27"/>
    <s v="DTC"/>
    <s v="inny - środki krajowe"/>
    <s v="Umowa na realizację przez COI niektórych zadań Ministra Cyfryzacji - odsprzedaż"/>
    <s v="nd"/>
    <s v="nd"/>
    <m/>
    <n v="6060"/>
    <n v="0"/>
    <s v="16.5.1.2"/>
    <s v="budżet państwa (z wyjątkiem GDDKiA)"/>
    <s v="Zakup infrastruktury - Platfroma ePłatności"/>
    <s v="Zakup infrastruktury - Platfroma ePłatności"/>
    <n v="9829"/>
    <m/>
    <m/>
    <m/>
    <m/>
    <m/>
    <m/>
    <m/>
    <m/>
    <m/>
    <x v="0"/>
  </r>
  <r>
    <n v="27"/>
    <s v="DTC"/>
    <s v="inny - środki krajowe"/>
    <s v="Umowa na realizację przez COI niektórych zadań Ministra Cyfryzacji"/>
    <s v="nd"/>
    <s v="nd"/>
    <m/>
    <n v="6060"/>
    <n v="0"/>
    <s v="16.5.1.2"/>
    <s v="budżet państwa (z wyjątkiem GDDKiA)"/>
    <s v="Rozwój e-usług publicznych - Realizacja prac w zakresie ekosystemu e-usług obejmującego budowę nowych rozwiązań IT, w tym systemów informatycznych i aplikacji związanych z udostępnianiem e-usług"/>
    <s v="Rozwój e-usług publicznych - Realizacja prac w zakresie ekosystemu e-usług obejmującego budowę nowych rozwiązań IT, w tym systemów informatycznych i aplikacji związanych z udostępnianiem e-usług"/>
    <n v="15000"/>
    <m/>
    <m/>
    <m/>
    <m/>
    <m/>
    <m/>
    <m/>
    <m/>
    <m/>
    <x v="1"/>
  </r>
  <r>
    <n v="27"/>
    <s v="DTC"/>
    <s v="inny - środki krajowe"/>
    <s v="Umowa na realizację przez COI niektórych zadań Ministra Cyfryzacji"/>
    <s v="nd"/>
    <s v="nd"/>
    <m/>
    <n v="6060"/>
    <n v="0"/>
    <s v="16.5.1.2"/>
    <s v="budżet państwa (z wyjątkiem GDDKiA)"/>
    <s v="Budowa Portalu Sztucznej Inteligencji AI Act"/>
    <s v="Budowa Portalu Sztucznej Inteligencji AI Act"/>
    <n v="600"/>
    <m/>
    <m/>
    <m/>
    <m/>
    <m/>
    <m/>
    <m/>
    <m/>
    <m/>
    <x v="1"/>
  </r>
  <r>
    <n v="27"/>
    <s v="DTC"/>
    <s v="inny - środki krajowe"/>
    <s v="Umowa na realizację przez COI niektórych zadań Ministra Cyfryzacji"/>
    <s v="nd"/>
    <s v="nd"/>
    <m/>
    <n v="6060"/>
    <n v="0"/>
    <s v="16.5.1.2"/>
    <s v="budżet państwa (z wyjątkiem GDDKiA)"/>
    <s v="Rozwój Usługi Wyborczej Mężowie Zaufania - aplikacja &quot;Mąż Zaufania&quot;  - dostosowanie na kolejne wydarzenie wyborcze - wybory prezydenckie"/>
    <s v="Rozwój Usługi Wyborczej Mężowie Zaufania - aplikacja &quot;Mąż Zaufania&quot;  - dostosowanie na kolejne wydarzenie wyborcze - wybory prezydenckie"/>
    <m/>
    <m/>
    <m/>
    <m/>
    <m/>
    <m/>
    <m/>
    <m/>
    <m/>
    <m/>
    <x v="1"/>
  </r>
  <r>
    <n v="27"/>
    <s v="DTC"/>
    <s v="inny - środki krajowe"/>
    <s v="Umowa na realizację przez COI niektórych zadań Ministra Cyfryzacji"/>
    <s v="nd"/>
    <s v="nd"/>
    <m/>
    <n v="6060"/>
    <n v="0"/>
    <s v="16.5.1.2"/>
    <s v="budżet państwa (z wyjątkiem GDDKiA)"/>
    <s v="Rozwój Usługi Wyborczej Mężowie Zaufania - Baza mężów zaufania - dostosowanie na kolejne wydarzenie wyborcze - wybory prezydenckie"/>
    <s v="Rozwój Usługi Wyborczej Mężowie Zaufania - Baza mężów zaufania - dostosowanie na kolejne wydarzenie wyborcze - wybory prezydenckie"/>
    <m/>
    <m/>
    <m/>
    <m/>
    <m/>
    <m/>
    <m/>
    <m/>
    <m/>
    <m/>
    <x v="1"/>
  </r>
  <r>
    <n v="27"/>
    <s v="DTC"/>
    <s v="inny - środki krajowe"/>
    <s v="Umowa na realizację przez COI niektórych zadań Ministra Cyfryzacji"/>
    <s v="nd"/>
    <s v="nd"/>
    <m/>
    <n v="6060"/>
    <n v="0"/>
    <s v="16.5.1.2"/>
    <s v="budżet państwa (z wyjątkiem GDDKiA)"/>
    <s v="Rozwój e-Usług, w tym Platfroma ePłatności"/>
    <s v="Rozwój e-Usług, w tym Platfroma ePłatności"/>
    <n v="0"/>
    <m/>
    <m/>
    <m/>
    <m/>
    <m/>
    <m/>
    <m/>
    <m/>
    <m/>
    <x v="1"/>
  </r>
  <r>
    <n v="27"/>
    <s v="DTC"/>
    <s v="inny - środki krajowe"/>
    <s v="Umowa na realizację przez COI niektórych zadań Ministra Cyfryzacji"/>
    <s v="nd"/>
    <s v="nd"/>
    <m/>
    <n v="6060"/>
    <n v="0"/>
    <s v="16.5.1.2"/>
    <s v="budżet państwa (z wyjątkiem GDDKiA)"/>
    <s v="Rozwój Generatora Formularzy - budowa Ekosystemu 2.0 do wytwarzania eUsług"/>
    <s v="Rozwój Generatora Formularzy - budowa Ekosystemu 2.0 do wytwarzania eUsług"/>
    <n v="6000"/>
    <m/>
    <m/>
    <m/>
    <m/>
    <m/>
    <m/>
    <m/>
    <m/>
    <m/>
    <x v="1"/>
  </r>
  <r>
    <n v="27"/>
    <s v="DTC"/>
    <s v="inny - środki krajowe"/>
    <s v="Umowa na realizację przez COI niektórych zadań Ministra Cyfryzacji"/>
    <s v="nd"/>
    <s v="nd"/>
    <m/>
    <n v="6060"/>
    <n v="0"/>
    <s v="16.5.1.2"/>
    <s v="budżet państwa (z wyjątkiem GDDKiA)"/>
    <s v="Captcha - budowa zabezpieczenia na stronach www przed niechcianym ruchem generowanym przez roboty"/>
    <s v="Captcha - budowa zabezpieczenia na stronach www przed niechcianym ruchem generowanym przez roboty"/>
    <n v="2460"/>
    <m/>
    <m/>
    <m/>
    <m/>
    <m/>
    <m/>
    <m/>
    <m/>
    <m/>
    <x v="1"/>
  </r>
  <r>
    <n v="27"/>
    <s v="DTC"/>
    <s v="inny - środki krajowe"/>
    <s v="Umowa na realizację przez COI niektórych zadań Ministra Cyfryzacji"/>
    <s v="nd"/>
    <s v="nd"/>
    <m/>
    <n v="6060"/>
    <n v="0"/>
    <s v="16.5.1.2"/>
    <s v="budżet państwa (z wyjątkiem GDDKiA)"/>
    <s v="Rozwój serwisu mObywatel.gov.pl"/>
    <s v="Rozwój serwisu mObywatel.gov.pl"/>
    <n v="7774"/>
    <m/>
    <m/>
    <m/>
    <m/>
    <m/>
    <m/>
    <m/>
    <m/>
    <m/>
    <x v="1"/>
  </r>
  <r>
    <n v="27"/>
    <s v="DC"/>
    <s v="n/d"/>
    <s v="n/d"/>
    <s v="n/d"/>
    <s v="n/d"/>
    <s v="n/d"/>
    <n v="6060"/>
    <n v="0"/>
    <s v="22.1.1.1."/>
    <s v="budżet państwa (z wyjątkiem GDDKiA)"/>
    <s v="zakup sprzętu na potrzeby zespołu informacji niejawnych"/>
    <s v="zakup sprzętu na potrzeby zespołu informacji niejawnych (m.in. Laptopy)"/>
    <n v="70"/>
    <n v="0"/>
    <n v="0"/>
    <n v="0"/>
    <n v="0"/>
    <s v="planowane"/>
    <s v="n/d"/>
    <s v="n/d"/>
    <s v="n/d"/>
    <m/>
    <x v="0"/>
  </r>
  <r>
    <n v="27"/>
    <s v="DBI"/>
    <s v="Inny"/>
    <s v="ZPA Licencje"/>
    <s v="IV kw 2024-I kw 2025"/>
    <s v="nd"/>
    <n v="2025"/>
    <n v="6060"/>
    <n v="0"/>
    <s v="16.5.2.2"/>
    <s v="Beneficjent"/>
    <s v="ZPA oprogramowanie analityczne i do budowy Platformy ZPA (utrzymanie)"/>
    <s v="ZPA - zakup licencji oprogramowania analitycznego i przedłużenie do oprogramowania do budowy platformy"/>
    <n v="500"/>
    <n v="0"/>
    <n v="0"/>
    <n v="0"/>
    <n v="0"/>
    <s v="planowane"/>
    <m/>
    <m/>
    <m/>
    <s v="BBF - paragraf skorygowany po uzgodnieniach z Dyr. Pamelą Krzypkowską na teams - wydatek majątkowy nie był zgłaszany do MF w formularzu BW-IA"/>
    <x v="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96">
  <r>
    <x v="0"/>
    <x v="0"/>
    <s v="BA "/>
    <x v="0"/>
    <x v="0"/>
    <x v="0"/>
    <s v="22.1.1.1"/>
    <s v="Beneficjent"/>
    <s v="usługa cateringowa na potrzeby organizacji wydarzeń w MC"/>
    <s v="bieżące potrzeby - obsługa spotkań, narad, konferencji organizowanych w MC, w szczególności z udziałem Kierownictwa, (usługa cateringowa)"/>
    <n v="350"/>
    <n v="250"/>
    <n v="350"/>
    <n v="350"/>
    <n v="300"/>
    <s v="umowa"/>
    <s v="umowa"/>
    <s v="80/BA/24"/>
    <s v="Bracia Pietrzak Spółka Jawna Zielonka"/>
    <m/>
  </r>
  <r>
    <x v="0"/>
    <x v="0"/>
    <s v="BA "/>
    <x v="1"/>
    <x v="0"/>
    <x v="0"/>
    <s v="22.1.1.1"/>
    <s v="Beneficjent"/>
    <s v="utrzymanie budynku - opłata ustawowa"/>
    <s v="ustawowo nakazana płatność w ratach comiesięcznych, (podatek od nieruchomości)"/>
    <n v="130"/>
    <n v="130"/>
    <n v="135"/>
    <n v="135"/>
    <n v="135"/>
    <s v="umowa"/>
    <s v="deklaracja"/>
    <m/>
    <s v="urząd m.st. Warszawa"/>
    <m/>
  </r>
  <r>
    <x v="0"/>
    <x v="0"/>
    <s v="BA "/>
    <x v="1"/>
    <x v="0"/>
    <x v="0"/>
    <s v="22.1.1.1"/>
    <s v="Beneficjent"/>
    <s v="utrzymanie budynku - opłata ustawowa"/>
    <s v="dzierżawa terenu pod termomodernizację budynku, (umowa dzierżawna)"/>
    <n v="0"/>
    <n v="1"/>
    <n v="0"/>
    <n v="0"/>
    <n v="2"/>
    <s v="umowa"/>
    <s v="umowa"/>
    <s v="ZT/SR/D/117/2023"/>
    <s v="Zarząd Terenów Publicznych"/>
    <m/>
  </r>
  <r>
    <x v="0"/>
    <x v="0"/>
    <s v="BA "/>
    <x v="1"/>
    <x v="0"/>
    <x v="0"/>
    <s v="22.1.1.1"/>
    <s v="Beneficjent"/>
    <s v="umowa dzierżawy - opłata z góry na trzy lata"/>
    <s v="Zajęcie pasa drogowego w celu umieszczenia w nim nadwieszenia w postaci warstwy ocieplenia budynku - złożenie nowego wniosku do ZDM -  listopad 2024 r., (decyzja o zajęcie pasa drogowego)"/>
    <n v="0"/>
    <n v="0"/>
    <n v="20"/>
    <n v="0"/>
    <n v="0"/>
    <s v="planowane"/>
    <s v="decyzja"/>
    <s v="ZDM/GPD/I/1A/P/490/2022"/>
    <s v="Zarząd Dróg Miejskich"/>
    <s v="obecna umowa obowiązuje do 02.12.2024"/>
  </r>
  <r>
    <x v="0"/>
    <x v="0"/>
    <s v="BA "/>
    <x v="1"/>
    <x v="0"/>
    <x v="0"/>
    <s v="22.1.1.1"/>
    <s v="Beneficjent"/>
    <s v="umowa dzierżawy - opłata z góry na trzy lata"/>
    <s v="zajęcie pasa drogowego w celu umieszczenia w nim ściennej stacji ładowania ok 0,08 m, (decyzja o zajęcie pasa drogowego)"/>
    <n v="0"/>
    <n v="0"/>
    <n v="1"/>
    <n v="0"/>
    <n v="0"/>
    <s v="planowane"/>
    <s v="decyzja"/>
    <m/>
    <s v="Zarząd Dróg Miejskich"/>
    <m/>
  </r>
  <r>
    <x v="0"/>
    <x v="0"/>
    <s v="BA "/>
    <x v="1"/>
    <x v="0"/>
    <x v="0"/>
    <s v="22.1.1.1"/>
    <s v="Beneficjent"/>
    <s v="umowa dzierżawy - opłata z góry na trzy lata"/>
    <s v="zajęcie pasa drogowego na obiekt służący obsłudze komunikacyjnej nieruchomości, (decyzja o zajęcie pasa drogowego)"/>
    <n v="0"/>
    <n v="0"/>
    <n v="73"/>
    <n v="0"/>
    <n v="0"/>
    <s v="planowane"/>
    <s v="decyzja"/>
    <m/>
    <s v="Zarząd Dróg Miejskich"/>
    <m/>
  </r>
  <r>
    <x v="0"/>
    <x v="0"/>
    <s v="BA "/>
    <x v="0"/>
    <x v="0"/>
    <x v="0"/>
    <s v="22.1.1.1"/>
    <s v="Beneficjent"/>
    <s v="umowa 201/BA/24"/>
    <s v="odbiór odpadów komunalnych z budynku przy ul. Królewskiej 27. "/>
    <n v="42"/>
    <n v="70"/>
    <n v="70"/>
    <n v="70"/>
    <n v="70"/>
    <s v="umowa"/>
    <s v="umowa"/>
    <s v="201/BA/24"/>
    <s v="firma &quot;BYŚ&quot;"/>
    <s v="umowa zawarta na 18 miesięcy"/>
  </r>
  <r>
    <x v="0"/>
    <x v="0"/>
    <s v="BA "/>
    <x v="0"/>
    <x v="0"/>
    <x v="0"/>
    <s v="22.1.1.1"/>
    <s v="Beneficjent"/>
    <s v="odprowadzanie ścieków"/>
    <s v="umowa MPWiK został podpisana dnia 14 grudnia 2022 r. Okres obowiązywania umowy: 01.01.2023 do 31.12.2025 lub do wyczerpania środków, (dostawa wody/odbiór ścieków do budynku)"/>
    <n v="11"/>
    <n v="15"/>
    <n v="18"/>
    <n v="18"/>
    <n v="20"/>
    <s v="umowa"/>
    <s v="umowa"/>
    <s v="019977/001/2/22; 1577/BDG/22"/>
    <s v="MPWiK"/>
    <m/>
  </r>
  <r>
    <x v="0"/>
    <x v="0"/>
    <s v="BA "/>
    <x v="0"/>
    <x v="0"/>
    <x v="0"/>
    <s v="22.1.1.1"/>
    <s v="Beneficjent"/>
    <s v="dostarczanie wody do budynku"/>
    <s v="umowa MPWiK został podpisana dnia 14 grudnia 2022 r. Okres obowiązywania umowy: 01.01.2023 do 31.12.2025 lub do wyczerpania środków, (dostawa wody/odbiór ścieków do budynku)"/>
    <n v="20"/>
    <n v="35"/>
    <n v="37"/>
    <n v="37"/>
    <n v="40"/>
    <s v="umowa"/>
    <s v="umowa"/>
    <s v="019977/001/2/22; 3577/BDG/22"/>
    <s v="MPWiK"/>
    <m/>
  </r>
  <r>
    <x v="0"/>
    <x v="0"/>
    <s v="BA "/>
    <x v="0"/>
    <x v="0"/>
    <x v="0"/>
    <s v="22.1.1.1"/>
    <s v="Beneficjent"/>
    <s v="Przesył/dystrybucja i dostawa energii cieplnej do budynku przy ul. Królewskiej 27 w Warszawie w latach 2021 - 2024._x000a_Całkowita kwota umowy: 729 565,54 zł"/>
    <s v="Umowa nr 27/U/BDG/2020 z dn. 30.12.2020 r. obowiązuje 01.01.2023 r. do 31.12.2024 r. lub do wyczerpania środków. W związku z wysoką podwyżką cen w 2023 r. został przeprowadzony przetarg. Nowa umowa będzie podpisana pod konie stycznia 2024 r., (dostawa energii cieplnej)"/>
    <n v="500"/>
    <n v="510"/>
    <n v="520"/>
    <n v="550"/>
    <n v="600"/>
    <s v="umowa"/>
    <s v="umowa"/>
    <m/>
    <s v="obecnie - Veolia Energia Warszawa S.A."/>
    <s v="umowa zakończona"/>
  </r>
  <r>
    <x v="0"/>
    <x v="0"/>
    <s v="BA "/>
    <x v="0"/>
    <x v="0"/>
    <x v="0"/>
    <s v="22.1.1.1"/>
    <s v="Beneficjent"/>
    <s v="Przesył/dystrybucja i dostawa energii cieplnej do budynku przy ul. Królewskiej 27 w Warszawie w latach 2024 - 2027._x000a_Całkowita kwota umowy: 1 758 069,51 zł"/>
    <s v="umowa nr 202/C/BA/23; 3-08059 obowiązuje do 31.12.2027 lub do wyczerpania kwoty, (dostawa energii cieplnej)"/>
    <n v="502"/>
    <n v="502"/>
    <n v="502"/>
    <n v="550"/>
    <n v="550"/>
    <s v="umowa"/>
    <s v="umowa "/>
    <s v="202/C/BA/23; 3-08059"/>
    <s v="Veolia Energia Warszawa SA"/>
    <m/>
  </r>
  <r>
    <x v="0"/>
    <x v="0"/>
    <s v="BA "/>
    <x v="0"/>
    <x v="0"/>
    <x v="0"/>
    <s v="22.1.1.1"/>
    <s v="Beneficjent"/>
    <s v="Dostawa energii elektrycznej do budynku przy ul. Królewskiej 27 w Warszawie w latach 2023 – 2024."/>
    <s v="Umowa nr 2022/05/KPRM z dn. 28.09.2022 r. wchodzi w życie z dniem 01.01.2023 r. do 31.12.2024 r. lub do wyczerpania środków. W roku 2024 rozpocznie się postępowanie prowadzone przez COAR na rzecz jap - MC przystąpiło do procedury, (dostawa energii elektrycznej)"/>
    <n v="2500"/>
    <n v="2500"/>
    <n v="2500"/>
    <n v="2500"/>
    <n v="3000"/>
    <s v="umowa"/>
    <s v="umowa"/>
    <s v="2022/05/KPRM"/>
    <s v="obecnie - Tauron Sprzedaż Sp. z o.o."/>
    <s v="pod koniec 2024 r. podpisana zostanie nowa umowa na 24 miesiące - postępowanie COAR"/>
  </r>
  <r>
    <x v="0"/>
    <x v="0"/>
    <s v="BA "/>
    <x v="0"/>
    <x v="0"/>
    <x v="0"/>
    <s v="22.1.1.1"/>
    <s v="Beneficjent"/>
    <s v="Dystrybucja energii elektrycznej do budynku przy ul. Królewskiej 27 w Warszawie w latach 2022 – czas nieokreślony._x000a_Całkowita kwota umowy: 1 791 210,43 zł"/>
    <s v="Umowa został podpisana dnia 31 stycznia 2022 r. Okres obowiązywania umowy: 01.01.2022 na czas nieokreślony lub do wyczerpania środków. Prawdopodobnie pod koniec 2024 należy wszcząć procedurę przetargową, (dystrybucja energii elektrycznej)"/>
    <n v="600"/>
    <n v="600"/>
    <n v="650"/>
    <n v="700"/>
    <n v="700"/>
    <s v="umowa"/>
    <s v="umowa"/>
    <s v="ND-D/1040/2021; 1507/BDG/21"/>
    <s v="obecnie - Stoen Operator Sp. z o.o."/>
    <m/>
  </r>
  <r>
    <x v="0"/>
    <x v="0"/>
    <s v="BA "/>
    <x v="0"/>
    <x v="0"/>
    <x v="0"/>
    <s v="22.1.1.1"/>
    <s v="Beneficjent"/>
    <s v="obecna umowa 205/C/BA/23. planowana nowa procedura przetargowa w lipcu 2024 r."/>
    <s v="usługa utrzymania czystości w budynku i wokół budynku w roku 2024 (usługa sprzątania i dostawy art. higienicznych)"/>
    <n v="1500"/>
    <n v="1500"/>
    <n v="1500"/>
    <n v="1550"/>
    <n v="1550"/>
    <s v="umowa"/>
    <s v="umowa"/>
    <s v="205/C/BA/23"/>
    <s v="Konsorcjum - lider DGP"/>
    <s v="planowane pod koniec 2024 r. postępowanie"/>
  </r>
  <r>
    <x v="0"/>
    <x v="0"/>
    <s v="BA "/>
    <x v="0"/>
    <x v="0"/>
    <x v="0"/>
    <s v="22.1.1.1"/>
    <s v="Beneficjent"/>
    <s v="obecna umowa nr 124/BA/24 zawarta na 12 miesięcy od daty podpisania 27.05.2024"/>
    <s v="cykliczna dostawa napojów i art.. Spożywczych na potrzeby MC (zakup art.. Spożywczych)"/>
    <n v="100"/>
    <n v="120"/>
    <n v="120"/>
    <n v="130"/>
    <n v="130"/>
    <s v="umowa"/>
    <s v="umowa"/>
    <s v="124/BA/24"/>
    <s v="Hurtownia BB"/>
    <m/>
  </r>
  <r>
    <x v="0"/>
    <x v="0"/>
    <s v="BA "/>
    <x v="0"/>
    <x v="0"/>
    <x v="0"/>
    <s v="22.1.1.1"/>
    <s v="Beneficjent"/>
    <s v="MC zgłosiło udział w postepowaniu prowadzonym przez COAR - prawdopodobne rozstrzygnięcie pod koniec 2024 r."/>
    <s v="sukcesywna dostawa art. biurowych na potrzeby MC (zakup art. biurowych)"/>
    <n v="48"/>
    <n v="48"/>
    <n v="48"/>
    <n v="48"/>
    <n v="50"/>
    <s v="planowane"/>
    <s v="umowa"/>
    <m/>
    <m/>
    <m/>
  </r>
  <r>
    <x v="0"/>
    <x v="0"/>
    <s v="BA "/>
    <x v="0"/>
    <x v="0"/>
    <x v="0"/>
    <s v="22.1.1.1"/>
    <s v="Beneficjent"/>
    <s v="usługa poligraficzna"/>
    <s v="dostawa wizytówek, teczek, tablic itp., (usługa poligraficzna)"/>
    <n v="150"/>
    <n v="150"/>
    <n v="150"/>
    <n v="150"/>
    <n v="150"/>
    <s v="planowane"/>
    <s v="wniosek otwarty/umowa   "/>
    <m/>
    <m/>
    <m/>
  </r>
  <r>
    <x v="0"/>
    <x v="0"/>
    <s v="BA "/>
    <x v="0"/>
    <x v="0"/>
    <x v="0"/>
    <s v="22.1.1.1"/>
    <s v="Beneficjent"/>
    <s v="prasa drukowana"/>
    <s v="sukcesywna dostaw prasy drukowanej na potrzeby MC umowa nr 457/C/BA/23/A zawarta w dniu 31.01.2024, (prasa drukowana)"/>
    <n v="65"/>
    <n v="65"/>
    <n v="65"/>
    <n v="65"/>
    <n v="65"/>
    <s v="planowane"/>
    <s v="umowa"/>
    <s v="457/C/BA/23/A"/>
    <s v="Kolporter SA"/>
    <m/>
  </r>
  <r>
    <x v="0"/>
    <x v="0"/>
    <s v="BA "/>
    <x v="0"/>
    <x v="0"/>
    <x v="0"/>
    <s v="22.1.1.1"/>
    <s v="Beneficjent"/>
    <s v="prasa elektroniczna"/>
    <s v="dostępy do prasy w formie elektronicznej, umowa 457/C/BA/23/B zawarta w dniu 31.01.2024, (prasa elektroniczna)"/>
    <n v="52"/>
    <n v="52"/>
    <n v="52"/>
    <n v="52"/>
    <n v="52"/>
    <s v="planowane"/>
    <s v="umowa"/>
    <s v="457/C/BA/23/B"/>
    <s v="Kolporter SA"/>
    <m/>
  </r>
  <r>
    <x v="0"/>
    <x v="0"/>
    <s v="BA "/>
    <x v="0"/>
    <x v="0"/>
    <x v="0"/>
    <s v="22.1.1.1"/>
    <s v="Beneficjent"/>
    <s v="dostęp do serwisu  "/>
    <s v="dostęp do serwisu elektronicznego, umowa nr 97/BA/24 zawarta w dniu 18.04.2024, (dostęp do serwisu Polityka Insight)"/>
    <n v="25"/>
    <n v="25"/>
    <n v="25"/>
    <n v="25"/>
    <n v="25"/>
    <s v="planowane"/>
    <s v="umowa"/>
    <s v="97/BA/24"/>
    <s v="Polityka Insight Sp. z o.o."/>
    <m/>
  </r>
  <r>
    <x v="0"/>
    <x v="0"/>
    <s v="BA "/>
    <x v="0"/>
    <x v="0"/>
    <x v="0"/>
    <s v="22.1.1.1"/>
    <s v="Beneficjent"/>
    <s v="dostawa papieru"/>
    <s v="papier kserograficzny różna gramatura dla potrzeb komórek organizacyjnych MC, (dostawa papieru kserograficznego A4 i A3)"/>
    <n v="30"/>
    <n v="35"/>
    <n v="35"/>
    <n v="35"/>
    <n v="35"/>
    <s v="planowane"/>
    <s v="umowa"/>
    <m/>
    <m/>
    <m/>
  </r>
  <r>
    <x v="0"/>
    <x v="0"/>
    <s v="BA "/>
    <x v="0"/>
    <x v="0"/>
    <x v="0"/>
    <s v="22.1.1.1"/>
    <s v="Beneficjent"/>
    <s v="bieżące zakupy, w tym: art. dekoracyjne_x000a_art. ogrodnicze_x000a_art. rtg i AGD_x000a_środki czystości i pielęgnacyjne (nie ujęte w umowę na usługę sprzątania)_x000a_naczynia i art. gospodarstwa domowego, art. chemiczne i higieniczne (nie ujęte w umowie)_x000a_art. chemiczne i higieniczne (nie ujęte w umowie)_x000a_art. tekstylne (zasłony, firany, akcesoria obiciowe)_x000a_wykładziny i chodniki_x000a_karnisze i inne art. okienne (żaluzje, rolety)_x000a_Zakup samochodowych środków czystości i materiałów eksploatacyjnych_x000a_zakup kart wjazdowych dla samochodów na lotnisko"/>
    <s v="zakupy różne związane z bieżącą potrzebą, (zakupy bieżące prowadzone przez Wydział Administracyjny)"/>
    <n v="150"/>
    <n v="150"/>
    <n v="160"/>
    <n v="160"/>
    <n v="160"/>
    <s v="planowane"/>
    <s v="wniosek otwarty/umowa"/>
    <m/>
    <m/>
    <m/>
  </r>
  <r>
    <x v="0"/>
    <x v="0"/>
    <s v="BA "/>
    <x v="0"/>
    <x v="0"/>
    <x v="0"/>
    <s v="22.1.1.1"/>
    <s v="Beneficjent"/>
    <s v="usługi i dostawy, w tym:"/>
    <s v="usługi i dostawy na bieżącą działalność resortu (procedowanie bieżących dostaw i usług przez WG)"/>
    <n v="100"/>
    <n v="100"/>
    <n v="120"/>
    <n v="120"/>
    <n v="130"/>
    <s v="planowane"/>
    <s v="wniosek otwarty/umowa"/>
    <m/>
    <m/>
    <m/>
  </r>
  <r>
    <x v="0"/>
    <x v="0"/>
    <s v="BA "/>
    <x v="0"/>
    <x v="0"/>
    <x v="0"/>
    <s v="22.1.1.1"/>
    <s v="Beneficjent"/>
    <s v="bilety ZTM"/>
    <s v="bilety na potrzeby pracowników MC przemieszczających się po Warszawie w sprawach służbowych (bilety ZTM)"/>
    <n v="6"/>
    <n v="6"/>
    <n v="7"/>
    <n v="7"/>
    <n v="8"/>
    <s v="planowane"/>
    <s v="wniosek"/>
    <m/>
    <m/>
    <m/>
  </r>
  <r>
    <x v="0"/>
    <x v="0"/>
    <s v="BA "/>
    <x v="0"/>
    <x v="0"/>
    <x v="0"/>
    <s v="22.1.1.1"/>
    <s v="Beneficjent"/>
    <s v="obsługa transportowa MC, umowa nr 96/BA/24 z dnia 01.05.2024"/>
    <s v="obsługa transportowa prowadzona przez COI na potrzeby MC (obsługa transportowa)"/>
    <n v="4592"/>
    <n v="3192"/>
    <n v="3200"/>
    <n v="3500"/>
    <n v="3500"/>
    <s v="planowana"/>
    <s v="umowa "/>
    <s v="96/BA/24"/>
    <s v="Centralny Ośrodek Informatyki"/>
    <m/>
  </r>
  <r>
    <x v="0"/>
    <x v="0"/>
    <s v="BA "/>
    <x v="0"/>
    <x v="0"/>
    <x v="0"/>
    <s v="22.1.1.1"/>
    <s v="Beneficjent"/>
    <s v="Zakup usługi sygnału telewizji kablowej dla lokalizacji Królewska 27"/>
    <s v="obecnie obowiązuje umowa nr 640/BI/21. Umowa na świadczenie usług TV zawarta porozumieniem w dniu 06-12-2023 (przeniesienie cesji z KPRM na MC), aneksem nr 1 umowa zawarta na 24 miesiące to jest do 10-2024. Procedurę na kolejną usługę w zakresie należy rozpocząć w sierpniu 2024 r. (Zakup usług telewizji kablowej dla lokalizacji ul. Królewska 27)"/>
    <n v="25"/>
    <n v="25"/>
    <n v="25"/>
    <n v="30"/>
    <n v="30"/>
    <s v="planowane"/>
    <s v="obecnie - UPC "/>
    <m/>
    <s v="UPC/P4"/>
    <m/>
  </r>
  <r>
    <x v="0"/>
    <x v="0"/>
    <s v="BA "/>
    <x v="0"/>
    <x v="0"/>
    <x v="0"/>
    <s v="22.1.1.1"/>
    <s v="Beneficjent"/>
    <s v="zakupy bieżące na potrzeby MC"/>
    <s v="materiały konserwatorsko - naprawcze na potrzeby MC (Zakupy bieżące prowadzone przez Wydział Gospodarczy  art. do prac konserwatorsko- naprawczych)"/>
    <n v="120"/>
    <n v="120"/>
    <n v="120"/>
    <n v="120"/>
    <n v="120"/>
    <s v="planowane"/>
    <s v="wniosek"/>
    <m/>
    <m/>
    <m/>
  </r>
  <r>
    <x v="0"/>
    <x v="0"/>
    <s v="BA "/>
    <x v="0"/>
    <x v="0"/>
    <x v="0"/>
    <s v="22.1.1.1"/>
    <s v="Beneficjent"/>
    <s v="w przypadku planowanych remontów i inwestycji w budynku MC przy ul. Królewskiej najem powierzchni biurowej"/>
    <s v="najem powierzchni na czas prowadzonych prac inwestycyjno-remontowych (najem powierzchni biurowej w związku z pracami inwestycyjno-budowlanymi na znacznej powierzchni budynku MC)"/>
    <n v="907"/>
    <n v="907"/>
    <n v="0"/>
    <n v="0"/>
    <n v="0"/>
    <s v="planowane"/>
    <s v="umowa"/>
    <m/>
    <m/>
    <s v=" wyliczenia oparte są na danych z Centrum Królewska_x000a_- wynajem typowego piętra - 580 m 2_x000a_stanowiska biurowe są wyposażone, świadczenia eksploatacyjne po stronie wynajmującego. Na każdym piętrze znajdują się kompleksy gabinetowe - dyrektorskie_x000a_- koszt 1 m² - 22,5 euro_x000a_- 1 euro - 4,28 (z dnia 05.07.2024)_x000a_- koszty eksploatacyjne 34 zł/m²_x000a_- oddzielnie zakładane liczniki od mediów_x000a_- 1 faktura - 55 854 zł_x000a_- 2 faktura - 19 720 zł_x000a_- razem koszt/miesiąc ok. 75 574 zł brutto_x000a_oczywiście można dokonać wyliczenia na podnajem ale robione jest ono po przedstawieniu konkretnych danych"/>
  </r>
  <r>
    <x v="0"/>
    <x v="0"/>
    <s v="BA "/>
    <x v="0"/>
    <x v="0"/>
    <x v="0"/>
    <s v="22.1.1.1"/>
    <s v="pracownicy MC"/>
    <s v="owoce dla pracowników we wtorki"/>
    <s v="poprawa warunków pracy pracowników (owocowe wtorki)"/>
    <n v="50"/>
    <n v="55"/>
    <n v="60"/>
    <n v="65"/>
    <n v="70"/>
    <s v="planowane kontynuacja"/>
    <m/>
    <m/>
    <m/>
    <m/>
  </r>
  <r>
    <x v="0"/>
    <x v="0"/>
    <s v="BA "/>
    <x v="0"/>
    <x v="0"/>
    <x v="0"/>
    <s v="22.1.1.1"/>
    <s v="Beneficjent"/>
    <s v="Sukcesywne świadczenie usług polegających na przemieszczaniu wyposażenia oraz usług transportowych wykonywanych w związku z przewozem wyposażenia"/>
    <s v="Sukcesywne świadczenie usług polegających na przemieszczaniu wyposażenia oraz usług transportowych wykonywanych w związku z przewozem wyposażenia. (wniosek wrzesień 2023 r., a także planowany wniosek w lipcu 2024 r. na zawarcie aneksu do umowy) "/>
    <n v="110"/>
    <n v="120"/>
    <n v="129"/>
    <n v="129"/>
    <n v="129"/>
    <s v="umowa"/>
    <s v="umowa"/>
    <s v="296/C/BA/23 z 5.10.2023 r."/>
    <s v="firma Japa&amp;Co Dariusz Jakubowski "/>
    <m/>
  </r>
  <r>
    <x v="0"/>
    <x v="0"/>
    <s v="BA "/>
    <x v="0"/>
    <x v="0"/>
    <x v="0"/>
    <s v="22.1.1.1"/>
    <s v="Beneficjent"/>
    <s v="Zakup mebli i foteli pracowniczych"/>
    <s v="Zakup mebli i foteli pracowniczych (zakup składników majątkowych) (wniosek luty 2024 r. oraz wniosek uzupełniający w kwietniu 2024 r.)"/>
    <n v="147"/>
    <n v="146"/>
    <n v="146"/>
    <n v="145"/>
    <n v="145"/>
    <s v="umowy/zamówienia wg potrzeb"/>
    <s v="umowy/zamówienia"/>
    <s v="57/BA/24 z 29.03.2024 r., 127/BA/2024 z 22.05.2024 r., 127/BA/2024/1 z 20.06.2024 r."/>
    <s v="Bemondi sp. z o.o.; Contract sp. z o.o.; Lobby meble s.c. Tomasz Madlewski, Krzysztof Łudzik"/>
    <s v="oprócz umów realizacja na podstawie pojedynczych zamówień wg potrzeb"/>
  </r>
  <r>
    <x v="0"/>
    <x v="0"/>
    <s v="BA "/>
    <x v="0"/>
    <x v="0"/>
    <x v="0"/>
    <s v="22.1.1.1"/>
    <s v="Beneficjent"/>
    <s v="Zakup mebli i foteli pracowniczych"/>
    <s v="Zakup mebli i foteli pracowniczych (koszty dostawy) (wniosek luty 2024 r. oraz wniosek uzupełniający w kwietniu 2024 r.)"/>
    <n v="12"/>
    <n v="13"/>
    <n v="13"/>
    <n v="14"/>
    <n v="14"/>
    <s v="umowy/zamówienia wg potrzeb"/>
    <s v="umowy/zamówienia"/>
    <s v="57/BA/24 z 29.03.2024 r., 127/BA/2024 z 22.05.2024 r."/>
    <s v="Bemondi sp. z o.o.; Contract sp. z o.o."/>
    <s v="oprócz umów realizacja na podstawie pojedynczych zamówień wg potrzeb"/>
  </r>
  <r>
    <x v="0"/>
    <x v="0"/>
    <s v="BA "/>
    <x v="0"/>
    <x v="0"/>
    <x v="0"/>
    <s v="22.1.1.1"/>
    <s v="Beneficjent"/>
    <s v="Zakup sprzętu i wyposażenia biurowego, RTV, AGD, np. Niszczarek, klimatyzatorów, wentylatorów, lodówek, ekspresów do kawy, kuchenek mikrofalowych, czajników"/>
    <s v="Zakup sprzętu i wyposażenia biurowego, RTV, AGD, np. Niszczarek, klimatyzatorów, wentylatorów, lodówek, ekspresów do kawy, kuchenek mikrofalowych, czajników (zakup składników majątkowych i wyposażenia) (wniosek I kw. 2024 r.)"/>
    <n v="75"/>
    <n v="80"/>
    <n v="85"/>
    <n v="90"/>
    <n v="95"/>
    <s v="zamówienia wg potrzeb"/>
    <s v="wniosek otwarty/umowa"/>
    <m/>
    <m/>
    <s v="wniosek 17/BA/24 oraz 69/BA/24 (zamówienia wg potrzeb, dotychczas bez umów)"/>
  </r>
  <r>
    <x v="0"/>
    <x v="0"/>
    <s v="BA "/>
    <x v="0"/>
    <x v="0"/>
    <x v="0"/>
    <s v="22.1.1.1"/>
    <s v="Beneficjent"/>
    <s v="Zakup sprzętu i wyposażenia biurowego, RTV, AGD, np. Niszczarek, klimatyzatorów, wentylatorów, lodówek, ekspresów do kawy, kuchenek mikrofalowych, czajników"/>
    <s v="Zakup sprzętu i wyposażenia biurowego, RTV, AGD, np. Niszczarek, klimatyzatorów, wentylatorów, lodówek, ekspresów do kawy, kuchenek mikrofalowych, czajników (koszty dostawy) (wniosek I kw. 2024 r.)"/>
    <n v="2"/>
    <n v="2"/>
    <n v="3"/>
    <n v="3"/>
    <n v="3"/>
    <s v="zamówienia wg potrzeb"/>
    <s v="wniosek otwarty/umowa"/>
    <m/>
    <m/>
    <s v="wniosek 17/BA/24 oraz 69/BA/24 (zamówienia wg potrzeb, dotychczas bez umów)"/>
  </r>
  <r>
    <x v="0"/>
    <x v="0"/>
    <s v="BA "/>
    <x v="0"/>
    <x v="0"/>
    <x v="0"/>
    <s v="22.1.1.1"/>
    <s v="Beneficjent"/>
    <s v="Renowacja i konserwacja mebli i wyposażenia (drewnianego, metalowego)"/>
    <s v="Renowacja i konserwacja mebli i wyposażenia (drewnianego, metalowego) (planowany wniosek IV kw. 2024 r.)"/>
    <n v="15"/>
    <n v="15"/>
    <n v="17"/>
    <n v="17"/>
    <n v="17"/>
    <s v="planowane"/>
    <m/>
    <m/>
    <m/>
    <m/>
  </r>
  <r>
    <x v="0"/>
    <x v="0"/>
    <s v="BA "/>
    <x v="2"/>
    <x v="0"/>
    <x v="0"/>
    <s v="22.1.1.1"/>
    <s v="Beneficjent"/>
    <s v="Ubezpieczenie majątku Ministerstwa"/>
    <s v="Ubezpieczenie majątku Ministerstwa (wniosek grudzień 2023 r.)"/>
    <n v="230"/>
    <n v="230"/>
    <n v="276"/>
    <n v="276"/>
    <n v="276"/>
    <s v="umowa"/>
    <s v="umowa"/>
    <s v="2023/04 (wniosek 408/BA/C/23)"/>
    <s v="Zamówienie centralne COAR, umowa zawarta z konsorcjum PZU S.A. oraz TUiR Warta S.A."/>
    <s v="umowa 3-letnia na lata 2024-2026 do której wystawiane są polisy"/>
  </r>
  <r>
    <x v="0"/>
    <x v="0"/>
    <s v="BA "/>
    <x v="2"/>
    <x v="0"/>
    <x v="0"/>
    <s v="22.1.1.1"/>
    <s v="Beneficjent"/>
    <s v="Ubezpieczenie OC/AC samochodu osobowego"/>
    <s v="Ubezpieczenie OC/AC samochodu osobowego (grudzień 2024 r.)"/>
    <n v="4"/>
    <n v="0"/>
    <n v="0"/>
    <n v="0"/>
    <n v="0"/>
    <s v="polisa"/>
    <s v="polisa"/>
    <s v="polisa nr 1089942168"/>
    <s v="PZU S.A."/>
    <s v="polisa roczna"/>
  </r>
  <r>
    <x v="0"/>
    <x v="0"/>
    <s v="BA "/>
    <x v="0"/>
    <x v="0"/>
    <x v="0"/>
    <s v="22.1.1.1"/>
    <s v="Beneficjent"/>
    <s v="Usługa odbioru i utylizacji odpadów MC"/>
    <s v="Usługa odbioru i utylizacji odpadów MC (wniosek marzec 2024 r.)"/>
    <n v="300"/>
    <n v="300"/>
    <n v="300"/>
    <n v="300"/>
    <n v="300"/>
    <s v="planowana umowa"/>
    <s v="umowa"/>
    <s v="w trakcie przetargu"/>
    <s v="w trakcie przetargu"/>
    <m/>
  </r>
  <r>
    <x v="0"/>
    <x v="0"/>
    <s v="BA "/>
    <x v="0"/>
    <x v="0"/>
    <x v="0"/>
    <s v="22.1.1.1"/>
    <s v="Beneficjent"/>
    <s v="Zakup wyposażenia dla SOP"/>
    <s v="Zakup wyposażenia dla SOP (wniosek czerwiec 2024 r.)"/>
    <n v="0"/>
    <n v="0"/>
    <n v="0"/>
    <n v="0"/>
    <n v="0"/>
    <s v="zamówienie"/>
    <s v="zamówienie"/>
    <m/>
    <m/>
    <s v="wniosek nr 216/BA/24"/>
  </r>
  <r>
    <x v="0"/>
    <x v="0"/>
    <s v="BA "/>
    <x v="0"/>
    <x v="0"/>
    <x v="0"/>
    <s v="22.1.1.1"/>
    <s v="budżet państwa (z wyjątkiem GDDKiA)"/>
    <s v="Zakup licencji i wsparcia - MC"/>
    <s v="Zakup licencji i usług wsparcia na potrzeby sieci LAN/WAN MC, które powstały w wyniku wydzielenia MC ze struktur KPRM  (licencje i suport)"/>
    <n v="1200"/>
    <n v="0"/>
    <n v="0"/>
    <n v="0"/>
    <n v="0"/>
    <s v="planowane"/>
    <s v="nie dotyczy"/>
    <m/>
    <s v="n/d"/>
    <m/>
  </r>
  <r>
    <x v="0"/>
    <x v="0"/>
    <s v="BA "/>
    <x v="3"/>
    <x v="1"/>
    <x v="0"/>
    <s v="22.1.1.1"/>
    <s v="budżet państwa (z wyjątkiem GDDKiA)"/>
    <s v="Zakup urządzeń sieciowych - MC"/>
    <s v="Zakup urządzeń potrzeby sieci LAN/WAN MC, które powstały w wyniku wydzielenia MC ze struktur KPRM  (Serwer HCI, switche core, switche accessowe, firewall brzegowy, sieć WiFi (kontrolery oraz access pointy), Routery)"/>
    <n v="10000"/>
    <n v="0"/>
    <n v="0"/>
    <n v="0"/>
    <n v="0"/>
    <s v="planowane"/>
    <s v="nie dotyczy"/>
    <m/>
    <s v="n/d"/>
    <m/>
  </r>
  <r>
    <x v="0"/>
    <x v="0"/>
    <s v="BA "/>
    <x v="3"/>
    <x v="1"/>
    <x v="0"/>
    <s v="22.1.1.1"/>
    <m/>
    <s v="zakupy inwestycyjne na potrzeby MC"/>
    <s v="skaner, bramka itp."/>
    <n v="0"/>
    <n v="0"/>
    <n v="0"/>
    <n v="0"/>
    <n v="0"/>
    <s v="planowane"/>
    <s v="nie dotyczy"/>
    <m/>
    <s v="n/d"/>
    <m/>
  </r>
  <r>
    <x v="0"/>
    <x v="0"/>
    <s v="BA "/>
    <x v="0"/>
    <x v="0"/>
    <x v="0"/>
    <s v="22.1.1.1"/>
    <s v="budżet państwa (z wyjątkiem GDDKiA)"/>
    <s v="Zakup urządzeń teleinformatycznych na potrzeby nowych pracowników, wymiany urządzań uszkodzonych (laptopy i inny niskocenny sprzęt dla pracowników MC). "/>
    <s v="Zakup telefonów, laptopów, monitorów, stacji dokujących i urządzeń peryferyjnych na potrzeby pracowników MC. "/>
    <n v="2000"/>
    <n v="0"/>
    <n v="0"/>
    <n v="0"/>
    <n v="0"/>
    <s v="planowane"/>
    <s v="nie dotyczy"/>
    <m/>
    <s v="n/d"/>
    <m/>
  </r>
  <r>
    <x v="0"/>
    <x v="0"/>
    <s v="BA "/>
    <x v="0"/>
    <x v="0"/>
    <x v="0"/>
    <s v="22.1.1.1"/>
    <s v="budżet państwa (z wyjątkiem GDDKiA)"/>
    <s v="System Centralnego Wydruku"/>
    <s v="Zapewnienie pracownikom MC dostępu do Systemu Centralnego Wydruku"/>
    <n v="170"/>
    <n v="0"/>
    <n v="0"/>
    <n v="0"/>
    <n v="0"/>
    <s v="planowane"/>
    <s v="nie dotyczy"/>
    <m/>
    <s v="n/d"/>
    <m/>
  </r>
  <r>
    <x v="0"/>
    <x v="0"/>
    <s v="BA "/>
    <x v="0"/>
    <x v="0"/>
    <x v="0"/>
    <s v="22.1.1.1"/>
    <s v="budżet państwa (z wyjątkiem GDDKiA)"/>
    <s v="Łącze internetowe - MC"/>
    <s v="Zapewnienie dostępu do Internetu i usług świadczonych z wykorzystaniem sieci publicznej."/>
    <n v="92"/>
    <n v="0"/>
    <n v="0"/>
    <n v="0"/>
    <n v="0"/>
    <s v="planowane"/>
    <s v="umowa "/>
    <s v="14/DSP/NASK/2019 (NASK 39471) z 30.09.2019 r. z późniejszymi aneksami - internet dla MC"/>
    <s v="NASK S.A"/>
    <m/>
  </r>
  <r>
    <x v="0"/>
    <x v="0"/>
    <s v="BA "/>
    <x v="0"/>
    <x v="0"/>
    <x v="0"/>
    <s v="22.1.1.1"/>
    <s v="budżet państwa (z wyjątkiem GDDKiA)"/>
    <s v="Telefonia stacjonarna - MC"/>
    <s v="Zapewnienie komunikacji telefonicznej pracowników MC. "/>
    <n v="64"/>
    <n v="0"/>
    <n v="0"/>
    <n v="0"/>
    <n v="0"/>
    <s v="planowane"/>
    <s v="umowa"/>
    <s v="2021/06 (do 31 stycznia 2024 r.)"/>
    <s v="T-Mobile Polska S.A."/>
    <m/>
  </r>
  <r>
    <x v="0"/>
    <x v="0"/>
    <s v="BA "/>
    <x v="0"/>
    <x v="0"/>
    <x v="0"/>
    <s v="22.1.1.1"/>
    <s v="budżet państwa (z wyjątkiem GDDKiA)"/>
    <s v="Telefonia komórkowa - MC"/>
    <s v="Zapewnienie komunikacji telefonicznej pracowników MC. Kwota 2431 tys. zł. do rozbicia na trzy lata - do ustalenia z BA. "/>
    <n v="720"/>
    <n v="0"/>
    <n v="0"/>
    <n v="0"/>
    <n v="0"/>
    <s v="planowane"/>
    <s v="umowa"/>
    <s v="2021/06 (do 31 stycznia 2024 r.)"/>
    <s v="T-Mobile Polska S.A."/>
    <m/>
  </r>
  <r>
    <x v="0"/>
    <x v="0"/>
    <s v="BA "/>
    <x v="0"/>
    <x v="0"/>
    <x v="0"/>
    <s v="22.1.1.1"/>
    <s v="budżet państwa (z wyjątkiem GDDKiA)"/>
    <s v="Zakup certyfikatów SSL - MC"/>
    <s v="Zapewnienie poufności połączeniom z serwisami internetowymi "/>
    <n v="49"/>
    <n v="0"/>
    <n v="0"/>
    <n v="0"/>
    <n v="0"/>
    <s v="planowane"/>
    <s v="nie dotyczy"/>
    <m/>
    <s v="n/d"/>
    <m/>
  </r>
  <r>
    <x v="0"/>
    <x v="0"/>
    <s v="BA "/>
    <x v="0"/>
    <x v="0"/>
    <x v="0"/>
    <s v="22.1.1.1"/>
    <s v="Beneficjent"/>
    <s v="Umowa z COI na świadczenie obsługi informatycznej i teletechnicznej - MC"/>
    <s v="Zapewnienie dostępu MC do infrastruktury teleinformatycznej"/>
    <n v="17900"/>
    <n v="0"/>
    <n v="0"/>
    <n v="0"/>
    <n v="0"/>
    <s v="procedowana umowa/porozumienie"/>
    <s v="procedowana"/>
    <m/>
    <s v="COI"/>
    <m/>
  </r>
  <r>
    <x v="0"/>
    <x v="0"/>
    <s v="BA "/>
    <x v="0"/>
    <x v="0"/>
    <x v="0"/>
    <s v="22.1.1.1"/>
    <s v="Beneficjent"/>
    <s v="Dostęp do serwisu SzuKIO.pl - autorskiej bazy orzeczeń z zakresu zamówień bez limitu osób"/>
    <s v="Udzielenie zamówienia jest konieczne w celu wsparcia zespołu do spraw zamówień publicznych w bieżącej interpretacji przepisów z zakresu zamówień publicznych.  Portal Zamówień Publicznych umożliwia dostęp do artykułów dotyczących interpretacji przepisów Prawa zamówień publicznych oraz  porad ekspertów, a także wzorów dokumentów i orzeczeń. (Serwis internetowy SzuKIO)"/>
    <n v="6"/>
    <n v="6"/>
    <n v="6"/>
    <n v="6"/>
    <n v="7"/>
    <s v="planowane"/>
    <s v="zamówienie"/>
    <m/>
    <s v="Wykonawca zostanie określony po rozstrzygnięciu procedury wyłonienia"/>
    <m/>
  </r>
  <r>
    <x v="0"/>
    <x v="0"/>
    <s v="BA "/>
    <x v="0"/>
    <x v="0"/>
    <x v="0"/>
    <s v="22.1.1.1"/>
    <s v="Beneficjent"/>
    <s v="Dostęp do serwisów z artykułami dotyczącymi obszarów zamówień publicznych"/>
    <s v="Udzielenie zamówienia jest konieczne w celu bieżącej interpretacji przepisów z zakresu zamówień publicznych Zamówienie to będzie znaczącym wsparciem w pracy zespołu do spraw zamówień publicznych z możliwością indywidulanych porad ekspertów. (Serwis internetowy z obszaru Prawa zamówień publicznych) (Złożony wniosek nr 402/BA/C/23 oraz 15.02.2024)"/>
    <n v="2"/>
    <n v="3"/>
    <n v="3"/>
    <n v="3"/>
    <n v="4"/>
    <s v="planowane"/>
    <s v="zamówienie"/>
    <m/>
    <s v="Wiedza i Praktyka Sp. z o.o. ul Łotewska 9a, 03-918 Warszawa"/>
    <m/>
  </r>
  <r>
    <x v="0"/>
    <x v="0"/>
    <s v="BA "/>
    <x v="0"/>
    <x v="0"/>
    <x v="0"/>
    <s v="22.1.1.1"/>
    <s v="Beneficjent"/>
    <s v="Umowa ramowa na świadczenie usług w zakresie wsparcia prawnego w obszarze zamówień publicznych (reprezentacja przed KIO, pisanie pism procesowych, opinie prawne)."/>
    <s v="Udzielenie zamówienie ma na celu wyłonienie wykonawcy do zastępstwa procesowego w rozprawach przed Krajową Izbą Odwoławczą oraz do przygotowywania pism procesowych. (Usługi prawne)"/>
    <n v="60"/>
    <n v="65"/>
    <n v="65"/>
    <n v="70"/>
    <n v="70"/>
    <s v="planowane"/>
    <s v="umowa"/>
    <m/>
    <s v="Wykonawca zostanie określony po rozstrzygnięciu procedury wyłonienia"/>
    <m/>
  </r>
  <r>
    <x v="0"/>
    <x v="0"/>
    <s v="BA "/>
    <x v="0"/>
    <x v="0"/>
    <x v="0"/>
    <s v="22.1.1.1"/>
    <s v="Beneficjent"/>
    <s v="Dostęp do platformy zakupowej w celu publikacji postępowań o udzielenie zamówień publicznych"/>
    <s v="Udzielenie zamówienia ma na celu wykorzystanie komercyjnej platformy zakupowej w procesie udzielania zamówień publicznych (Platforma zakupowa)"/>
    <n v="20"/>
    <n v="20"/>
    <n v="25"/>
    <n v="25"/>
    <n v="30"/>
    <s v="umowa"/>
    <s v="umowa"/>
    <s v="181/BA/24"/>
    <s v="Otwarty Rynek Elektroniczny S.A.  ul. Domaniewska 49, 02-672 Warszawa"/>
    <m/>
  </r>
  <r>
    <x v="0"/>
    <x v="0"/>
    <s v="BA "/>
    <x v="0"/>
    <x v="0"/>
    <x v="0"/>
    <s v="22.1.1.1"/>
    <s v="Beneficjent"/>
    <s v="Naprawy, przeglądy, modernizacje, uzupełnienia w systemach bezpieczeństwa MC ul. Królewska 27"/>
    <s v="Utrzymanie systemów bezpieczeństwa w budynku MC ul. Królewska 27 (Wniosek składany corocznie. Nie można określić dokładnych kwot dla poszczególnych paragrafów.)"/>
    <n v="80"/>
    <n v="80"/>
    <n v="80"/>
    <n v="80"/>
    <n v="50"/>
    <s v="Wniosek otwarty"/>
    <s v="Złożono wniosek na rok 2024"/>
    <m/>
    <m/>
    <s v="BBF - czym różni się poz. 93 z poz. 95?"/>
  </r>
  <r>
    <x v="0"/>
    <x v="0"/>
    <s v="BA "/>
    <x v="4"/>
    <x v="0"/>
    <x v="0"/>
    <s v="22.1.1.1"/>
    <s v="Beneficjent"/>
    <s v="Naprawy, przeglądy, modernizacje, uzupełnienia w systemach bezpieczeństwa MC ul. Królewska 27"/>
    <s v="Utrzymanie systemów bezpieczeństwa w budynku MC ul. Królewska 27 (Wniosek składany corocznie. Nie można określić dokładnych kwot dla poszczególnych paragrafów.)"/>
    <n v="39"/>
    <n v="39"/>
    <n v="39"/>
    <n v="39"/>
    <n v="25"/>
    <s v="Wniosek otwarty"/>
    <s v="Złożono wniosek na rok 2024"/>
    <m/>
    <m/>
    <m/>
  </r>
  <r>
    <x v="0"/>
    <x v="0"/>
    <s v="BA "/>
    <x v="0"/>
    <x v="0"/>
    <x v="0"/>
    <s v="22.1.1.1"/>
    <s v="Beneficjent"/>
    <s v="Naprawy, przeglądy, modernizacje, uzupełnienia w systemach bezpieczeństwa MC ul. Królewska 27"/>
    <s v="Utrzymanie systemów bezpieczeństwa w budynku MC ul. Królewska 27 (Wniosek składany corocznie. Nie można określić dokładnych kwot dla poszczególnych paragrafów.)"/>
    <n v="20"/>
    <n v="20"/>
    <n v="20"/>
    <n v="20"/>
    <n v="15"/>
    <s v="Wniosek otwarty"/>
    <s v="Złożono wniosek na rok 2024"/>
    <m/>
    <m/>
    <m/>
  </r>
  <r>
    <x v="0"/>
    <x v="0"/>
    <s v="BA "/>
    <x v="0"/>
    <x v="0"/>
    <x v="0"/>
    <s v="22.1.1.1"/>
    <s v="Beneficjent"/>
    <s v="Zakup materiałów do personalizacji identyfikatorów (karty, taśmy do drukarki)"/>
    <s v="Identyfikacja osób oraz kontrola ruchu osobowego w budynku MC ul. Królewska 27 (Wniosek składany corocznie. Nie można określić kwot dla poszczególnych paragrafów.)"/>
    <n v="5"/>
    <n v="6"/>
    <n v="7"/>
    <n v="8"/>
    <n v="9"/>
    <s v="planowane"/>
    <m/>
    <m/>
    <m/>
    <s v="wniosek zostanie złożony w mirę potrzeb"/>
  </r>
  <r>
    <x v="0"/>
    <x v="0"/>
    <s v="BA "/>
    <x v="0"/>
    <x v="0"/>
    <x v="0"/>
    <s v="22.1.1.1"/>
    <s v="Beneficjent"/>
    <s v="Usługa ochrony obiektu i obsługi recepcji w budynku MC ul. Królewska 27"/>
    <s v="Zapewnienie bezpieczeństwa budynku i pracowników MC ul. Królewska 27 oraz obsługa recepcji. (Bieżąca Umowa z firmą Basma do 30 Listopada 2024._x000a_W latach kolejnych nowe umowy)"/>
    <n v="2130"/>
    <n v="1953"/>
    <n v="3000"/>
    <n v="3000"/>
    <n v="3500"/>
    <s v="umowa"/>
    <s v="umowa "/>
    <s v="1155/BDG/22 do 30.11.2024"/>
    <m/>
    <s v="Aktualizacja (12.07.2024) rok 2025 z 2500 na 2130 oraz 2026 z 2500 na 1953 zgodnie z wniosiem w sprawie BA.WZP.261.281.2024 IK: 829215.    Wszczęcie postępowania planowane jest na lipiec 2024 (nowa umowa obejmie okres od 01.12.2024 r. do 30.11.2026 r.  "/>
  </r>
  <r>
    <x v="0"/>
    <x v="0"/>
    <s v="BA "/>
    <x v="0"/>
    <x v="0"/>
    <x v="0"/>
    <s v="22.1.1.1"/>
    <s v="Beneficjent"/>
    <s v="Okresowy przegląd podręcznego sprzętu gaśniczego w budynku przy ul. Królewskiej 27 oraz wymiana wyeksploatowanych części._x000a_Aktualizacja IBP"/>
    <s v="Zapewnienie bezpieczeństwa PPOŻ budynku MC ul. Królewska 27 (Wniosek składany corocznie. Nie można określić kwot dla poszczególnych paragrafów.)"/>
    <n v="30"/>
    <n v="35"/>
    <n v="40"/>
    <n v="45"/>
    <n v="50"/>
    <s v="planowane"/>
    <s v="nie dotyczy"/>
    <m/>
    <m/>
    <s v="BBF - czym różni się poz. 98 z poz. 100?"/>
  </r>
  <r>
    <x v="0"/>
    <x v="0"/>
    <s v="BA "/>
    <x v="4"/>
    <x v="0"/>
    <x v="0"/>
    <s v="22.1.1.1"/>
    <s v="Beneficjent"/>
    <s v="Okresowy przegląd podręcznego sprzętu gaśniczego w budynku przy ul. Królewskiej 27 oraz wymiana wyeksploatowanych części._x000a_Aktualizacja IBP"/>
    <s v="Zapewnienie bezpieczeństwa PPOŻ budynku MC ul. Królewska 27 (Wniosek składany corocznie. Nie można określić kwot dla poszczególnych paragrafów.)"/>
    <n v="15"/>
    <n v="15"/>
    <n v="20"/>
    <n v="25"/>
    <n v="25"/>
    <s v="planowane"/>
    <s v="nie dotyczy"/>
    <m/>
    <m/>
    <m/>
  </r>
  <r>
    <x v="0"/>
    <x v="0"/>
    <s v="BA "/>
    <x v="0"/>
    <x v="0"/>
    <x v="0"/>
    <s v="22.1.1.1"/>
    <s v="Beneficjent"/>
    <s v="Okresowy przegląd podręcznego sprzętu gaśniczego w budynku przy ul. Królewskiej 27 oraz wymiana wyeksploatowanych części._x000a_Aktualizacja IBP"/>
    <s v="Zapewnienie bezpieczeństwa PPOŻ budynku MC ul. Królewska 27 (Wniosek składany corocznie. Nie można określić kwot dla poszczególnych paragrafów.)"/>
    <n v="5"/>
    <n v="10"/>
    <n v="10"/>
    <n v="10"/>
    <n v="15"/>
    <s v="planowane"/>
    <s v="nie dotyczy"/>
    <m/>
    <m/>
    <m/>
  </r>
  <r>
    <x v="0"/>
    <x v="0"/>
    <s v="BA "/>
    <x v="0"/>
    <x v="0"/>
    <x v="0"/>
    <s v="22.1.1.1"/>
    <s v="Beneficjent"/>
    <s v="Rozbudowy, modernizacje, reorganizacje SKD związana z pracami przy realizacji inwestycji w zakresie, wentylacji i klimatyzacji oraz PPOŻ i innych. Zmiany wynikające z planowanych inwestycji mogą spowodować koniczność zmian SKD. rozbudowa o nowe strefy KD, konfiguracja ustawień, integracja nowych i istniejących systemów, zmiany usytuowania elementów SKD, CCTV, itp. "/>
    <s v="Zapewnienie bezpieczeństwa budynku i pracowników MC ul. Królewska 27 oraz obsługa recepcji. (Rozbudowy, modernizacje, reorganizacje SKD związana z pracami przy realizacji inwestycji w zakresie ,wentylacji i klimatyzacji oraz PPOŻ i innych.) (wniosek/umowa IV kwartał 2024 lub kolejne lata)"/>
    <n v="139"/>
    <n v="139"/>
    <n v="139"/>
    <n v="50"/>
    <n v="50"/>
    <s v="planowane"/>
    <m/>
    <m/>
    <m/>
    <m/>
  </r>
  <r>
    <x v="0"/>
    <x v="0"/>
    <s v="BA "/>
    <x v="0"/>
    <x v="0"/>
    <x v="0"/>
    <s v="22.1.1.1"/>
    <s v="Beneficjent"/>
    <s v="Urządzenia RTG oraz bramka detekcyjna wymagają okresowych przeglądów, serwisów oraz ewentualnych napraw w celu zapewnienia prawidłowego oraz bezpiecznego użytkowania. "/>
    <s v="Zapewnienie bezpieczeństwa budynku i pracowników MC ul. Królewska 27 oraz obsługa recepcji. (Serwis/przeglądy/ naprawy skanera RTG oraz bramki detekcyjnej) (wniosek/umowa styczeń 2026)"/>
    <n v="0"/>
    <n v="30"/>
    <n v="30"/>
    <n v="40"/>
    <n v="40"/>
    <s v="planowane"/>
    <m/>
    <m/>
    <m/>
    <m/>
  </r>
  <r>
    <x v="0"/>
    <x v="0"/>
    <s v="BA "/>
    <x v="0"/>
    <x v="0"/>
    <x v="0"/>
    <s v="22.1.1.1"/>
    <s v="Beneficjent"/>
    <s v="Urządzenia wytwarzające promieniowanie jonizujące wymagają stałej kontroli dozymetrycznej wynikającej z ustawy Prawo Atomowe "/>
    <s v="Zapewnienie bezpieczeństwa budynku i pracowników MC ul. Królewska 27 oraz obsługa recepcji. (Środowiskowe badania dozymetryczne) (kolejny wniosek/umowa styczeń 2025)"/>
    <n v="1"/>
    <n v="1"/>
    <n v="2"/>
    <n v="2"/>
    <n v="2"/>
    <s v="wniosek "/>
    <s v="Złożono wniosek na rok 2024"/>
    <m/>
    <m/>
    <m/>
  </r>
  <r>
    <x v="0"/>
    <x v="0"/>
    <s v="BA "/>
    <x v="0"/>
    <x v="0"/>
    <x v="0"/>
    <s v="22.1.1.1"/>
    <s v="Beneficjent"/>
    <s v="Zasady związane z dostępności obiektu MC dla osób z niepełnosprawnościami wymagają umożliwienia komunikacji, w tym celu zapewniona jest możliwość połączenia z tłumaczem języka migowego. "/>
    <s v="Tłumaczenia języka migowego (kolejny wniosek/umowa 01.01.2026 r.)"/>
    <n v="2"/>
    <n v="5"/>
    <n v="5"/>
    <n v="6"/>
    <n v="6"/>
    <s v="umowa"/>
    <m/>
    <s v="79/BA/24"/>
    <s v="POLSKI ZWIĄZEK  GŁUCHYCH - ODDZIAŁ MAZOWIECKI"/>
    <m/>
  </r>
  <r>
    <x v="0"/>
    <x v="0"/>
    <s v="BA "/>
    <x v="0"/>
    <x v="0"/>
    <x v="0"/>
    <s v="22.1.1.1"/>
    <s v="Beneficjent"/>
    <s v="centrala NOMA"/>
    <s v="podłaczenie central przeciwpożarowych w siedzibie MC do systemu NOMA (kolejny wniosek/umowa 01.01.2026 r.)"/>
    <n v="50"/>
    <n v="15"/>
    <n v="15"/>
    <n v="15"/>
    <n v="15"/>
    <s v="umowa"/>
    <m/>
    <m/>
    <m/>
    <m/>
  </r>
  <r>
    <x v="0"/>
    <x v="0"/>
    <s v="BA "/>
    <x v="0"/>
    <x v="0"/>
    <x v="0"/>
    <s v="22.1.1.1"/>
    <s v="Beneficjent"/>
    <s v="jak w opisie projektu"/>
    <s v="bieżąca konserwacja urządzenia - wymóg prawny (Usługa przeglądu dźwigu towarowo-osobowego - nie mamy dźwigu towarowego ale w 2025 już będzie)"/>
    <n v="0"/>
    <n v="20"/>
    <n v="20"/>
    <n v="20"/>
    <n v="20"/>
    <s v="planowane"/>
    <s v="wniosek"/>
    <s v=" "/>
    <s v=" "/>
    <s v="do zmiany opis w kolumnie &quot;nazwa zadania&quot;"/>
  </r>
  <r>
    <x v="0"/>
    <x v="0"/>
    <s v="BA "/>
    <x v="4"/>
    <x v="0"/>
    <x v="0"/>
    <s v="22.1.1.1"/>
    <s v="Beneficjent"/>
    <s v="jak w opisie projektu"/>
    <s v="wprowadzenia do budynku odpowiednich standardów dla pracowników (Remonty bieżące budynku związane z  dostosowaniem budynku do potrzeb pracowników)"/>
    <n v="2500"/>
    <n v="2500"/>
    <n v="2500"/>
    <n v="2500"/>
    <n v="2500"/>
    <s v="nieplanowane"/>
    <s v=" "/>
    <s v=" "/>
    <s v="6 milionów z pierwotnych założeń (11 217 000)  zwolniono do rezerwy"/>
    <s v="do zmiany opis w kolumnie &quot;nazwa zadania&quot;"/>
  </r>
  <r>
    <x v="0"/>
    <x v="0"/>
    <s v="BA "/>
    <x v="5"/>
    <x v="1"/>
    <x v="0"/>
    <s v="22.1.1.1"/>
    <s v="Beneficjent"/>
    <s v="jak w opisie projektu"/>
    <s v="Udzielenie zamówienie ma na celu dostosowanie Holu B i tej części budynku dla osób z niepełnosprawnością, poprawę warunków pracy. (Budowa windy osobowo-towarowej w budynku przy ul Królewskiej 27 w Warszawie)"/>
    <n v="1500"/>
    <n v="0"/>
    <n v="0"/>
    <n v="0"/>
    <n v="0"/>
    <s v="nieplanowane"/>
    <s v=" "/>
    <s v=" "/>
    <s v=" "/>
    <s v="do zmiany opis w kolumnie &quot;nazwa zadania&quot;"/>
  </r>
  <r>
    <x v="0"/>
    <x v="0"/>
    <s v="BA "/>
    <x v="4"/>
    <x v="0"/>
    <x v="0"/>
    <s v="22.1.1.1"/>
    <s v="Beneficjent"/>
    <s v="jak w opisie projektu"/>
    <s v="konieczne naprawy bieżących usterek  i reakcja na uwagi odnotowane w przeglądach okresowych budynku (Bieżące nieprzewidziane wydatki związane z: remontami oraz  konserwacją i wyposażenia, znajdującego się na ul. Królewskiej 27) (w przypadku wystąpienia awarii lub usterki wskazanej w protokołach z przeglądu)"/>
    <n v="160"/>
    <n v="160"/>
    <n v="160"/>
    <n v="160"/>
    <n v="160"/>
    <s v=" kontynuacja"/>
    <s v="wnioski/umowy"/>
    <s v="25/BA/24_x000a_111/BA/24                                                                                    186/BA/24"/>
    <s v="Rezydent S.A"/>
    <s v="do zmiany opis w kolumnie &quot;nazwa zadania&quot;"/>
  </r>
  <r>
    <x v="0"/>
    <x v="0"/>
    <s v="BA "/>
    <x v="4"/>
    <x v="0"/>
    <x v="0"/>
    <s v="22.1.1.1"/>
    <s v="Beneficjent"/>
    <s v="jak w opisie projektu"/>
    <s v="bieżąca konserwacja urządzenia - wymóg prawny (Kompleksowa konserwacja i bieżące naprawy instalacji elektrycznej oraz zapewnienie bieżącej wymiany wyeksploatowanego osprzętu elektrycznego oraz źródeł światła wew. i na zew. budynku przy ul. Królewskiej 27 w Warszawie)"/>
    <n v="120"/>
    <n v="200"/>
    <n v="200"/>
    <n v="200"/>
    <n v="200"/>
    <s v=" kontynuacja"/>
    <s v="umowa"/>
    <s v="451/BA/C/23 do końca 2024"/>
    <s v=" "/>
    <s v="do zmiany opis w kolumnie &quot;nazwa zadania&quot;"/>
  </r>
  <r>
    <x v="0"/>
    <x v="0"/>
    <s v="BA "/>
    <x v="4"/>
    <x v="0"/>
    <x v="0"/>
    <s v="22.1.1.1"/>
    <s v="Beneficjent"/>
    <s v="jak w opisie projektu"/>
    <s v="bieżąca konserwacja urządzenia - wymóg prawny (Kompleksowa konserwacja i bieżące naprawy   instalacji wodno-kanalizacyjnej oraz konserwacja instalacji centralnego ogrzewania budynku  przy ul. Królewskiej 27 w Warszawie) (umowa bieżąca obowiązuje do końca 2024 _ nowy wniosek w listopadzie 2024)"/>
    <n v="150"/>
    <n v="150"/>
    <n v="200"/>
    <n v="150"/>
    <n v="200"/>
    <s v=" kontynuacja"/>
    <s v="umowa"/>
    <s v="27/BDG/23 do końca 2024"/>
    <s v=" "/>
    <s v="do zmiany opis w kolumnie &quot;nazwa zadania&quot;"/>
  </r>
  <r>
    <x v="0"/>
    <x v="0"/>
    <s v="BA "/>
    <x v="4"/>
    <x v="0"/>
    <x v="0"/>
    <s v="22.1.1.1"/>
    <s v="Beneficjent"/>
    <s v="jak w opisie projektu"/>
    <s v="bieżąca konserwacja urządzenia - wymóg prawny (Kompleksowa konserwacja i bieżące naprawy drzwi przesuwnych wejściowych budynku  przy ul. Królewskiej 27 w Warszawie) (230/BGDG 2023 do końca 2025 nowy wniosek styczeń 2025)"/>
    <n v="50"/>
    <n v="50"/>
    <n v="50"/>
    <n v="50"/>
    <n v="50"/>
    <s v=" kontynuacja"/>
    <s v="umowa "/>
    <s v="230/BDG/23 do 04.2025"/>
    <s v=" "/>
    <s v="do zmiany opis w kolumnie &quot;nazwa zadania&quot;"/>
  </r>
  <r>
    <x v="0"/>
    <x v="0"/>
    <s v="BA "/>
    <x v="5"/>
    <x v="1"/>
    <x v="0"/>
    <s v="22.1.1.1"/>
    <s v="Beneficjent"/>
    <s v="jak w opisie projektu"/>
    <s v="Udzielenie zamówienie ma na celu spełnienie odpowiednich przepisów ppoż budynku i zapewnienie bezpieczeństwa pracowników. (Budowa Systemu Ochrony Przeciwpożarowej w budynku przy ul Królewskiej 27 w Warszawie (zaprojektuj i wybuduj))"/>
    <n v="6000"/>
    <n v="484"/>
    <n v="0"/>
    <n v="0"/>
    <n v="0"/>
    <s v="planowane"/>
    <s v=" "/>
    <s v=" "/>
    <s v=" "/>
    <s v="do zmiany opis w kolumnie &quot;nazwa zadania&quot;"/>
  </r>
  <r>
    <x v="0"/>
    <x v="0"/>
    <s v="BA "/>
    <x v="5"/>
    <x v="1"/>
    <x v="0"/>
    <s v="22.1.1.1"/>
    <s v="Beneficjent"/>
    <s v="jak w opisie projektu"/>
    <s v="Udzielenie zamówienie ma na celu polepszenie warunków BHP dla pracowników Ministerstwa (Przebudowa wentylacji i budowa klimatyzacji w budynku przy ul. Królewskiej 27 w Warszawie)"/>
    <n v="6000"/>
    <n v="764"/>
    <n v="0"/>
    <n v="0"/>
    <n v="0"/>
    <s v="planowane"/>
    <s v=" "/>
    <s v=" "/>
    <s v=" "/>
    <s v="do zmiany opis w kolumnie &quot;nazwa zadania&quot;"/>
  </r>
  <r>
    <x v="0"/>
    <x v="0"/>
    <s v="BA "/>
    <x v="4"/>
    <x v="0"/>
    <x v="0"/>
    <s v="22.1.1.1"/>
    <s v="Beneficjent"/>
    <s v="jak w opisie projektu"/>
    <s v="bieżąca konserwacja urządzenia - wymóg prawny (Konserwacja na potrzeby gwarancji nowego systemu klimatyzacji w budynku przy ul. Królewskiej 27 w Warszawie)"/>
    <n v="0"/>
    <n v="200"/>
    <n v="200"/>
    <n v="200"/>
    <n v="200"/>
    <s v="planowane"/>
    <s v=" "/>
    <s v=" "/>
    <s v=" "/>
    <s v="do zmiany opis w kolumnie &quot;nazwa zadania&quot;"/>
  </r>
  <r>
    <x v="0"/>
    <x v="0"/>
    <s v="BA "/>
    <x v="4"/>
    <x v="0"/>
    <x v="0"/>
    <s v="22.1.1.1"/>
    <s v="Beneficjent"/>
    <s v="jak w opisie projektu"/>
    <s v="Udzielenie zamówienie ma na celu spełnienia warunków prawa budowlanego. (Opracowanie ekspertyz technicznych, programówfunkcjonalno-użytkoweych, opinii i  dokumentacji projektowej na potrzeby remontowych w budynku przy ul. Królewskiej 27 w Warszawie) (w przypadku wystąpienia awarii lub usterki wskazanej w protokołach z przeglądu)"/>
    <n v="250"/>
    <n v="250"/>
    <n v="300"/>
    <n v="350"/>
    <n v="400"/>
    <s v="planowane"/>
    <s v=" "/>
    <s v=" "/>
    <s v=" "/>
    <s v="do zmiany opis w kolumnie &quot;nazwa zadania&quot;"/>
  </r>
  <r>
    <x v="0"/>
    <x v="0"/>
    <s v="BA "/>
    <x v="5"/>
    <x v="1"/>
    <x v="0"/>
    <s v="22.1.1.1"/>
    <s v="Beneficjent"/>
    <s v="jak w opisie projektu"/>
    <s v="Udzielenie zamówienie ma na celu spełnienia warunków prawa budowlanego w zakresie odbioru robót i dokumentacji technicznej dla inwestycji, (Usługa pełnienia nadzoru inwestorskiego nad zadaniami inwestycyjnymi w budynku przy ul. Królewskiej 27 w Warszawie)"/>
    <n v="400"/>
    <n v="50"/>
    <n v="0"/>
    <n v="0"/>
    <n v="0"/>
    <s v="planowane"/>
    <s v=" "/>
    <s v=" "/>
    <s v=" "/>
    <s v="do zmiany opis w kolumnie &quot;nazwa zadania&quot;"/>
  </r>
  <r>
    <x v="0"/>
    <x v="0"/>
    <s v="BA "/>
    <x v="5"/>
    <x v="1"/>
    <x v="0"/>
    <s v="22.1.1.1"/>
    <s v="Beneficjent"/>
    <s v="jak w opisie projektu"/>
    <s v="Udzielenie zamówienie ma na celu spełnienia warunków prawa budowlanego w zakresie odbioru robót i dokumentacji technicznej dla inwestycji, (Usługa pełnienia nadzoru inwestorskiego nad zadaniem inwestycyjnym w budynku przy ul. Królewskiej 27 w Warszawie) "/>
    <n v="400"/>
    <n v="50"/>
    <n v="0"/>
    <n v="0"/>
    <n v="0"/>
    <s v="nieplanowane"/>
    <s v=" "/>
    <s v=" "/>
    <s v=" "/>
    <s v="do zmiany opis w kolumnie &quot;nazwa zadania&quot;"/>
  </r>
  <r>
    <x v="0"/>
    <x v="0"/>
    <s v="BA "/>
    <x v="0"/>
    <x v="0"/>
    <x v="0"/>
    <s v="22.1.1.1"/>
    <s v="Beneficjent"/>
    <s v="jak w opisie projektu"/>
    <s v="wymóg prawa budowlanego  (Przeglądy okresowe budynków w zakresie  budowlane elektryczne , budowalne (roczne i 5 letnie)) (umowa bieżąca obowiązuje do końca 2025 _ nowy wniosek w grudzień 2025)"/>
    <n v="5"/>
    <n v="10"/>
    <n v="10"/>
    <n v="35"/>
    <n v="15"/>
    <s v=" kontynuacja"/>
    <s v="umowa"/>
    <s v="284/BDG/23  do 11. 2025"/>
    <s v=" "/>
    <s v="do zmiany opis w kolumnie &quot;nazwa zadania&quot;"/>
  </r>
  <r>
    <x v="0"/>
    <x v="0"/>
    <s v="BA "/>
    <x v="0"/>
    <x v="0"/>
    <x v="0"/>
    <s v="22.1.1.1"/>
    <s v="Beneficjent"/>
    <s v="jak w opisie projektu"/>
    <s v="bieżąca konserwacja urządzenia - wymóg prawny (Przegląd wind i platformy dla niepełnosprawnych)"/>
    <n v="20"/>
    <n v="25"/>
    <n v="50"/>
    <n v="50"/>
    <n v="50"/>
    <s v="kontynuacja"/>
    <s v="umowa"/>
    <s v="73/BA/24 dotycząca platformy do końca 2024_x000a_w 12.2026 koniec gwarancji na windę"/>
    <s v=" "/>
    <s v="do zmiany opis w kolumnie &quot;nazwa zadania&quot;"/>
  </r>
  <r>
    <x v="0"/>
    <x v="0"/>
    <s v="BA "/>
    <x v="0"/>
    <x v="0"/>
    <x v="0"/>
    <s v="22.1.1.1"/>
    <s v="Beneficjent"/>
    <s v="jak w opisie projektu"/>
    <s v="Udzielenie zamówienie ma na celu  wykluczenie  szkodników z budynku (Usługa dezynfekcji, dezynsekcji i deratyzacji w budynku przy ul. Królewskiej 27 w Warszawie) "/>
    <n v="24"/>
    <n v="65"/>
    <n v="70"/>
    <n v="75"/>
    <n v="80"/>
    <s v=" kontynuacja"/>
    <s v="umowa"/>
    <s v="392/BA/2023 do 12.2025"/>
    <s v=" "/>
    <s v="do zmiany opis w kolumnie &quot;nazwa zadania&quot;"/>
  </r>
  <r>
    <x v="0"/>
    <x v="0"/>
    <s v="BA "/>
    <x v="0"/>
    <x v="0"/>
    <x v="0"/>
    <s v="22.1.1.1"/>
    <s v="Beneficjent"/>
    <s v="jak w opisie projektu"/>
    <s v="niezbędne dla uzyskania wiedzy potrzebnej w realizacji inwestycji (dostawa książek, czsopism, wydawnictw specjalistycznych i branżowych)"/>
    <n v="15"/>
    <n v="15"/>
    <n v="20"/>
    <n v="20"/>
    <n v="20"/>
    <m/>
    <m/>
    <m/>
    <m/>
    <s v="do zmiany opis w kolumnie &quot;nazwa zadania&quot;"/>
  </r>
  <r>
    <x v="0"/>
    <x v="0"/>
    <s v="BA "/>
    <x v="0"/>
    <x v="0"/>
    <x v="0"/>
    <s v="22.1.1.1"/>
    <s v="Beneficjent"/>
    <s v="jak w opisie projektu"/>
    <s v="niezbędna podczas nadzoru inwestora nad robotami budowlanymi (indywidualne środki ochrony osobistej0"/>
    <n v="5"/>
    <n v="5"/>
    <n v="5"/>
    <n v="5"/>
    <n v="0"/>
    <m/>
    <m/>
    <m/>
    <m/>
    <s v="do zmiany opis w kolumnie &quot;nazwa zadania&quot;"/>
  </r>
  <r>
    <x v="0"/>
    <x v="0"/>
    <s v="BA "/>
    <x v="0"/>
    <x v="0"/>
    <x v="0"/>
    <s v="22.1.1.1"/>
    <s v="Beneficjent"/>
    <s v="Zapewnienie pracownikom MC bezpiecznych i higienicznych warunków pracy"/>
    <s v="Udzielenie zamówienia jest konieczne w celu spełnienia wymogów przepisów BHP nałożonych na pracodawcę (Asortyment BHP: odzież ochronna, środki ochrony indywidualnej, środki higieny, wyposażenie apteczek, baterie i elektrody do defibrylatorów, znaki bezpieczeństwa, taśmy ostrzegawcze)"/>
    <n v="15"/>
    <n v="15"/>
    <n v="15"/>
    <n v="15"/>
    <n v="15"/>
    <s v="planowane"/>
    <s v="zamówienie"/>
    <s v="wniosek"/>
    <m/>
    <m/>
  </r>
  <r>
    <x v="0"/>
    <x v="0"/>
    <s v="BA "/>
    <x v="0"/>
    <x v="0"/>
    <x v="0"/>
    <s v="22.1.1.1"/>
    <s v="Beneficjent"/>
    <s v="Zapewnienie pracownikom MC ergonomicznych warunków pracy biurowej"/>
    <s v="Udzielenie zamówienia jest konieczne w celu spełnienia wymogów przepisów BHP nałożonych na pracodawcę (Akcesoria BHP poprawiające ergonomię stanowisk pracy: podnóżki, podstawki pod laptop itp.)"/>
    <n v="20"/>
    <n v="20"/>
    <n v="20"/>
    <n v="20"/>
    <n v="20"/>
    <s v="planowane"/>
    <s v="zamówienie"/>
    <s v="wniosek/umowa"/>
    <m/>
    <m/>
  </r>
  <r>
    <x v="0"/>
    <x v="0"/>
    <s v="BA "/>
    <x v="0"/>
    <x v="0"/>
    <x v="0"/>
    <s v="22.1.1.1"/>
    <s v="Beneficjent"/>
    <s v="Zapewnienie pracownikom MC wody pitnej uzdatnionej i filtrowanej "/>
    <s v="Udzielenie zamówienia jest konieczne w celu spełnienia wymogów przepisów BHP nałożonych na pracodawcę (Najem dystrybutorów wody dla pracowników MC przy Królewskiej 27)"/>
    <n v="37"/>
    <n v="37"/>
    <n v="37"/>
    <n v="37"/>
    <n v="37"/>
    <s v="kontynuacja"/>
    <s v="umowa"/>
    <s v="Umowa Nr 170/C/BA/23 obowiązuje od 01.09.2023 r. do 31.08.2025 r."/>
    <s v="Vera-Vend Sp. z o.o. Warszawa"/>
    <s v="rozważane jest aneksowanie umowy i zamiana dystrybutorów z funkcją wody gazowanej. Koszt takiego dystrybutora to 220 zł./m-c brutto. W budynku MC zamontowanych jest 14 sztuk dystrybutorów co daje kwotę miesięczną 3 080,00 zł./m-c. W skali roku jest to 36 960,00 zł.brutto. Kwota w tabeli została podana na kolejne lata."/>
  </r>
  <r>
    <x v="0"/>
    <x v="0"/>
    <s v="BA "/>
    <x v="0"/>
    <x v="0"/>
    <x v="0"/>
    <s v="22.1.1.1"/>
    <s v="Beneficjent"/>
    <s v="podpis elektroniczny dla pracowników/kierownictwa MC"/>
    <s v="podpis elektroniczny niezbędny do elektronizacji spraw załatwianych w urzędzie (Wniosek składany corocznie. Nie można określić kwoty z uwagi na nieznane zapotrzebowanie)"/>
    <n v="65"/>
    <n v="65"/>
    <n v="70"/>
    <n v="70"/>
    <n v="70"/>
    <s v="planowane"/>
    <s v="wniosek na część roku 2024, 2 wnioski po 20 tys. brutto, 15/BA/24 i 129/BA/24"/>
    <m/>
    <s v="Wykonawca zostanie określony po rozstrzygnięciu procedury wyłonienia"/>
    <m/>
  </r>
  <r>
    <x v="0"/>
    <x v="0"/>
    <s v="BA "/>
    <x v="0"/>
    <x v="0"/>
    <x v="0"/>
    <s v="22.1.1.1"/>
    <s v="Beneficjent"/>
    <s v="usługi związane z wprowadzeniem EZD RP w MC"/>
    <s v="niezbędne w ramach zmiany oprogramowania służącego do elektronicznego obiegu dokumentów"/>
    <n v="120"/>
    <n v="60"/>
    <n v="0"/>
    <n v="0"/>
    <n v="0"/>
    <s v="planowane"/>
    <s v="umowa"/>
    <m/>
    <m/>
    <m/>
  </r>
  <r>
    <x v="0"/>
    <x v="0"/>
    <s v="BBF"/>
    <x v="6"/>
    <x v="0"/>
    <x v="0"/>
    <s v="22.1.1.1"/>
    <s v="budżet państwa (z wyjątkiem GDDKiA)"/>
    <s v="Wynagrodzenia osobowe pracowników_pracownicy nie objęci mnożnikiem"/>
    <s v="Wynagrodzenia osobowe pracowników_pracownicy nie objęci mnożnikiem MC"/>
    <n v="7116"/>
    <n v="7055"/>
    <n v="7055"/>
    <n v="7055"/>
    <n v="0"/>
    <s v="planowane"/>
    <m/>
    <m/>
    <m/>
    <s v="wynagrodzenia uwzględniają tylko 5% podwyżki + 1.500 tys. z CPPC"/>
  </r>
  <r>
    <x v="0"/>
    <x v="0"/>
    <s v="BBF"/>
    <x v="6"/>
    <x v="0"/>
    <x v="0"/>
    <s v="22.1.1.1"/>
    <s v="budżet państwa (z wyjątkiem GDDKiA)"/>
    <s v="Wynagrodzenia osobowe pracowników_pracownicy nie objęci mnożnikiem"/>
    <s v="osoby zajmujące kierownicze stanowiska &quot;R&quot;"/>
    <n v="946"/>
    <n v="938"/>
    <n v="938"/>
    <n v="938"/>
    <n v="0"/>
    <s v="planowane"/>
    <m/>
    <m/>
    <m/>
    <s v="wynagrodzenia uwzględniają tylko 5% podwyżki "/>
  </r>
  <r>
    <x v="0"/>
    <x v="0"/>
    <s v="BBF"/>
    <x v="7"/>
    <x v="0"/>
    <x v="0"/>
    <s v="22.1.1.1"/>
    <s v="budżet państwa (z wyjątkiem GDDKiA)"/>
    <s v="Wynagrodzenia osobowe członków korpusu służby cywilnej"/>
    <s v="Wynagrodzenia osobowe członków korpusu służby cywilnej"/>
    <n v="64035"/>
    <n v="63745"/>
    <n v="63745"/>
    <n v="63745"/>
    <n v="0"/>
    <s v="planowane"/>
    <m/>
    <m/>
    <m/>
    <s v="wynagrodzenia uwzględniają tylko 5% podwyżki "/>
  </r>
  <r>
    <x v="0"/>
    <x v="0"/>
    <s v="BBF"/>
    <x v="8"/>
    <x v="0"/>
    <x v="0"/>
    <s v="22.1.1.1"/>
    <s v="budżet państwa (z wyjątkiem GDDKiA)"/>
    <s v="Dodatkowe wynagrodzenie roczne"/>
    <s v="Dodatkowe wynagrodzenie roczne_ pracownicy nie objęci mnożnikiem"/>
    <n v="586"/>
    <n v="600"/>
    <n v="600"/>
    <n v="600"/>
    <n v="0"/>
    <s v="planowane"/>
    <m/>
    <m/>
    <m/>
    <s v="wynagrodzenia uwzględniają tylko 5% podwyżki "/>
  </r>
  <r>
    <x v="0"/>
    <x v="0"/>
    <s v="BBF"/>
    <x v="8"/>
    <x v="0"/>
    <x v="0"/>
    <s v="22.1.1.1"/>
    <s v="budżet państwa (z wyjątkiem GDDKiA)"/>
    <s v="Dodatkowe wynagrodzenie roczne"/>
    <s v="Dodatkowe wynagrodzenie roczne_korpus służby cywilnej"/>
    <n v="5173"/>
    <n v="5418"/>
    <n v="5418"/>
    <n v="5418"/>
    <n v="0"/>
    <s v="planowane"/>
    <m/>
    <m/>
    <m/>
    <s v="wynagrodzenia uwzględniają tylko 5% podwyżki "/>
  </r>
  <r>
    <x v="0"/>
    <x v="0"/>
    <s v="BBF"/>
    <x v="9"/>
    <x v="0"/>
    <x v="0"/>
    <s v="22.1.1.1"/>
    <s v="budżet państwa (z wyjątkiem GDDKiA)"/>
    <s v="Uposażenia żołnierzy zawodowych oraz funkcjonariuszy"/>
    <s v="Uposażenia żołnierzy zawodowych oraz funkcjonariuszy"/>
    <n v="907"/>
    <n v="899"/>
    <n v="899"/>
    <n v="899"/>
    <n v="0"/>
    <s v="planowane"/>
    <m/>
    <m/>
    <m/>
    <m/>
  </r>
  <r>
    <x v="0"/>
    <x v="0"/>
    <s v="BBF"/>
    <x v="10"/>
    <x v="0"/>
    <x v="0"/>
    <s v="22.1.1.1"/>
    <s v="budżet państwa (z wyjątkiem GDDKiA)"/>
    <s v="Dodatkowe uposażenie roczne dla żołnierzy zawodowych oraz nagrody roczne dla funkcjonariuszy"/>
    <s v="Dodatkowe uposażenie roczne dla żołnierzy zawodowych oraz nagrody roczne dla funkcjonariuszy"/>
    <n v="72"/>
    <n v="76"/>
    <n v="76"/>
    <n v="76"/>
    <n v="0"/>
    <s v="planowane"/>
    <m/>
    <m/>
    <m/>
    <m/>
  </r>
  <r>
    <x v="0"/>
    <x v="0"/>
    <s v="BBF"/>
    <x v="11"/>
    <x v="0"/>
    <x v="0"/>
    <s v="22.1.1.1"/>
    <s v="budżet państwa (z wyjątkiem GDDKiA)"/>
    <s v="Składki na ubezpieczenia społeczne"/>
    <s v="Składki na ubezpieczenia społeczne_ MC"/>
    <n v="13383"/>
    <n v="13366"/>
    <n v="13366"/>
    <n v="13366"/>
    <n v="0"/>
    <s v="planowane"/>
    <m/>
    <m/>
    <m/>
    <m/>
  </r>
  <r>
    <x v="0"/>
    <x v="0"/>
    <s v="BBF"/>
    <x v="12"/>
    <x v="0"/>
    <x v="0"/>
    <s v="22.1.1.1"/>
    <s v="budżet państwa (z wyjątkiem GDDKiA)"/>
    <s v="Składki na Fundusz Pracy oraz Fundusz Solidarnościowy"/>
    <s v="Składki na Fundusz Pracy oraz Fundusz Solidarnościowy"/>
    <n v="1907"/>
    <n v="1905"/>
    <n v="1905"/>
    <n v="1905"/>
    <n v="0"/>
    <s v="planowane"/>
    <m/>
    <m/>
    <m/>
    <m/>
  </r>
  <r>
    <x v="0"/>
    <x v="0"/>
    <s v="BBF"/>
    <x v="13"/>
    <x v="0"/>
    <x v="0"/>
    <s v="22.1.1.1"/>
    <m/>
    <s v="opłaty sądowe"/>
    <s v="opłaty sądowe"/>
    <n v="1"/>
    <n v="1"/>
    <n v="1"/>
    <n v="1"/>
    <m/>
    <s v="planowane"/>
    <m/>
    <m/>
    <m/>
    <m/>
  </r>
  <r>
    <x v="0"/>
    <x v="0"/>
    <s v="BBF"/>
    <x v="14"/>
    <x v="0"/>
    <x v="0"/>
    <s v="22.1.1.1"/>
    <s v="budżet państwa (z wyjątkiem GDDKiA)"/>
    <s v="Wpłaty na PPK finansowane przez podmiot zatrudniający"/>
    <s v="Wpłaty na PPK finansowane przez podmiot zatrudniający"/>
    <n v="953"/>
    <n v="963"/>
    <n v="963"/>
    <n v="963"/>
    <n v="0"/>
    <s v="planowane"/>
    <m/>
    <m/>
    <m/>
    <m/>
  </r>
  <r>
    <x v="0"/>
    <x v="0"/>
    <s v="BBF"/>
    <x v="15"/>
    <x v="0"/>
    <x v="0"/>
    <s v="22.1.1.1"/>
    <s v="budżet państwa (z wyjątkiem GDDKiA)"/>
    <s v="Wynagrodzenia bezosobowe"/>
    <s v="Wynagrodzenia bezosobowe"/>
    <n v="100"/>
    <n v="100"/>
    <n v="100"/>
    <n v="100"/>
    <n v="0"/>
    <s v="planowane"/>
    <m/>
    <m/>
    <m/>
    <m/>
  </r>
  <r>
    <x v="0"/>
    <x v="0"/>
    <s v="BBF"/>
    <x v="16"/>
    <x v="0"/>
    <x v="0"/>
    <s v="22.1.1.1"/>
    <s v="budżet państwa (z wyjątkiem GDDKiA)"/>
    <s v="Odpisy na zakładowy fundusz świadczeń socjalnych"/>
    <s v="Odpisy na zakładowy fundusz świadczeń socjalnych"/>
    <n v="1300"/>
    <n v="1300"/>
    <n v="1300"/>
    <n v="1300"/>
    <n v="0"/>
    <s v="planowane"/>
    <m/>
    <m/>
    <m/>
    <m/>
  </r>
  <r>
    <x v="0"/>
    <x v="0"/>
    <s v="BBF"/>
    <x v="0"/>
    <x v="0"/>
    <x v="0"/>
    <s v="22.1.1.1"/>
    <s v="budżet państwa (z wyjątkiem GDDKiA)"/>
    <s v="dostęp do systemu finansowo-księgowego"/>
    <s v="rozbudowa modułów i modernizacja systemu"/>
    <n v="799"/>
    <n v="0"/>
    <n v="22957"/>
    <n v="156513"/>
    <n v="0"/>
    <s v="planowane"/>
    <s v="dostosowanie i rozbudowa systemu z instruktarzem, utrzymanie i wsparcie techniczne "/>
    <s v="266/C/BBF/23"/>
    <s v="QNT Systemy informatyczne"/>
    <m/>
  </r>
  <r>
    <x v="0"/>
    <x v="0"/>
    <s v="BBF"/>
    <x v="0"/>
    <x v="0"/>
    <x v="0"/>
    <s v="22.1.1.1"/>
    <s v="budżet państwa (z wyjątkiem GDDKiA)"/>
    <s v="dostęp do systemu finansowo-księgowego"/>
    <s v="przeprowadzenie instruktaży (§4300); Umowa nr 266/C/BBF/23 zawarta w dniu 29.12.2023r.  (MC- QNT Systemy Informatyczne Sp. z.o.o)"/>
    <n v="90"/>
    <n v="90"/>
    <n v="90"/>
    <n v="90"/>
    <n v="0"/>
    <s v="planowane"/>
    <s v="dostosowanie i rozbudowa systemu z instruktarzem, utrzymanie i wsparcie techniczne "/>
    <s v="266/C/BBF/23"/>
    <s v="QNT Systemy informatyczne"/>
    <m/>
  </r>
  <r>
    <x v="0"/>
    <x v="0"/>
    <s v="BBF"/>
    <x v="0"/>
    <x v="0"/>
    <x v="0"/>
    <s v="22.1.1.1"/>
    <s v="budżet państwa (z wyjątkiem GDDKiA)"/>
    <s v="dostęp do systemu finansowo-księgowego"/>
    <s v="usługi utrzymania i wsparcia technicznego (§4300); Umowa nr 266/C/BBF/23 zawarta w dniu 29.12.2023r.  (MC- QNT Systemy Informatyczne Sp. z.o.o)"/>
    <n v="80"/>
    <n v="80"/>
    <n v="80"/>
    <n v="80"/>
    <n v="0"/>
    <s v="planowane"/>
    <s v="dostosowanie i rozbudowa systemu z instruktarzem, utrzymanie i wsparcie techniczne "/>
    <s v="266/C/BBF/23"/>
    <s v="QNT Systemy informatyczne"/>
    <m/>
  </r>
  <r>
    <x v="0"/>
    <x v="0"/>
    <s v="BBF"/>
    <x v="0"/>
    <x v="0"/>
    <x v="0"/>
    <s v="22.1.1.1"/>
    <s v="budżet państwa (z wyjątkiem GDDKiA)"/>
    <s v="dostęp do systemu finansowo-księgowego"/>
    <s v="asysta merytoryczna, usługi rozbudowy (§4300); Umowa nr 266/C/BBF/23 zawarta w dniu 29.12.2023r.  (MC- QNT Systemy Informatyczne Sp. z.o.o)"/>
    <n v="388"/>
    <n v="388"/>
    <n v="388"/>
    <n v="388"/>
    <n v="0"/>
    <s v="planowane"/>
    <s v="dostosowanie i rozbudowa systemu z instruktarzem, utrzymanie i wsparcie techniczne "/>
    <s v="266/C/BBF/23"/>
    <s v="QNT Systemy informatyczne"/>
    <m/>
  </r>
  <r>
    <x v="0"/>
    <x v="0"/>
    <s v="BBF"/>
    <x v="0"/>
    <x v="0"/>
    <x v="0"/>
    <s v="22.1.1.1"/>
    <s v="budżet państwa (z wyjątkiem GDDKiA)"/>
    <s v="dostęp do literatury fachowej - elektroniczny"/>
    <s v="dostęp do literatury fachowej - elektroniczny - aktualizacja wiedzy, monitorowanie zmian"/>
    <n v="10"/>
    <n v="10"/>
    <n v="10"/>
    <n v="10"/>
    <n v="0"/>
    <s v="planowane"/>
    <s v="dostosowanie i rozbudowa systemu z instruktarzem, utrzymanie i wsparcie techniczne "/>
    <s v="266/C/BBF/23"/>
    <s v="QNT Systemy informatyczne"/>
    <m/>
  </r>
  <r>
    <x v="0"/>
    <x v="0"/>
    <s v="BBF"/>
    <x v="17"/>
    <x v="2"/>
    <x v="0"/>
    <s v="22.1.1.1"/>
    <n v="30"/>
    <s v="Różne wydatki na rzecz osób fizycznych"/>
    <s v="na rzecz żołnierzy i funkcjonariuszy"/>
    <m/>
    <m/>
    <m/>
    <m/>
    <m/>
    <s v="planowane"/>
    <m/>
    <m/>
    <m/>
    <m/>
  </r>
  <r>
    <x v="0"/>
    <x v="0"/>
    <s v="BBF"/>
    <x v="18"/>
    <x v="2"/>
    <x v="0"/>
    <s v="22.1.1.1"/>
    <s v="budżet państwa (z wyjątkiem GDDKiA)"/>
    <s v="Różne wydatki na rzecz osób fizycznych"/>
    <s v="Praktyki studenckie"/>
    <n v="0"/>
    <n v="0"/>
    <n v="0"/>
    <n v="0"/>
    <n v="0"/>
    <s v="planowane"/>
    <m/>
    <m/>
    <m/>
    <m/>
  </r>
  <r>
    <x v="0"/>
    <x v="0"/>
    <s v="BDG"/>
    <x v="19"/>
    <x v="2"/>
    <x v="0"/>
    <s v="22.1.1.1"/>
    <s v="nd"/>
    <s v="Refundacja kosztów zakupu okularów i soczewek kontaktowych dla pracowników MC "/>
    <s v="Pracownikom MC zatrudnionym na stanowiskach pracy wyposażonych w monitory ekranowe, którzy w czasie pracy obsługują monitor ekranowy co najmniej przez połowę dobowego wymiaru czasu pracy, przysługuje refundacja kosztówzakupu okularów lub soczewek kontaktowych korygujących wzrok, używanych do pracy przy monitorze ekranowym na podstawie zarządzenia Nr 2 DG MC z 16.08.2023 r. "/>
    <n v="130"/>
    <n v="130"/>
    <n v="130"/>
    <n v="130"/>
    <n v="130"/>
    <s v="kontynuacja"/>
    <s v="nd"/>
    <s v="zarządzenie DG MC nr 2 z dnia 16.08.2023 r."/>
    <s v="nd"/>
    <m/>
  </r>
  <r>
    <x v="0"/>
    <x v="0"/>
    <s v="BDG"/>
    <x v="19"/>
    <x v="2"/>
    <x v="0"/>
    <s v="22.1.1.1"/>
    <s v="nd"/>
    <s v="Ryczałty - praca zdalna"/>
    <s v="Pokrycie w formie ryczałtu kosztów energii elektrycznej oraz usługi Internetu niezbędnych do wykonywania pracy zdalnej przez pracowników"/>
    <n v="130"/>
    <n v="130"/>
    <n v="130"/>
    <n v="130"/>
    <n v="130"/>
    <s v="kontynuacja"/>
    <s v="nd"/>
    <s v="nd"/>
    <s v="nd"/>
    <m/>
  </r>
  <r>
    <x v="0"/>
    <x v="0"/>
    <s v="BDG"/>
    <x v="19"/>
    <x v="2"/>
    <x v="0"/>
    <s v="22.1.1.1"/>
    <s v="nd"/>
    <s v="Odszkodowania z tyt. spraw pracowniczych"/>
    <s v="Odszkodowania - wyroki sądowe spr. pracownicze"/>
    <n v="30"/>
    <n v="30"/>
    <n v="30"/>
    <n v="30"/>
    <n v="30"/>
    <s v="kontynuacja"/>
    <s v="nd"/>
    <s v="nd"/>
    <s v="cnd"/>
    <s v="BBF - do wyjaśnienia paragraf - wyjaśnione z Dyr. A. Uśniacką"/>
  </r>
  <r>
    <x v="0"/>
    <x v="0"/>
    <s v="BDG"/>
    <x v="0"/>
    <x v="0"/>
    <x v="0"/>
    <s v="22.1.1.1"/>
    <s v="nd"/>
    <s v="Świadczenie usług medycznych z zakresu medycyny pracy dla kandydatów do pracy i pracowników Ministerstwa Cyfryzacji"/>
    <s v="Zapewnienie kandydatom do pracy i pracownikom Ministerstwa Cyfryzacji wstępnych, kontrolnych i okresowych badań medycyny pracy "/>
    <n v="90"/>
    <n v="100"/>
    <n v="100"/>
    <n v="100"/>
    <n v="100"/>
    <s v="kontynuacja"/>
    <s v="umowa "/>
    <s v="nd"/>
    <s v="Placówka medycyny pracy"/>
    <m/>
  </r>
  <r>
    <x v="0"/>
    <x v="0"/>
    <s v="BDG"/>
    <x v="15"/>
    <x v="0"/>
    <x v="0"/>
    <s v="22.1.1.1"/>
    <s v="nd"/>
    <s v="Wynagrodzenia bezosobowe, w tym członków Komisji Dyscyplinarnej"/>
    <s v="Zapewnienie środków na umowy cywilnoprawnej i wynagrodzenia składów orzekających Komisji Dyscyplinarnej Ministerstwa Cyfryzacji"/>
    <n v="100"/>
    <n v="100"/>
    <n v="100"/>
    <n v="100"/>
    <n v="100"/>
    <s v="kontynuacja"/>
    <s v="nd"/>
    <s v="nd"/>
    <s v="nd"/>
    <m/>
  </r>
  <r>
    <x v="0"/>
    <x v="0"/>
    <s v="BDG"/>
    <x v="18"/>
    <x v="2"/>
    <x v="0"/>
    <s v="22.1.1.1"/>
    <s v="nd"/>
    <s v="Organizacja płatnych staży absolwenckich "/>
    <s v="Zapewnienie możliwości organizacji w MC płatnych staży absolwenckich "/>
    <n v="470"/>
    <n v="470"/>
    <n v="470"/>
    <n v="470"/>
    <n v="470"/>
    <s v="planowane"/>
    <s v="nd"/>
    <s v="nd"/>
    <s v="nd"/>
    <m/>
  </r>
  <r>
    <x v="0"/>
    <x v="0"/>
    <s v="BDG"/>
    <x v="0"/>
    <x v="0"/>
    <x v="0"/>
    <s v="22.1.1.1"/>
    <s v="nd"/>
    <s v="Zapewnienie usług wspracia psychologicznego dla pracowników MC"/>
    <s v="Działania prewencyjne w zakresie work life balance"/>
    <n v="35"/>
    <n v="0"/>
    <n v="0"/>
    <n v="0"/>
    <n v="0"/>
    <s v="planowane"/>
    <s v="wniosek nr 180/BDG/24"/>
    <s v="nd"/>
    <s v="nd"/>
    <m/>
  </r>
  <r>
    <x v="0"/>
    <x v="0"/>
    <s v="BDG"/>
    <x v="0"/>
    <x v="0"/>
    <x v="0"/>
    <s v="22.1.1.1"/>
    <s v="nd"/>
    <s v="Udział pracowników MC w konferencjach, refundacja studiów"/>
    <s v="Zapewnienie możliwości udział pracowników MC w konferencjach, refundacji studiów"/>
    <n v="237"/>
    <n v="245"/>
    <n v="251"/>
    <n v="257"/>
    <n v="266"/>
    <s v="planowane"/>
    <s v="nd"/>
    <s v="nd"/>
    <s v="nd"/>
    <m/>
  </r>
  <r>
    <x v="0"/>
    <x v="0"/>
    <s v="BDG"/>
    <x v="0"/>
    <x v="0"/>
    <x v="0"/>
    <s v="22.1.1.1"/>
    <s v="nd"/>
    <s v="Testy kompetencyjne z PTP w wersji papierowej"/>
    <s v="Zapewnienie możliwości stosowania testów kompetencyjnych z PTP w wersji papierowej"/>
    <n v="3"/>
    <n v="3"/>
    <n v="3"/>
    <n v="3"/>
    <n v="3"/>
    <s v="planowane"/>
    <s v="nd"/>
    <s v="nd"/>
    <s v="nd"/>
    <m/>
  </r>
  <r>
    <x v="0"/>
    <x v="0"/>
    <s v="BDG"/>
    <x v="0"/>
    <x v="0"/>
    <x v="0"/>
    <s v="22.1.1.1"/>
    <s v="nd"/>
    <s v="Literatura branżowa z zakresu zarządzania kapitałem ludzkim"/>
    <s v="Zwiększenie wiedzy  z zakresu zzl poprzez literatura branżową "/>
    <n v="3"/>
    <n v="3"/>
    <n v="3"/>
    <n v="3"/>
    <n v="3"/>
    <s v="planowane"/>
    <s v="nd"/>
    <s v="nd"/>
    <s v="nd"/>
    <m/>
  </r>
  <r>
    <x v="0"/>
    <x v="0"/>
    <s v="BDG"/>
    <x v="20"/>
    <x v="0"/>
    <x v="0"/>
    <s v="22.1.1.1"/>
    <s v="nd"/>
    <s v="Podnoszenie kwalifikacji zawodowych pracowników MC zatrudnionych w ksc "/>
    <s v="Zapewnienie możliwości podnoszenia kwalifikacji zawodowych pracowników MC zatrudnionych w ksc "/>
    <n v="1680"/>
    <n v="1735"/>
    <n v="1779"/>
    <n v="1823"/>
    <n v="1869"/>
    <s v="planowane"/>
    <s v="nd"/>
    <s v="nd"/>
    <s v="nd"/>
    <m/>
  </r>
  <r>
    <x v="0"/>
    <x v="0"/>
    <s v="BDG"/>
    <x v="21"/>
    <x v="0"/>
    <x v="0"/>
    <s v="22.1.1.1"/>
    <s v="nd"/>
    <s v="Podnoszenie kwalifikacji zawodowych pracowników MC zatrudnionych poza ksc"/>
    <s v="Zapewnienie możliwości podnoszenia kwalifikacji zawodowych pracowników MC zatrudnionych poza ksc"/>
    <n v="186"/>
    <n v="192"/>
    <n v="197"/>
    <n v="202"/>
    <n v="207"/>
    <s v="planowane"/>
    <s v="nd"/>
    <s v="nd"/>
    <s v="nd"/>
    <m/>
  </r>
  <r>
    <x v="0"/>
    <x v="0"/>
    <s v="BDG"/>
    <x v="0"/>
    <x v="0"/>
    <x v="0"/>
    <s v="22.1.1.1"/>
    <s v="nd"/>
    <s v="Świadczenie przez Wykonawcę na rzecz Zamawiającego usług pocztowych w obrocie krajowym i zagranicznym w zakresie przyjmowania, przemieszczania i doręczania przesyłek listowych oraz ich ewentualnych zwrotów"/>
    <s v="na podstawie art. 2 ust. 1 pkt 1 ustawy z 11 września 2019 r. Prawo Zamówień Publicznych zawarta na okres od 16.05.2023 r. do 16.05.2025r. (usługa pocztowa)"/>
    <n v="73"/>
    <n v="0"/>
    <n v="0"/>
    <n v="0"/>
    <n v="0"/>
    <s v="umowa"/>
    <s v="Umowa nr 211/BDG/23 "/>
    <s v="Umowa nr 211/BDG/24"/>
    <s v="Poczta Polska S.A "/>
    <m/>
  </r>
  <r>
    <x v="0"/>
    <x v="0"/>
    <s v="BDG"/>
    <x v="0"/>
    <x v="0"/>
    <x v="0"/>
    <s v="22.1.1.1"/>
    <s v="nd"/>
    <s v="Świadczenie przez Wykonawcę na rzecz Zamawiającego usług pocztowych w obrocie krajowym i zagranicznym w zakresie przyjmowania, przemieszczania i doręczania przesyłek listowych oraz ich ewentualnych zwrotów"/>
    <s v="świadczenia usług pocztowych na kolejny okres t.j od 17.05.2025 (uwaga zmiana systemu - e-doręczenia) (usługa pocztowa)"/>
    <n v="70"/>
    <n v="130"/>
    <n v="130"/>
    <n v="130"/>
    <n v="130"/>
    <s v="planowane"/>
    <s v="umowa "/>
    <s v="nd"/>
    <s v="Poczta Polska S.A"/>
    <m/>
  </r>
  <r>
    <x v="0"/>
    <x v="0"/>
    <s v="BDG"/>
    <x v="0"/>
    <x v="0"/>
    <x v="0"/>
    <s v="22.1.1.1"/>
    <s v="nd"/>
    <s v="Świadczenie przez Wykonawcę zagranicznych, krajowych, miejskich usług kurierskich w zakresie przyjmowania, przemieszczania i doręczania przesyłek dla Zamawiającego"/>
    <s v="świadczenie usług kurierskich od stycznia 2025 r. na okres 12 mies., następne umowy/wnioski podpisywane z kurierem (usługa kurierska0"/>
    <n v="10"/>
    <n v="10"/>
    <n v="10"/>
    <n v="10"/>
    <n v="10"/>
    <s v="planowane"/>
    <s v="wniosek "/>
    <s v="nd"/>
    <s v="Firma kurierska"/>
    <m/>
  </r>
  <r>
    <x v="0"/>
    <x v="0"/>
    <s v="BDG"/>
    <x v="0"/>
    <x v="0"/>
    <x v="0"/>
    <s v="22.1.1.1"/>
    <s v="nd"/>
    <s v="Świadczenie przez Wykonawcę na rzecz Zamawiającego usług pocztowych w obrocie krajowym i zagranicznym w zakresie przyjmowania, przemieszczania i doręczania przesyłek listowych oraz ich ewentualnych zwrotów"/>
    <s v="świadczenie usług z operatorem wyznaczonym do e-Doręczenia (e-Doręczenia)"/>
    <n v="80"/>
    <n v="90"/>
    <n v="100"/>
    <n v="110"/>
    <n v="110"/>
    <s v="planowane "/>
    <s v="umowa"/>
    <s v="nd"/>
    <s v="Poczta Polska"/>
    <m/>
  </r>
  <r>
    <x v="0"/>
    <x v="0"/>
    <s v="BDG"/>
    <x v="0"/>
    <x v="0"/>
    <x v="0"/>
    <s v="22.1.1.1"/>
    <s v="nd"/>
    <s v="zakup usług "/>
    <s v="zakup usług związanych z realizacją zadań BDG"/>
    <n v="100"/>
    <n v="100"/>
    <n v="100"/>
    <n v="100"/>
    <n v="100"/>
    <s v="planowane"/>
    <s v="nd"/>
    <s v="nd"/>
    <s v="nd"/>
    <m/>
  </r>
  <r>
    <x v="0"/>
    <x v="0"/>
    <s v="BDG"/>
    <x v="22"/>
    <x v="0"/>
    <x v="0"/>
    <s v="22.1.1.1"/>
    <s v="nd"/>
    <s v="Delegacje krajowe"/>
    <s v="Zabezpieczenie potrzeb w zakresie delegacji krajowych pracowników MC w związku z realizowanymi zadaniami."/>
    <n v="610"/>
    <n v="610"/>
    <n v="610"/>
    <n v="610"/>
    <n v="610"/>
    <s v="planowane"/>
    <s v="nd"/>
    <s v="nd"/>
    <s v="nd"/>
    <m/>
  </r>
  <r>
    <x v="0"/>
    <x v="0"/>
    <s v="Biuro Ministra"/>
    <x v="18"/>
    <x v="2"/>
    <x v="0"/>
    <s v="22.1.1.1"/>
    <s v="nie dotyczy"/>
    <s v="Rada do Spraw Cyfryzacji - koszty dojazdu"/>
    <s v="Zwrot kosztów podróży dla członków Rady do Spraw Cyfryzacji reguluje art. 17 ust. 18 ustawy o informatyzacji działalności podmiotów realizujących zadania publiczne (Dz.U. 2017 poz. 570, z późn. zm.)_x000a_Rada ds. Cyfryzacji kadencji 2023-2025 spotyka się średnio na dwóch posiedzeniach miesięcznie. W połowie przyszłego roku nastąpi jednak zakończenie bieżącej kadencji RdC - nie ma możliwości przewidzenia, z jaką częstotliwością spotykać się będzie RdC kolejnej kadencji, kwoty na kolejne lata szacowane są więc na podstawie działań RdC obecnej kadencji."/>
    <n v="25"/>
    <n v="25"/>
    <n v="25"/>
    <n v="0"/>
    <n v="0"/>
    <s v="planowane"/>
    <s v="nie dotyczy"/>
    <s v="nie dotyczy"/>
    <s v="nie dotyczy"/>
    <m/>
  </r>
  <r>
    <x v="0"/>
    <x v="0"/>
    <s v="Biuro Ministra"/>
    <x v="15"/>
    <x v="0"/>
    <x v="0"/>
    <s v="22.1.1.1"/>
    <s v="nie dotyczy"/>
    <s v="Rada do Spraw Cyfryzacji - wynagrodzenia"/>
    <s v="Kwestie wynagrodzenia dla członków RdC reguluje aktualnie Rozporządzenie Ministra Administracji i Cyfryzacji z dnia 20 czerwca 2014 r. w sprawie wysokości wynagrodzenia członków Rady do Spraw Cyfryzacji (Dz.U. 2014 poz. 819).  _x000a_Rada ds. Cyfryzacji kadencji 2023-2025 spotyka się średnio na dwóch posiedzeniach miesięcznie. W połowie przyszłego roku nastąpi jednak zakończenie bieżącej kadencji RdC - nie ma możliwości przewidzenia, z jaką częstotliwością spotykać się będzie RdC kolejnej kadencji, kwoty na kolejne lata szacowane są więc na podstawie działań RdC obecnej kadencji."/>
    <n v="150"/>
    <n v="150"/>
    <n v="150"/>
    <n v="0"/>
    <n v="0"/>
    <s v="planowane"/>
    <s v="nie dotyczy"/>
    <s v="nie dotyczy"/>
    <s v="nie dotyczy"/>
    <m/>
  </r>
  <r>
    <x v="0"/>
    <x v="0"/>
    <s v="Biuro Ministra"/>
    <x v="0"/>
    <x v="0"/>
    <x v="0"/>
    <s v="22.1.1.1"/>
    <s v="nie dotyczy"/>
    <s v="Wydatki związane z obsługą organizacyjną Ministra Cyfryzacji, wydatki związane z funkcjonowaniem magazynku upominków, Zakup książek, e-booków, publikacji i pomocy dydaktycznych potrzebych do realizacji zadań i poszerzania wiedzy pracowników BM"/>
    <s v="Np.organizacja spotkań Ministra Cyfryzacji, zakup kwiatów itp._x000a_Decyzja o ew.wydatkach zależna od bieżących potrzeb członków Kierownictwa "/>
    <n v="40"/>
    <n v="40"/>
    <n v="40"/>
    <n v="0"/>
    <n v="0"/>
    <s v="planowane"/>
    <s v="nie dotyczy"/>
    <s v="nie dotyczy"/>
    <s v="nie dotyczy"/>
    <m/>
  </r>
  <r>
    <x v="0"/>
    <x v="0"/>
    <s v="Biuro Ministra"/>
    <x v="0"/>
    <x v="0"/>
    <x v="0"/>
    <s v="22.1.1.1"/>
    <s v="nie dotyczy"/>
    <s v="Wydatki związane z funkcjonowaniem magazynku upominków"/>
    <s v="Zarządzenie nr 13 Dyrektora Generalnego Ministerstwa Cyfryzacji z dnia 06.12.2023 r. "/>
    <n v="50"/>
    <n v="50"/>
    <n v="50"/>
    <n v="0"/>
    <n v="0"/>
    <s v="planowane"/>
    <s v="planowane"/>
    <s v="planowane"/>
    <s v="planowane"/>
    <m/>
  </r>
  <r>
    <x v="0"/>
    <x v="0"/>
    <s v="Biuro Ministra"/>
    <x v="0"/>
    <x v="0"/>
    <x v="0"/>
    <s v="22.1.1.1"/>
    <s v="nie dotyczy"/>
    <s v="Organizacja Dnia Dziecka"/>
    <s v="Wydarzenie wewnętrzne dla dzieci pracowników"/>
    <n v="150"/>
    <n v="150"/>
    <n v="150"/>
    <n v="0"/>
    <n v="0"/>
    <s v="planowane"/>
    <s v="planowane"/>
    <s v="planowane"/>
    <s v="planowane"/>
    <m/>
  </r>
  <r>
    <x v="0"/>
    <x v="0"/>
    <s v="Biuro Ministra"/>
    <x v="0"/>
    <x v="0"/>
    <x v="0"/>
    <s v="22.1.1.1"/>
    <s v="nie dotyczy"/>
    <s v="Koszty sądowe związane ze skargami na bezczynność dot. Wniosków o udostępnienie informacji publicznej (sprawy administracyjne)"/>
    <s v="Planowane na podstawie pisma znak: DP.MC.SSPO.0333.1.2024 z 4 czerwca 2024 r. "/>
    <n v="1"/>
    <n v="1"/>
    <n v="1"/>
    <n v="0"/>
    <n v="0"/>
    <s v="planowane"/>
    <s v="nie dotyczy"/>
    <s v="nie dotyczy"/>
    <s v="nie dotyczy"/>
    <m/>
  </r>
  <r>
    <x v="0"/>
    <x v="0"/>
    <s v="Biuro Ministra"/>
    <x v="0"/>
    <x v="0"/>
    <x v="0"/>
    <s v="22.1.1.1"/>
    <s v="nie dotyczy"/>
    <s v="Zakup książek, e-booków, publikacji i pomocy dydaktycznych potrzebych do realizacji zadań i poszerzania wiedzy pracowników "/>
    <s v="Szybko zmieniające się przepisy, rozwój technologii informatycznych, pojawiające się nowe zagrożenia dotyczące bezpieczeństwa informacji wymuszają aktualizację wiedzy na powyższe zagadnienia."/>
    <n v="7"/>
    <n v="7"/>
    <n v="7"/>
    <n v="0"/>
    <n v="0"/>
    <s v="planowane"/>
    <s v="nie dotyczy"/>
    <s v="nie dotyczy"/>
    <s v="nie dotyczy"/>
    <m/>
  </r>
  <r>
    <x v="0"/>
    <x v="0"/>
    <s v="Biuro Ministra"/>
    <x v="15"/>
    <x v="0"/>
    <x v="0"/>
    <s v="22.1.1.1"/>
    <s v="nie dotyczy"/>
    <s v="Komitet Audytu - wynagrodzenia członków niezależnych"/>
    <s v="Na podstawie art. 288. ust. 1. ustawy o finansach publicznych Minister Cyfryzacji zobowiązany jest do powołania Komitetu Audytu. Zgodnie z przyjętym założeniem w skład KA powołanych będzie trzech członków niezależnych. Zgodnie z art. 290 ustawy członek niezależny komitetu audytu wykonuje swoje zadania za wynagrodzeniem. _x000a_Z uwagi na możliwą zmianę wysokości przeciętnego wynagrodzenia w gospodarce narodowej, wg którego naliczane jest wynagrodzenie członków KA, szacowana kwota została podana w zaokrągleniu. Przyjęto przy tym przeciętne wynagrodzenia w gospodarce narodowej z roku 2022 r. które wynisi 6 346,15 zł (wzór do wyliczenia wynagrodzenia: https://sip.legalis.pl/document-full.seam?documentId=mfrxilrrge2tgnjvhaytqltwmvzc4mjxge2tc&amp;refSource=guide )_x000a_"/>
    <n v="31"/>
    <n v="35"/>
    <n v="41"/>
    <n v="0"/>
    <n v="0"/>
    <s v="planowane"/>
    <s v="nie dotyczy"/>
    <s v="nie dotyczy"/>
    <s v="nie dotyczy"/>
    <m/>
  </r>
  <r>
    <x v="0"/>
    <x v="0"/>
    <s v="Biuro Ministra"/>
    <x v="0"/>
    <x v="0"/>
    <x v="0"/>
    <s v="22.1.1.1"/>
    <s v="nie dotyczy"/>
    <s v="Zakup usług obejmujących wykonanie ekspertyz, analiz i opinii niezbędnych do realizacji zadań."/>
    <s v="Realizowane zadania często mają charakter wysokospecjalistyczny i konieczne jest wsparcie ze strony ekspertów zewnętrznych, czy też zlecenie analizy. Możliwość skorzystania z pomocy ekserta przewiduje m. in. ustawa o kontroli w administracji rządowej."/>
    <n v="30"/>
    <n v="0"/>
    <n v="40"/>
    <n v="0"/>
    <n v="0"/>
    <s v="planowane"/>
    <s v="planowane"/>
    <s v="planowane"/>
    <s v="planowane"/>
    <m/>
  </r>
  <r>
    <x v="0"/>
    <x v="0"/>
    <s v="Biuro Ministra"/>
    <x v="0"/>
    <x v="0"/>
    <x v="0"/>
    <s v="22.1.1.1"/>
    <s v="nie dotyczy"/>
    <s v="Ocena zewnętrzna audytu wewnętrznego"/>
    <s v="Obowiązek prowadzenia oceny zewnętrznej przynajmniej raz na pięć lat przez wykwalifikowaną, niezależną osobę lub zespół spoza organizacji - wynika z Międzynarodowych standardów praktyki zawodowej audytu wewnętrznego (standard 1312), wskazanych przez Ministra Finansów jako obowiązujące w Komunikacie Nr 4 Ministra Finansów z dnia 20 maja 2011 r. w sprawie standardów audytu wewnętrznego w jednostkach sektora finansów publicznych (Dz. Urz. Min. Fin. Nr 5, poz. 23)."/>
    <n v="0"/>
    <n v="40"/>
    <n v="0"/>
    <n v="0"/>
    <n v="0"/>
    <s v="planowane"/>
    <s v="planowane"/>
    <s v="planowane"/>
    <s v="planowane"/>
    <m/>
  </r>
  <r>
    <x v="0"/>
    <x v="0"/>
    <s v="Biuro Ministra"/>
    <x v="23"/>
    <x v="0"/>
    <x v="0"/>
    <s v="22.1.1.1"/>
    <s v="nie dotyczy"/>
    <s v="Podróże służbowe zagraniczne - pracowników BM"/>
    <s v="Podróże służbowe zagraniczne pracowników BM  - w zależności od bieżących potrzeb"/>
    <n v="20"/>
    <n v="20"/>
    <n v="20"/>
    <n v="0"/>
    <n v="0"/>
    <s v="nie dotyczy"/>
    <s v="nie dotyczy"/>
    <s v="nie dotyczy"/>
    <s v="nie dotyczy"/>
    <s v="Zaplanowane tylko delegacje zagraniczne, ponieważ delegacje krajowe dla całęgo MC planuje i zgłasza BDG."/>
  </r>
  <r>
    <x v="0"/>
    <x v="0"/>
    <s v="BK"/>
    <x v="0"/>
    <x v="0"/>
    <x v="0"/>
    <s v="22.1.1.1"/>
    <m/>
    <s v="Zakup materiałów i wyposażenia "/>
    <s v="Zakup materiałów promocyjnych (materiały edukacyjne, książki) "/>
    <n v="70"/>
    <n v="0"/>
    <n v="0"/>
    <n v="0"/>
    <n v="0"/>
    <s v="planowane"/>
    <s v="-"/>
    <m/>
    <s v="-"/>
    <s v="Nie są zaangażowane środki. Nie można ograniczyć wysokości zadania. "/>
  </r>
  <r>
    <x v="0"/>
    <x v="0"/>
    <s v="BK"/>
    <x v="0"/>
    <x v="0"/>
    <x v="0"/>
    <s v="22.1.1.1"/>
    <m/>
    <s v="Zakup materiałów promocyjnych "/>
    <s v="Gażdżety z logo MC "/>
    <n v="450"/>
    <n v="0"/>
    <n v="0"/>
    <n v="0"/>
    <n v="0"/>
    <s v="planowane"/>
    <s v="-"/>
    <m/>
    <s v="-"/>
    <s v="Nie są zaangażowane środki. Nie można ograniczyć wysokości zadania. "/>
  </r>
  <r>
    <x v="0"/>
    <x v="0"/>
    <s v="BK"/>
    <x v="0"/>
    <x v="0"/>
    <x v="0"/>
    <s v="22.1.1.1"/>
    <m/>
    <s v="Zakup materiałów i wyposażenia "/>
    <s v="Obrandowanie MC (ścianki, roll up'y z logo MC) "/>
    <n v="100"/>
    <n v="0"/>
    <n v="0"/>
    <n v="0"/>
    <n v="0"/>
    <s v="planowane"/>
    <s v="-"/>
    <m/>
    <s v="-"/>
    <s v="Nie są zaangażowane środki. Nie można ograniczyć wysokości zadania. "/>
  </r>
  <r>
    <x v="0"/>
    <x v="0"/>
    <s v="BK"/>
    <x v="0"/>
    <x v="0"/>
    <x v="0"/>
    <s v="22.1.1.1"/>
    <m/>
    <s v="Zakup materiałów promocyjnych "/>
    <s v="Usługi poligraficzne (druk ulotek, broszur)"/>
    <n v="70"/>
    <n v="0"/>
    <n v="0"/>
    <n v="0"/>
    <n v="0"/>
    <s v="planowane"/>
    <s v="-"/>
    <m/>
    <s v="-"/>
    <s v="Nie są zaangażowane środki. Nie można ograniczyć wysokości zadania. "/>
  </r>
  <r>
    <x v="0"/>
    <x v="0"/>
    <s v="BK"/>
    <x v="0"/>
    <x v="0"/>
    <x v="0"/>
    <s v="22.1.1.1"/>
    <m/>
    <s v="Zakup usług "/>
    <s v="Monitoring mediow "/>
    <n v="150"/>
    <n v="0"/>
    <n v="0"/>
    <n v="0"/>
    <n v="0"/>
    <s v="procedowana umowa/porozumienie"/>
    <s v="-"/>
    <m/>
    <s v="-"/>
    <s v="Są zaanagżowane środki - 31 734 zł. Nie można ograniczyć wysokości zadania. "/>
  </r>
  <r>
    <x v="0"/>
    <x v="0"/>
    <s v="BK"/>
    <x v="15"/>
    <x v="0"/>
    <x v="0"/>
    <s v="22.1.1.1"/>
    <m/>
    <s v="Zakup usług - wynagrodzenia bezosobowe "/>
    <s v="Obsługa fotograficzna i video"/>
    <n v="300"/>
    <n v="0"/>
    <n v="0"/>
    <n v="0"/>
    <n v="0"/>
    <s v="procedowana umowa/porozumienie"/>
    <s v="-"/>
    <m/>
    <s v="-"/>
    <s v="Są zaanagżowane środki - 62 1000, 00 zł. Nie można ograniczyć wysokości zadania. "/>
  </r>
  <r>
    <x v="0"/>
    <x v="0"/>
    <s v="BK"/>
    <x v="0"/>
    <x v="0"/>
    <x v="0"/>
    <s v="22.1.1.1"/>
    <m/>
    <s v="Zakup materiałów i wyposażenia "/>
    <s v="Sprzęt AV (gimbale, mikrofony do nagrań) "/>
    <n v="40"/>
    <n v="0"/>
    <n v="0"/>
    <n v="0"/>
    <n v="0"/>
    <s v="planowane"/>
    <s v="-"/>
    <m/>
    <s v="-"/>
    <s v="Nie są zaangażowane środki. Nie można ograniczyć wysokości zadania. "/>
  </r>
  <r>
    <x v="0"/>
    <x v="0"/>
    <s v="BK"/>
    <x v="0"/>
    <x v="0"/>
    <x v="0"/>
    <s v="22.1.1.1"/>
    <m/>
    <s v="Zakup usług "/>
    <s v="Licencje, subskrypcje roczne (wersje Premium, programy graficzne) "/>
    <n v="60"/>
    <n v="0"/>
    <n v="0"/>
    <n v="0"/>
    <n v="0"/>
    <s v="planowane"/>
    <s v="-"/>
    <m/>
    <s v="-"/>
    <s v="Nie są zaangażowane środki. Nie można ograniczyć wysokości zadania. "/>
  </r>
  <r>
    <x v="0"/>
    <x v="0"/>
    <s v="BK"/>
    <x v="0"/>
    <x v="0"/>
    <x v="0"/>
    <s v="22.1.1.1"/>
    <m/>
    <s v="Zakup materiałów promocyjnych "/>
    <s v="Konkursy tematyczne i nagrody "/>
    <n v="150"/>
    <n v="0"/>
    <n v="0"/>
    <n v="0"/>
    <n v="0"/>
    <s v="planowane"/>
    <s v="-"/>
    <m/>
    <s v="-"/>
    <s v="Nie są zaangażowane środki. Nie można ograniczyć wysokości zadania. "/>
  </r>
  <r>
    <x v="0"/>
    <x v="0"/>
    <s v="BK"/>
    <x v="0"/>
    <x v="0"/>
    <x v="0"/>
    <s v="22.1.1.1"/>
    <m/>
    <s v="Wynagrodzenie agencyjno-prowizyjne "/>
    <s v=" Produkcja i emisja kampanii info-promo (prezydencja Polski w UE) - zamówienie na agencje reklamowe"/>
    <n v="100"/>
    <n v="0"/>
    <n v="0"/>
    <n v="0"/>
    <n v="0"/>
    <s v="planowane"/>
    <s v="-"/>
    <m/>
    <s v="-"/>
    <s v="Nie są zaangażowane środki. Nie można ograniczyć wysokości zadania. "/>
  </r>
  <r>
    <x v="0"/>
    <x v="0"/>
    <s v="BK"/>
    <x v="0"/>
    <x v="0"/>
    <x v="0"/>
    <s v="22.1.1.1"/>
    <m/>
    <s v="Zakup usług "/>
    <s v="Eventy, konferencje, DD w KPRM itp. - budżet nowego Wydziału ds. Koordynacji Wydarzeń "/>
    <n v="2500"/>
    <n v="0"/>
    <n v="0"/>
    <n v="0"/>
    <n v="0"/>
    <s v="planowane"/>
    <s v="-"/>
    <m/>
    <s v="-"/>
    <s v="Nie są zaangażowane środki. Nie można ograniczyć wysokości zadania. "/>
  </r>
  <r>
    <x v="0"/>
    <x v="0"/>
    <s v="BK"/>
    <x v="0"/>
    <x v="0"/>
    <x v="0"/>
    <s v="22.1.1.1"/>
    <m/>
    <s v="Zakup usług "/>
    <s v="Dodatkowe kampanie medialne (poza KEI) i niezaplanowane potrzeby innych departamentów dot. działań komunikacyjnych"/>
    <n v="2000"/>
    <n v="0"/>
    <n v="0"/>
    <n v="0"/>
    <n v="0"/>
    <s v="planowane"/>
    <s v="-"/>
    <m/>
    <s v="-"/>
    <s v="Nie są zaangażowane środki. Nie można ograniczyć wysokości zadania. "/>
  </r>
  <r>
    <x v="0"/>
    <x v="0"/>
    <s v="CRKC"/>
    <x v="0"/>
    <x v="0"/>
    <x v="0"/>
    <s v="16.5.2.2"/>
    <m/>
    <s v="Dogłębne audyty dostepności cyfrowej stron internetowych podmiotów publicznych zgodnie z realizacją zadań nałożonych przez Ustawę z dnia 4 kwietnia 2019 r. o dostępności cyfrowej stron internetowych i aplikacji mobilnych podmiotów publicznych (art. 12 pkt 2)"/>
    <s v="Dogłębne audyty dostepności cyfrowej stron internetowych podmiotów publicznych zgodnie z realizacją zadań nałożonych przez Ustawę z dnia 4 kwietnia 2019 r. o dostępności cyfrowej stron internetowych i aplikacji mobilnych podmiotów publicznych (art. 12 pkt 2)"/>
    <n v="500"/>
    <n v="600"/>
    <n v="600"/>
    <n v="600"/>
    <n v="600"/>
    <s v="planowane"/>
    <m/>
    <m/>
    <m/>
    <m/>
  </r>
  <r>
    <x v="0"/>
    <x v="0"/>
    <s v="CRKC"/>
    <x v="0"/>
    <x v="0"/>
    <x v="0"/>
    <s v="16.5.2.2"/>
    <m/>
    <s v="Dogłębne audyty dostepności cyfrowej aplikacji mobilnych podmiotów publicznych zgodne z realizacją zadań nałożonych przez Ustawę z dnia 4 kwietnia 2019 r. o dostępności cyfrowej stron internetowych i aplikacji mobilnych podmiotów publicznych (art. 12 pkt 2)"/>
    <s v="Dogłębne audyty dostepności cyfrowej aplikacji mobilnych podmiotów publicznych zgodne z realizacją zadań nałożonych przez Ustawę z dnia 4 kwietnia 2019 r. o dostępności cyfrowej stron internetowych i aplikacji mobilnych podmiotów publicznych (art. 12 pkt 2)"/>
    <n v="300"/>
    <n v="400"/>
    <n v="400"/>
    <n v="400"/>
    <n v="400"/>
    <s v="planowane"/>
    <m/>
    <m/>
    <m/>
    <m/>
  </r>
  <r>
    <x v="0"/>
    <x v="0"/>
    <s v="CRKC"/>
    <x v="0"/>
    <x v="0"/>
    <x v="0"/>
    <s v="16.5.2.2"/>
    <m/>
    <s v="Utrzymanie programu do badania dostepności cyfrowej stron internetowych "/>
    <s v="Utrzymanie programu do badania dostepności cyfrowej stron internetowych "/>
    <n v="300"/>
    <n v="300"/>
    <n v="300"/>
    <n v="300"/>
    <n v="300"/>
    <s v="planowane"/>
    <m/>
    <m/>
    <m/>
    <m/>
  </r>
  <r>
    <x v="0"/>
    <x v="0"/>
    <s v="CRKC"/>
    <x v="0"/>
    <x v="0"/>
    <x v="0"/>
    <s v="16.5.2.2"/>
    <m/>
    <s v="Tłumaczenie dokumentów dot. dostępności cyfrowej (normy, WCAG)"/>
    <s v="Tłumaczenie dokumentów dot. dostępności cyfrowej (normy, WCAG)"/>
    <n v="20"/>
    <n v="20"/>
    <n v="20"/>
    <n v="20"/>
    <n v="20"/>
    <s v="planowane"/>
    <m/>
    <m/>
    <m/>
    <m/>
  </r>
  <r>
    <x v="0"/>
    <x v="0"/>
    <s v="CRKC"/>
    <x v="0"/>
    <x v="0"/>
    <x v="0"/>
    <s v="16.5.2.2"/>
    <m/>
    <s v="Organizacja spotkań i konferencji (w tym koszty usług tłumacza) oraz konferencje organizpwane w ramach prezydencji Polski w UE"/>
    <s v="Organizacja spotkań i konferencji (w tym koszty usług tłumacza)"/>
    <m/>
    <m/>
    <m/>
    <m/>
    <m/>
    <s v="Prezydencja"/>
    <m/>
    <m/>
    <m/>
    <m/>
  </r>
  <r>
    <x v="0"/>
    <x v="0"/>
    <s v="CRKC"/>
    <x v="0"/>
    <x v="0"/>
    <x v="0"/>
    <s v="16.5.2.2"/>
    <m/>
    <s v="Badania i analizy"/>
    <s v="Realizacja badań i analiz w zakresie kompetencji cyfrowych wynika z regulaminu organizacyjnego CRKC"/>
    <n v="2000"/>
    <n v="2000"/>
    <n v="2000"/>
    <n v="2000"/>
    <n v="2000"/>
    <s v="planowane"/>
    <m/>
    <m/>
    <m/>
    <m/>
  </r>
  <r>
    <x v="0"/>
    <x v="0"/>
    <s v="CRKC"/>
    <x v="0"/>
    <x v="0"/>
    <x v="0"/>
    <s v="16.5.2.2"/>
    <m/>
    <s v="Zakup narzędzia do tworzenia ankiet onlinie"/>
    <s v="Narzędzie jest niezbędne do realizacji niektórych badań własnymi zasobami CRKC."/>
    <n v="15"/>
    <n v="15"/>
    <n v="15"/>
    <n v="15"/>
    <n v="15"/>
    <s v="umowa"/>
    <s v="184/CRKC/24 (na rok 2024/2025)"/>
    <m/>
    <m/>
    <s v="W 2025 r. procedowana będzie kolejna umowa na kolejne lata"/>
  </r>
  <r>
    <x v="0"/>
    <x v="0"/>
    <s v="CRKC"/>
    <x v="24"/>
    <x v="3"/>
    <x v="0"/>
    <s v="16.5.2.2"/>
    <m/>
    <s v="Dotacja dla NASK na utrzymanie realizacja umów wykonawczych, system IT do relokacji i dystrybucji,  wsparcia informacyjno-technicznego na potrzeby komputerów dla uczniów i realizacja konkursów na nadmiarowe laptopy. "/>
    <s v="Realizacja zadania wynika z ustawy o  wsparciu rozwoju kompetencji cyfrowych uczniów i nauczycieli."/>
    <n v="2903"/>
    <n v="2350"/>
    <n v="0"/>
    <n v="0"/>
    <n v="0"/>
    <s v="realizowane"/>
    <s v="umowa"/>
    <s v="113/CRKC/24"/>
    <s v="Naukowa i Akademicka Sieć Komputerowa – Państwowy Instytut Badawczy"/>
    <m/>
  </r>
  <r>
    <x v="0"/>
    <x v="0"/>
    <s v="CRKC"/>
    <x v="0"/>
    <x v="0"/>
    <x v="0"/>
    <s v="16.5.2.2"/>
    <s v="podmioty pozostałe (z wyjątkiem PKP PLK S.A.)"/>
    <s v="Pełnienie funkcji Podmiotu Zewnętrznego Zapewnienia Jakości "/>
    <s v="Pełnienie funkcji Podmiotu Zewnętrznego Zapewnienia Jakości przez Siecią Badawczą Łukasiewicz - Instytutem Technologii Eksploatacji oraz Grupę Gumułkę - Euroedukacja, w stosunku do Intytucji Certyfikujących"/>
    <n v="400"/>
    <n v="550"/>
    <n v="600"/>
    <n v="600"/>
    <n v="0"/>
    <s v="procedowana umowa/porozumienie"/>
    <m/>
    <m/>
    <m/>
    <m/>
  </r>
  <r>
    <x v="0"/>
    <x v="0"/>
    <s v="CRKC"/>
    <x v="15"/>
    <x v="0"/>
    <x v="0"/>
    <s v="16.5.2.3"/>
    <s v="podmioty pozostałe (z wyjątkiem PKP PLK S.A.)"/>
    <s v="Pełnienie funkcji Specjalisty bądź Eksperta"/>
    <s v="Wykonawca przyjmując do wykonania Zadanie działa jako specjalista  bądź ekspert powołany do zespołu ekspertów, o którym mowa w ustawie o ZSK i rozporządzeniu MEN."/>
    <n v="50"/>
    <n v="100"/>
    <n v="100"/>
    <n v="100"/>
    <n v="100"/>
    <s v="planowane"/>
    <m/>
    <m/>
    <m/>
    <m/>
  </r>
  <r>
    <x v="0"/>
    <x v="0"/>
    <s v="CRKC"/>
    <x v="24"/>
    <x v="3"/>
    <x v="0"/>
    <s v="16.5.2.2"/>
    <s v="pozostałe jednostki sektora finansów publicznych"/>
    <s v="Przeciwdziałanie dezinformacji "/>
    <s v="Dotacja celowa na wydatki bieżące z przeznaczeniem na realizację zadania pn. „Monitoring treści o potencjale dezinformacyjnym w mediach społecznościowych oraz prace rozwojowe nad usprawnieniem narzędzi wspierających budowanie odporności administracji publicznej oraz społeczeństwa wobec zjawiska dezinformacji poprzez działania naukowe i edukacyjne” na podstawie art. 37 ust. 1 i 2 ustawy z dnia 30 kwietnia 2010 r. o instytutach badawczych (Dz. U. z 2022 r. poz. 498) w wys. 11.916.503,52 zł. W ramach zadania  planowanego do kontynuacji  w 2024 roku  Naukowa i Akademicka Sieć Komputerowa – Państwowy Instytut Badawczy planuje zrealizować wydatki bieżące z przeznaczeniem na realizację m.in. następujących działań: _x000a_-ciągły, bardziej precyzyjny monitoring infosfery;_x000a_rozwijanie dodatkowych funkcjonalności narzędzia do monitorowania dezinformacji;_x000a_- analiza narracji dezinformujących oraz wypracowanie predykcji sytuacji;_x000a_- edukacja interesariuszy z administracji publicznej w zakresie przeciwdziałania dezinformacji;_x000a_- ekspercki udział w konferencjach i wydarzeniach;_x000a_- kampanie informacyjne dla całego społeczeństwa."/>
    <n v="0"/>
    <n v="0"/>
    <n v="0"/>
    <n v="0"/>
    <n v="0"/>
    <s v="umowa"/>
    <s v="umowa"/>
    <s v="364/C/CRKC/2023 na kwotę 11.999.978,52 zł"/>
    <s v="Naukowa i Akademicka Sieć Komputerowa – Państwowy Instytut Badawczy"/>
    <m/>
  </r>
  <r>
    <x v="0"/>
    <x v="0"/>
    <s v="CRKC"/>
    <x v="25"/>
    <x v="1"/>
    <x v="0"/>
    <s v="16.5.2.2"/>
    <s v="pozostałe jednostki sektora finansów publicznych"/>
    <s v="Przeciwdziałanie dezinformacji "/>
    <s v="Dotacja celowa na wydatki majątkowe na zadanie &quot;Monitoring treści o potencjale dezinformacyjnym w mediach społecznościowych oraz prace rozwojowe nad usprawnieniem narzędzi wspierających budowanie odporności administracji publicznej oraz społeczeństwa wobec zjawiska dezinformacji poprzez działania naukowe i edukacyjne” na podstawie art. 37 ust. 1 i 2 ustawy z dnia 30 kwietnia 2010 r. o instytutach badawczych (Dz. U. z 2022 r. poz. 498 w wys. 83.475,00 zł. W ramach zadania  planowanego do kontynuacji  w 2024 roku Naukowa i Akademicka Sieć Komputerowa – Państwowy Instytut Badawczy planuje zrealizować wydatki majątkowe na zakup rozwiązań z zakresu bezpieczeństwa. W ramach powyższej kwoty planuje się opłaty za licencje dla architektów i programistów utrzymujących aplikacje, licencji dla rozwiązań podnoszących efektywność i możliwości analityczne systemu oraz zakupy realizowane w celu rozbudowy platformy sprzętowej."/>
    <n v="0"/>
    <n v="0"/>
    <n v="0"/>
    <n v="0"/>
    <n v="0"/>
    <s v="umowa"/>
    <s v="umowa"/>
    <s v="364/C/CRKC/2023 na kwotę 11.999.978,52 zł"/>
    <s v="Naukowa i Akademicka Sieć Komputerowa – Państwowy Instytut Badawczy"/>
    <m/>
  </r>
  <r>
    <x v="0"/>
    <x v="0"/>
    <s v="CRKC"/>
    <x v="26"/>
    <x v="3"/>
    <x v="0"/>
    <s v="16.5.2.2"/>
    <s v="podmioty pozostałe (z wyjątkiem PKP PLK S.A.)"/>
    <s v="Program wieloletni &quot;Program Rozwoju Talentów Informatycznych na lata 2019-2029&quot;"/>
    <s v="Uchwała nr 43 Rady Ministrów z dnia 28 maja 2019 r. w sprawie ustanowienia programu wieloletniego &quot;Program Rozwoju Talentów Informatycznych na lata 2019-2029&quot;, zmienioną uchwałą nr 134 Rady Ministrów z dnia 25 września 2020 r. oraz uchwałą nr 138 Rady Ministrów z dnia 25 października 2021 r. zmieniającą uchwałę w sprawie ustanowienia programu wieloletniego &quot;Program Rozwoju Talentów Informatycznych na lata 2019-2029&quot;. Planowane jest ogłoszenie konkursów Ministra Cyfryzacji na przeprowadzenie konkursów: Mistrzostwa w Algorytmice i Programowaniu, Mistrzostwa w Projektowaniu Gier Komputerowych. "/>
    <n v="9000"/>
    <n v="9000"/>
    <n v="9000"/>
    <n v="9000"/>
    <n v="6200"/>
    <s v="planowane"/>
    <s v="planowane"/>
    <m/>
    <m/>
    <m/>
  </r>
  <r>
    <x v="0"/>
    <x v="0"/>
    <s v="CRKC"/>
    <x v="26"/>
    <x v="3"/>
    <x v="0"/>
    <s v="16.5.2.2"/>
    <s v="podmioty pozostałe (z wyjątkiem PKP PLK S.A.)"/>
    <s v="Program współpracy Ministra Cyfryzacji z organizacjami pozarządowymi oraz podmiotami wymienionymi w art. 3 ust. 3 ustawy o działalności pożytku publicznego i o wolontariacie na lata 2022-2024"/>
    <s v="Program współpracy Ministra Cyfryzacji z organizacjami pozarządowymi oraz podmiotami wymienionymi w art. 3 ust. 3 ustawy o działalności pożytku publicznego i o wolontariacie na lata 2022-2024 na kwotę 35.000.000 zł. Podstawa prawna  -  art. 5b ust. 1 ustawy z dnia 24 kwietnia 2003 r. o działalności pożytku publicznego i o wolontariacie (Dz. U. z 2020 r. poz. 1057 oraz z 2021 r. poz. 1038, 1243 i 1535). Z uwagi że, w tym roku realizacja Programu się kończy,  przygotowywany jest projekt Programu na kolejne lata. W ramach aktualnie obowiązującego Programu planowane jest ogłoszenie konkursów skierowanych do NGO m.in. w przedmocie szkoleń z zaawansowanych kompetancji cyfrowych dla kobiet oraz innych grup odbiorców. (Program wieloletni &quot;Program Rozwoju Talentów Informatycznych na lata 2019-2029&quot;   - Uchwała nr 43 Rady Ministrów z dnia 28 maja 2019 r. w sprawie ustanowienia programu wieloletniego &quot;Program Rozwoju Talentów Informatycznych na lata 2019-2029&quot;, zmieniona uchwałą nr 134 Rady Ministrów z dnia 25 września 2020 r. oraz uchwałą nr 138 Rady Ministrów z dnia 25 października 2021 r. zmieniająca uchwałę w sprawie ustanowienia programu wieloletniego &quot;Program Rozwoju Talentów Informatycznych na lata 2019-2029 )"/>
    <n v="35000"/>
    <n v="35000"/>
    <n v="35000"/>
    <n v="35000"/>
    <n v="35000"/>
    <s v="planowane"/>
    <s v="planowane"/>
    <m/>
    <m/>
    <m/>
  </r>
  <r>
    <x v="0"/>
    <x v="0"/>
    <s v="CRKC"/>
    <x v="0"/>
    <x v="0"/>
    <x v="0"/>
    <s v="16.5.2.2"/>
    <s v="podmioty pozostałe (z wyjątkiem PKP PLK S.A.)"/>
    <s v="Przeciwdziałanie dezinformacji "/>
    <s v=" Przeciwdziałanie dezinformacji w wys. 5.000.000 zł._x000a_W ramach zadania planowane są na 2025 rok działania związane z dezinformacją m.in. szkolenia, działania informacyjno – promocyjne ( w tym m.in. szkolenia, informacja oraz promocja w radiu i telewizji, internecie ). "/>
    <n v="2887"/>
    <n v="2887"/>
    <n v="2887"/>
    <n v="2887"/>
    <n v="2887"/>
    <s v="planowane"/>
    <s v="planowane"/>
    <m/>
    <m/>
    <m/>
  </r>
  <r>
    <x v="0"/>
    <x v="0"/>
    <s v="CRKC"/>
    <x v="27"/>
    <x v="3"/>
    <x v="0"/>
    <s v="16.5.2.2"/>
    <m/>
    <s v="Rozwój kompetencji cyfrowych w zakresie inżynierii kwantowej "/>
    <s v="Dotacja celowa na wydatki bieżące  dla Instytutu Chemii Bioorganicznej PAN Poznańskie Centrum Superkomputerowo-Sieciowe w Poznaniu z przeznaczeniem na realizację projektu &quot;Rozwój kompetencji cyfrowych w zakresie inżynierii kwantowej &quot;-  na  podstawie   art. 10c ust 1,2 i 6  ustawy z dnia 8 sierpnia 1996 r. o Radzie Ministrów planowane jest wydanie decyzji Prezesa Rady Minsitrów  powierzającej Instytutowi realizację ww. projektu . Przewiduje się wydtaki min. na, wsparcie w zakresie wykorzystania mocy obliczeniowych komputera kwantowego IBM Quantum,Opracowanie wytycznych/założeń do programów studiów w zakresie inżynierii kwantowej, Przeprowadzenie pilotażu szkoleń dla kadry akademickiej z zakresu tematyki inżynierii kwantowej"/>
    <n v="7335"/>
    <n v="0"/>
    <n v="0"/>
    <n v="0"/>
    <n v="0"/>
    <s v="planowane"/>
    <s v="planowane "/>
    <m/>
    <m/>
    <m/>
  </r>
  <r>
    <x v="0"/>
    <x v="0"/>
    <s v="CRKC"/>
    <x v="24"/>
    <x v="3"/>
    <x v="0"/>
    <s v="16.5.2.2"/>
    <m/>
    <s v="„Monitoring treści o potencjale dezinformacyjnym w mediach społecznościowych oraz prace rozwojowe nad_x000a_usprawnieniem narzędzi wspierających budowanie odporności administracji publicznej oraz społeczeństwa wobec zjawiska dezinformacji poprzez działania naukowe i edukacyjne"/>
    <s v="Dotacja celowa na wydatki bieżące dla NASK-PIB  z przeznaczeniem na realizację zadania pn. „Monitoring treści o_x000a_potencjale dezinformacyjnym w mediach społecznościowych oraz prace rozwojowe nad_x000a_usprawnieniem narzędzi wspierających budowanie odporności administracji publicznej_x000a_oraz społeczeństwa wobec zjawiska dezinformacji poprzez działania naukowe i_x000a_edukacyjne&quot;,” na podstawie art. 37 ust. 1 i 2 ustawy z dnia 30 kwietnia 2010 r. o instytutach badawczych (Dz. U. z 2022 r. poz. 498). _x000a_W ramach zadania  przewidziano realizację  m.in. działań:_x000a_-Szybkie wykrywanie i reagowanie na dezinformację _x000a_(Częściowe utrzymanie systemu szybkiego reagowania, opracowanie strategii reagowania na dezinformację przez instytucje publiczne);_x000a_-Pogłębiona analiza i analiza trendów (ogólnodostępne raporty)._x000a_- Analiza trendów narracyjnych (ogólnodostępne raporty),_x000a_- Analiza kampanii dezinformacyjnych,_x000a_-Prowadzenie działań na rzecz edukacji społecznej oraz prowadzenie celowych kampanii, informacyjnych przy wykorzystaniu kanałów NASK._x000a_-Opracowanie strategii komunikacji reakcji na dezinformacje instytucji publicznych."/>
    <n v="14410"/>
    <n v="0"/>
    <n v="0"/>
    <n v="0"/>
    <n v="0"/>
    <s v="planowane"/>
    <s v="planowane "/>
    <m/>
    <m/>
    <m/>
  </r>
  <r>
    <x v="0"/>
    <x v="0"/>
    <s v="CRKC"/>
    <x v="24"/>
    <x v="3"/>
    <x v="0"/>
    <s v="16.5.2.2"/>
    <m/>
    <s v="Dotacja celowa dla NASK-PIB na wdrożenie przez NASK-PIB portalu o kompetencjach cyfrowych  oraz organizacji konferencji „Digital Skills Summit” realizowanych w ramach „Programu Rozwoju Kompetencji Cyfrowych”"/>
    <s v="Realizacja działań wynikających z  Programu Rozwoju Kompetencji Cyfrowych"/>
    <n v="1300"/>
    <n v="1300"/>
    <n v="1300"/>
    <n v="1300"/>
    <n v="1300"/>
    <s v="planowane"/>
    <s v="planowane"/>
    <m/>
    <s v="Naukowa i Akademicka Sieć Komputerowa – Państwowy Instytut Badawczy"/>
    <m/>
  </r>
  <r>
    <x v="0"/>
    <x v="0"/>
    <s v="CRKC"/>
    <x v="24"/>
    <x v="3"/>
    <x v="0"/>
    <s v="16.5.2.2"/>
    <m/>
    <s v="Dotacja celowa dla NASK-PIB na realizację projektu szkoleniowego dla seniorów i uczniów pn. Szkoła międzypokoleniowa"/>
    <s v="Realizacja działań wynikających z  Programu Rozwoju Kompetencji Cyfrowych"/>
    <n v="3000"/>
    <n v="0"/>
    <n v="0"/>
    <n v="0"/>
    <n v="0"/>
    <s v="planowane"/>
    <s v="planowane"/>
    <m/>
    <s v="Naukowa i Akademicka Sieć Komputerowa – Państwowy Instytut Badawczy"/>
    <m/>
  </r>
  <r>
    <x v="0"/>
    <x v="0"/>
    <s v="CRKC"/>
    <x v="0"/>
    <x v="0"/>
    <x v="0"/>
    <s v="16.5.2.2"/>
    <m/>
    <s v="Catering okazjonalny"/>
    <s v="Catering okazjonalny niezbędny do prowadzonych spotkań i wydarzeń organizowanych przez CRKC, w tym np. Okrągły stół dla kobiet czy seniorów."/>
    <n v="30"/>
    <n v="30"/>
    <n v="30"/>
    <n v="0"/>
    <n v="0"/>
    <s v="planowane"/>
    <s v="planowane "/>
    <m/>
    <m/>
    <m/>
  </r>
  <r>
    <x v="0"/>
    <x v="0"/>
    <s v="CRKC"/>
    <x v="0"/>
    <x v="0"/>
    <x v="0"/>
    <s v="16.5.2.2"/>
    <m/>
    <s v="tłumaczenia"/>
    <s v="tłumaczenia"/>
    <n v="0"/>
    <n v="0"/>
    <n v="0"/>
    <n v="0"/>
    <n v="0"/>
    <s v="planowane"/>
    <s v="planowane "/>
    <m/>
    <m/>
    <m/>
  </r>
  <r>
    <x v="0"/>
    <x v="0"/>
    <s v="CRKC"/>
    <x v="20"/>
    <x v="0"/>
    <x v="0"/>
    <s v="16.5.2.2"/>
    <m/>
    <s v="szkolenia"/>
    <s v="szkolenia dla pracowników CRKC"/>
    <n v="50"/>
    <n v="50"/>
    <n v="50"/>
    <n v="0"/>
    <n v="0"/>
    <s v="planowane"/>
    <s v="planowane "/>
    <m/>
    <m/>
    <m/>
  </r>
  <r>
    <x v="0"/>
    <x v="0"/>
    <s v="DBI"/>
    <x v="24"/>
    <x v="3"/>
    <x v="0"/>
    <s v="16.5.2.2"/>
    <s v="podmioty pozostałe (z wyjątkiem PKP PLK S.A.)"/>
    <s v="Dotacja dla NASK - system EBSI - wydatki bieżące"/>
    <s v="Realizacja zadania pn. „Pełnienie roli operatora węzła EBSI POLSKA” zakłada dofinansowanie działań Naukowej i Akademickiej Sieci Komputerowej – Państwowego Instytutu Badawczego (NASK – PIB), których celem jest realizacja działań związanych z rozwojem EBSI, budową, utrzymaniem i obsługą węzłów EBSI wg wymagań określanych przez grupę techniczną EBP, polskiej infrastruktury sieci EBSI i obsługiwanych z jej użyciem przypadków użycia wybranych w ramach EBP (Europejskie Porozumienie Blockchain) i podjętych do realizacji i świadczenia usług publicznych przez stosowne instytucje lub inne podmioty w Polsce."/>
    <n v="4310"/>
    <n v="4310"/>
    <n v="0"/>
    <n v="0"/>
    <n v="0"/>
    <s v="procedowana umowa/porozumienie"/>
    <m/>
    <m/>
    <s v="NASK"/>
    <m/>
  </r>
  <r>
    <x v="0"/>
    <x v="0"/>
    <s v="DBI"/>
    <x v="25"/>
    <x v="1"/>
    <x v="0"/>
    <s v="16.5.2.2"/>
    <s v="podmioty pozostałe (z wyjątkiem PKP PLK S.A.)"/>
    <s v="Dotacja dla NASK - system EBSI - wydatki majątkowe"/>
    <s v="Realizacja zadania pn. „Pełnienie roli operatora węzła EBSI POLSKA” zakłada dofinansowanie działań Naukowej i Akademickiej Sieci Komputerowej – Państwowego Instytutu Badawczego (NASK – PIB), których celem jest realizacja działań związanych z rozwojem EBSI, budową, utrzymaniem i obsługą węzłów EBSI wg wymagań określanych przez grupę techniczną EBP, polskiej infrastruktury sieci EBSI i obsługiwanych z jej użyciem przypadków użycia wybranych w ramach EBP (Europejskie Porozumienie Blockchain) i podjętych do realizacji i świadczenia usług publicznych przez stosowne instytucje lub inne podmioty w Polsce."/>
    <n v="0"/>
    <n v="0"/>
    <n v="0"/>
    <n v="0"/>
    <n v="0"/>
    <s v="procedowana umowa/porozumienie"/>
    <m/>
    <m/>
    <s v="NASK"/>
    <m/>
  </r>
  <r>
    <x v="0"/>
    <x v="0"/>
    <s v="DBI"/>
    <x v="24"/>
    <x v="3"/>
    <x v="0"/>
    <s v="16.5.2.2"/>
    <s v="pozostałe jednostki sektora finansów publicznych"/>
    <s v="(Dotacja dla IŁ) Widok.gov.pl Platforma agregująca statystyki nt działaniach administracji publicznej w celu zachowania transparentności pracy + utrzymanie"/>
    <s v="(Dotacja dla IŁ) Widok.gov.pl Platforma agregująca statystyki nt działaniach administracji publicznej w celu zachowania transparentności pracy + utrzymanie (Widok 2.0)"/>
    <n v="200"/>
    <n v="200"/>
    <n v="200"/>
    <n v="0"/>
    <n v="0"/>
    <s v="podpisana umowa/porozumienie"/>
    <m/>
    <m/>
    <s v="IŁ"/>
    <m/>
  </r>
  <r>
    <x v="0"/>
    <x v="0"/>
    <s v="DBI"/>
    <x v="24"/>
    <x v="3"/>
    <x v="0"/>
    <s v="16.5.2.2"/>
    <s v="pozostałe jednostki sektora finansów publicznych"/>
    <s v="Dotacja dla IŁ - Rozwój projektu wspomagania diagnostyki medycznej za pomocą technologii AI (e-Konsylium + platforma kardiologiczna)"/>
    <s v="(Dotacja dla IŁ - Rozwój projektu wspomagania diagnostyki medycznej za pomocą technologii AI (e-Konsylium + platforma kardiologiczna))"/>
    <n v="0"/>
    <n v="0"/>
    <n v="0"/>
    <n v="0"/>
    <n v="0"/>
    <s v="planowane"/>
    <m/>
    <m/>
    <s v="IŁ"/>
    <m/>
  </r>
  <r>
    <x v="0"/>
    <x v="0"/>
    <s v="DBI"/>
    <x v="0"/>
    <x v="0"/>
    <x v="0"/>
    <s v="16.5.2.2"/>
    <s v="Beneficjent"/>
    <s v="Konferencje / materiały promocyjne  we współpracy z Grupą Roboczą ds. AI"/>
    <s v="Organizacja konferencji służących promocji zastosowań technologii przełomowych w różnych sektorach gospodarki i w społeczeństwie,  ze szczególnym uwzględnieniem Internetu Rzeczy, Sztucznej Inteligencji. (Rozwój Technologii Przełomowych w Polsce - GRAI)"/>
    <n v="250"/>
    <n v="250"/>
    <n v="250"/>
    <n v="0"/>
    <n v="0"/>
    <s v="planowane"/>
    <m/>
    <m/>
    <m/>
    <m/>
  </r>
  <r>
    <x v="0"/>
    <x v="0"/>
    <s v="DBI"/>
    <x v="0"/>
    <x v="0"/>
    <x v="0"/>
    <s v="16.5.2.2"/>
    <s v="Beneficjent"/>
    <s v="Publikacja Raportów/Opracowań / materiałów edukacyjnych, broszur informacyjnych itp. we współpracy z Grupą Roboczą ds. AI"/>
    <s v="Działnia służyć będą rozpowszechnianiu i archiwizacji efektów wypracowanych opracowań analitycznych dot. zastosowań, analizy trendów dotyczących nowych technologii (IoT, AI) - stale uaktualnianych w związku z dynamiką rozwoju technologicznego. (Rozwój Technologii Przełomowych w Polsce - GRAI)"/>
    <n v="300"/>
    <n v="300"/>
    <n v="300"/>
    <n v="0"/>
    <n v="0"/>
    <s v="planowane"/>
    <m/>
    <m/>
    <m/>
    <m/>
  </r>
  <r>
    <x v="0"/>
    <x v="0"/>
    <s v="DBI"/>
    <x v="0"/>
    <x v="0"/>
    <x v="0"/>
    <s v="16.5.2.2"/>
    <s v="Beneficjent"/>
    <s v="Badania/ekspertyzy m.in. we współpracy z Grupą Roboczą ds. AI"/>
    <s v="Zlecanie badań i analiz eksperckich w obszarach: a/ wykorzystanie sztucznej inteligencji w przedsiębiorstwach - wpływ SI na rynek pracy; b/Opracowania analityczne / opracowania założeń do programów rozwoju IoT w Polsce; c/ ekonometryczne ekspertyzy dla mierników gospodarki cyfrowej. Eksperyzy będą podstawą do opracowywania kierunków dalszego rozwoju i powtarzane regularnie posłużą monitorowaniu postępów/efektów podejmowanych działań. Podstawa prawca: art. 4 ustawy z dnia 6 marca 2018 r. - Prawo przedsiębiorców, z wyłączeniem ekspertyz, analiz, opinii i innych materiałów sporządzanych i opłacanych w ramach realizowanych przez jednostkę remontów i inwestycji. (Rozwój Technologii Przełomowych w Polsce - GRAI)"/>
    <n v="350"/>
    <n v="350"/>
    <n v="350"/>
    <n v="0"/>
    <n v="0"/>
    <s v="planowane"/>
    <m/>
    <m/>
    <m/>
    <m/>
  </r>
  <r>
    <x v="0"/>
    <x v="0"/>
    <s v="DBI"/>
    <x v="0"/>
    <x v="0"/>
    <x v="0"/>
    <s v="16.5.2.2"/>
    <s v="Beneficjent"/>
    <s v="Rozwój projektu i strony AI4SME agregującej potrzebne informacje i narzędzia dla wdrażania AI w małych i średnich przedsiębiorstwach "/>
    <s v="Podnoszenie świadomości wykorzystania sztucznej inteligencji w sektorze małych i średnich przedsiębiorstw, a także promowanie polskich firm świadczących usługi w tym zakresie."/>
    <n v="0"/>
    <n v="0"/>
    <n v="0"/>
    <n v="0"/>
    <n v="0"/>
    <s v="planowane"/>
    <m/>
    <m/>
    <m/>
    <m/>
  </r>
  <r>
    <x v="0"/>
    <x v="0"/>
    <s v="DBI"/>
    <x v="0"/>
    <x v="0"/>
    <x v="0"/>
    <s v="16.5.2.2"/>
    <s v="Beneficjent"/>
    <s v="Projekt Godna Zaufania Sztuczna Inteligencja zgodna z AI Act"/>
    <s v="Wdrożenie rozwiązań opartych o AI w usługach publicznych  wiąże się z różnymi wyzwaniami, nie tylko natury prawnej czy technologicznej. To również kwestia edukacji na temat tego, jak działa ta technologia i, jakie dostarcza nam możliwości. Istotne jest zwiększanie świadomości, że te rozwiązania są bezpieczne, a ich adopcja nie będzie skutkowała np. redukcją zatrudnienia, co z resztą jest dość powszechną obawą wśród pracowników w każdym sektorze."/>
    <n v="1000"/>
    <n v="2000"/>
    <n v="0"/>
    <n v="0"/>
    <n v="0"/>
    <s v="procedowana umowa/porozumienie"/>
    <m/>
    <m/>
    <s v="z Beneficjentem wyłonionym w drodze przetargu/postępowania konkursowego"/>
    <m/>
  </r>
  <r>
    <x v="0"/>
    <x v="0"/>
    <s v="DBI"/>
    <x v="28"/>
    <x v="0"/>
    <x v="0"/>
    <s v="16.5.2.2"/>
    <s v="Beneficjent"/>
    <s v="Składka członkowska w GPAI (the Global Partnership for Artificial Inteligence)"/>
    <s v="prawna realizacja &quot;Polityki dla Rozwoju Sztucznej Inteligencji w Polsce po 2020 r.&quot; wymaga aktywnego udziału Polski w międzynarodowych inicjatywach. Jedną z nich jest GPAI. Składka uzgodniona przez Państwa i organizacje wchodzące w skład inicjatywy (https://www.gpai.ai/community/) ma być wykorzystana na utrzymanie sekretariatu organizacji i realizacje projektów zaplanowanych wspólnie przez zaangażowane kraje. Polska chce i powinna mieć wływ na wypracowane przez organizację kierunki działań, czego wyrazem był list intencyjny Ministra Cyfryzacji z 9 listopada 2020 r. Uiszczanie składki zapewni Polsce rzeczywisty wpływ na podejmowane decyzje w ramach GPAI. Podstawę prawną dla uczestnictwa Polski w GPAI są zapisy  „Polityki dla rozwoju sztucznej inteligencji w Polsce od roku 2020” ustanowionej uchwałą nr 196 Rady Ministrów z dnia 28 grudnia 2020 r. (Rozdział 5 „AI i współpraca międzynarodowa” wraz  jej celem krótkookresowym pkt 3 , w zw. z rozdziałem 6 „AI i sektor publiczny”  i jej celem średniookresowym określonym w pkt 2 w zw. z wnioskami ze strony 62 i ramami polskiego ekosystemu określonymi w załączniku nr 2.). Składka na rzecz the Organisation for Economic Co-operation and Development (the OECD) ma być uiszczana w jednej transzy raz w roku. Podstawy jej wyliczenia zawiera załączony dokument OECD.  Polityka AI ma nierozłączny związek z realizacją działań na rzecz informatyzacji działalności podmiotów realizujących zadania publiczne, poprzez zapewnianie warunków do wdrazania technologii sztucznej inteligencji w optymalizacji procesów w administarcji publicznej."/>
    <n v="0"/>
    <n v="0"/>
    <n v="0"/>
    <n v="0"/>
    <n v="0"/>
    <s v="planowane"/>
    <m/>
    <m/>
    <m/>
    <m/>
  </r>
  <r>
    <x v="0"/>
    <x v="0"/>
    <s v="DBI"/>
    <x v="28"/>
    <x v="0"/>
    <x v="0"/>
    <s v="16.5.2.2"/>
    <s v="Beneficjent"/>
    <s v="Rozwój zastosowań technologii przełomowych w programie &quot;Droga ku cyfrowej dekadzie&quot;"/>
    <s v="list intencyjny podpisany - Polska zadeklarowała swój udział w pracach nad wnioskiem o utworzenie ALT EDIC - Alliance for Language Technologies. Głównym celem projektu jest zachowanie różnorodności językowej i kulturowej w Europie oraz promowanie doskonałości technologicznej i przywództwa. Inne wyzwania obejmują zarządzanie tendencyjnością, frugal AI, wyjaśnialność lub możliwość ponownego wykorzystania modeli. Zakres EDIC wpisuje się w następujące obszary działań cyfrowej dekady: europejskie wspólne infrastruktura i usługi w zakresie danych, nabywanie superkomputerów i komputerów kwantowych i włączanie ich do Wspólnego Przedsięwzięcia w dziedzinie Europejskich Obliczeń Wielkiej Skali (Wspólnego Przedsięwzięcia EuroHPC); podłączona do sieci administracja publiczna; europejskie centra innowacji cyfrowych. Oczekiwane rezultaty obejmują m.in.: stworzenie platformy do gromadzenia tekstowych i głosowych baz danych, inkluzywne i reprezentatywne gromadzenie danych do modelowania języka czy kompilowanie i udostępnianie modeli językowych typu open source do ponownego wykorzystania w przemyśle."/>
    <n v="2500"/>
    <n v="2500"/>
    <n v="0"/>
    <n v="0"/>
    <n v="0"/>
    <s v="podpisana umowa/porozumienie"/>
    <m/>
    <m/>
    <s v="ALT EDIC"/>
    <s v="nie jest umowa ale decyzja KE"/>
  </r>
  <r>
    <x v="0"/>
    <x v="0"/>
    <s v="DBI"/>
    <x v="28"/>
    <x v="0"/>
    <x v="0"/>
    <s v="16.5.2.2"/>
    <s v="Beneficjent"/>
    <s v="Rozwój zastosowań technologii przełomowych w programie &quot;Droga ku cyfrowej dekadzie&quot;"/>
    <s v="Zapewnienie wkładu własnego Polski w konsorcjum EDIC Blockchain na podstawie decyzji Parlamentu Europejskiego i Rady ustanawiajacego program &quot;Droga ku cyfrowej dekadzie&quot;. Polska wzięła udział w złożeniu formalnego wniosku w sprawie utworzenia EDIC Blockchain (Europeum). Deklaracja udziału Polski w konsorcjum została podpisana przez Ministra Cyfryzacji. EDIC zapewni wzmocnienie i rozszerzenie dotychczas funkcjonującej wspólnej inicjatywy European Blockchain Partnership (EBP). W EBP uczestniczą wszystkie państwa członkowskie UE, a także Liechtenstein, Norwegia i Ukraina jako obserwatorzy. Wizją jest stworzenie solidnych ram instytucjonalnych, które ułatwią rozwój europejskiej infrastruktury blokchain i budowanie na niej usług. Celem konsorcjum jest zapewnienie nowej generacji bezpieczniejszych i wydajniejszych usług poprzez integrację zdecentralizowanych technologii w różnych obszarach rozwoju gospodarczego i społecznego, przy jednoczesnym zapewnieniu przestrzegania zasad zaufania, przejrzystości oraz osiągnięcia korzyści dla szerszej społeczności europejskiej. Zakres EDIC wpisuje się w szczególności w cele cyfrowej dekady dotyczące cyfryzacji usług publicznych oraz transformacji cyfrowej przedsiębiorstw, ale również rozwoju kompetencji cyfrowych. Oczekiwane rezultaty to: wspieranie transformacji cyfrowej usług publicznych i prywatnych, wzmocnienie zaufania i cyberodporności usług poprzez wykorzystanie technologii rejestrów rozproszonych i blockchain, przyspieszenie absorpcji rozwiązań infrastruktury cyfrowej przez rząd i przemysł, wspieranie rozwoju otwartych standardów i wspólnych praktyk, wzmocnienie umiejętności i kompetencji cyfrowych, wzmocnienie europejskiego ekosystemu usług i europejskiej autonomii. (Wkład własny w Blockchain EDIC (europejskie konsorcjum European Digital Infrastructure Consortium))"/>
    <n v="655"/>
    <n v="655"/>
    <n v="0"/>
    <n v="0"/>
    <n v="0"/>
    <s v="podpisana umowa/porozumienie"/>
    <m/>
    <m/>
    <s v="EUROPEUM EDIC"/>
    <s v="nie jest umowa ale decyzja KE"/>
  </r>
  <r>
    <x v="0"/>
    <x v="0"/>
    <s v="DBI"/>
    <x v="24"/>
    <x v="3"/>
    <x v="0"/>
    <s v="16.5.2.2"/>
    <s v="pozostałe jednostki sektora finansów publicznych"/>
    <s v="Dotacja dla NASK - Badania: Obszar innowacji, trendów i zagrożeń przyszłości"/>
    <s v="Badania "/>
    <n v="800"/>
    <n v="2000"/>
    <n v="3000"/>
    <n v="3000"/>
    <n v="3000"/>
    <s v="procedowana umowa/porozumienie"/>
    <m/>
    <m/>
    <m/>
    <m/>
  </r>
  <r>
    <x v="0"/>
    <x v="0"/>
    <s v="DBI"/>
    <x v="24"/>
    <x v="3"/>
    <x v="0"/>
    <s v="16.5.2.2"/>
    <s v="pozostałe jednostki sektora finansów publicznych"/>
    <s v="Dotacja dla NASK - Badania: Obszar obecnych problemów społecznych wynikających z cyfryzacji życia społecznego"/>
    <s v="Badania"/>
    <n v="800"/>
    <n v="2000"/>
    <n v="3000"/>
    <n v="3000"/>
    <n v="3000"/>
    <s v="procedowana umowa/porozumienie"/>
    <m/>
    <m/>
    <m/>
    <m/>
  </r>
  <r>
    <x v="0"/>
    <x v="0"/>
    <s v="DBI"/>
    <x v="24"/>
    <x v="3"/>
    <x v="0"/>
    <s v="16.5.2.2"/>
    <s v="pozostałe jednostki sektora finansów publicznych"/>
    <s v="Dotacja dla NASK - Badania: Obszar obecnych programów/projektów ministerialnych i ich funkcjonalność społeczna"/>
    <s v="Badania"/>
    <n v="800"/>
    <n v="2000"/>
    <n v="3000"/>
    <n v="3000"/>
    <n v="3000"/>
    <s v="procedowana umowa/porozumienie"/>
    <m/>
    <m/>
    <m/>
    <m/>
  </r>
  <r>
    <x v="0"/>
    <x v="0"/>
    <s v="DBI"/>
    <x v="28"/>
    <x v="0"/>
    <x v="0"/>
    <s v="16.5.2.2"/>
    <s v="Beneficjent"/>
    <s v="Budowa w Polsce instalacji komputera kwantowego"/>
    <s v="Budowa w Polsce komputera kwantowego z 50% wkładu z EU, Podnoszenie potencjału Polski w zakresie przełomowej technologii kwantowej"/>
    <n v="26707"/>
    <n v="0"/>
    <n v="0"/>
    <n v="0"/>
    <n v="0"/>
    <s v="podpisana umowa/porozumienie"/>
    <m/>
    <s v="Ares(2024)4930551-08/07/2024"/>
    <s v="EuroHPC JU"/>
    <m/>
  </r>
  <r>
    <x v="0"/>
    <x v="0"/>
    <s v="DBI"/>
    <x v="0"/>
    <x v="0"/>
    <x v="0"/>
    <s v="16.5.2.2"/>
    <s v="Beneficjent"/>
    <s v="Usługi doradcze w zakresie działalności gospodarczej i zarządzania oraz podobne"/>
    <s v="Zapewnienie wsparcia eksperckiego przy przygotowywaniu do wdrożenia „Programu Krajowych Ram wspierania strategicznych inwestycji półprzewodnikowych” (dalej jako „Program”), w szczególności w zakresie zagadnień technicznych, ekonomicznych i prawnych."/>
    <n v="110"/>
    <n v="0"/>
    <n v="0"/>
    <n v="0"/>
    <n v="0"/>
    <s v="procedowana umowa/porozumienie"/>
    <m/>
    <m/>
    <s v="Olesiński i Wspólnicy Sp.k"/>
    <m/>
  </r>
  <r>
    <x v="0"/>
    <x v="0"/>
    <s v="DBI"/>
    <x v="0"/>
    <x v="0"/>
    <x v="0"/>
    <s v="16.5.2.2"/>
    <s v="pozostałe jednostki sektora finansów publicznych"/>
    <s v="Wdrażanie i koordynacja Polityki rozwoju sztucznej inteliegncji"/>
    <s v="Powołanie zespołu koordynującego wdrażanie i realizację Polityki AI"/>
    <n v="600"/>
    <n v="600"/>
    <n v="600"/>
    <n v="600"/>
    <n v="600"/>
    <s v="planowane"/>
    <m/>
    <m/>
    <m/>
    <m/>
  </r>
  <r>
    <x v="0"/>
    <x v="0"/>
    <s v="DBI"/>
    <x v="0"/>
    <x v="0"/>
    <x v="0"/>
    <s v="16.5.2.2"/>
    <s v="Beneficjent"/>
    <s v="Konferencja ZPA"/>
    <s v="Konferencja podsumowująca projekt ZPA - zgodnie z wytycznymi dla informacji i promocji Programu Operacyjnego Polska Cyfrowa i podpisaną umową o dofinansowanie"/>
    <n v="140"/>
    <n v="0"/>
    <n v="0"/>
    <n v="0"/>
    <n v="0"/>
    <s v="planowane"/>
    <m/>
    <m/>
    <m/>
    <m/>
  </r>
  <r>
    <x v="0"/>
    <x v="0"/>
    <s v="DBI"/>
    <x v="24"/>
    <x v="3"/>
    <x v="0"/>
    <s v="16.5.2.2"/>
    <s v="pozostałe jednostki sektora finansów publicznych"/>
    <s v="Utrzymanie Portalu ZPA NASK ustawa o ZPA (podmiotowa+celowa)"/>
    <s v="Zapewnienie trwałości projektu realizowanego w ramach Programu Operacyjnego Polska Cyfrowa"/>
    <n v="1500"/>
    <n v="3000"/>
    <n v="3000"/>
    <n v="3000"/>
    <n v="3000"/>
    <s v="planowane"/>
    <m/>
    <m/>
    <s v="NASK"/>
    <m/>
  </r>
  <r>
    <x v="0"/>
    <x v="0"/>
    <s v="DBI"/>
    <x v="0"/>
    <x v="0"/>
    <x v="0"/>
    <s v="16.5.2.2"/>
    <s v="Beneficjent"/>
    <s v="ZPA Certyfikaty niezbędne do prawidłowego funkcjonowania Platformy ZPA (utrzymanie)"/>
    <s v="ZPA - zakup Certyfikatów niezbędnych do prawidłowego funkcjonowania Platformy ZPA (utrzymanie)"/>
    <n v="10"/>
    <n v="0"/>
    <n v="0"/>
    <n v="0"/>
    <n v="0"/>
    <s v="planowane"/>
    <m/>
    <m/>
    <m/>
    <m/>
  </r>
  <r>
    <x v="0"/>
    <x v="0"/>
    <s v="DBI"/>
    <x v="3"/>
    <x v="1"/>
    <x v="0"/>
    <s v="16.5.2.2"/>
    <s v="Beneficjent"/>
    <s v="ZPA oprogramowanie analityczne i do budowy Platformy ZPA (utrzymanie)"/>
    <s v="ZPA - zakup licencji oprogramowania analitycznego i przedłużenie do oprogramowania do budowy platformy"/>
    <n v="500"/>
    <n v="0"/>
    <n v="0"/>
    <n v="0"/>
    <n v="0"/>
    <s v="planowane"/>
    <m/>
    <m/>
    <m/>
    <s v="BBF - paragraf skorygowany po uzgodnieniach z Dyr. Pamelą Krzypkowską na teams - wydatek majątkowy nie był zgłaszany do MF w formularzu BW-IA"/>
  </r>
  <r>
    <x v="0"/>
    <x v="0"/>
    <s v="DC"/>
    <x v="0"/>
    <x v="0"/>
    <x v="0"/>
    <s v="16.5.3.2."/>
    <s v="budżet państwa "/>
    <s v="Zakup systemu cyber threat intelligence poziomu operacyjnego dla podmiotów krajowego systemu cyberbezpieczeństwa"/>
    <s v="Celem zadania jest zakup rocznego dostępu do systemu rozpoznawania zagrożeń w cyberprzestrzeni (CTI) poziomu operacyjnego,  wspomagającego pracę zespołów cyberbezpieczeństwa , w tym zespów reagowania na incydenty komputerowe wchodzące w skład krajowego systemu cyberbezpieczeństwa. Dostęp do informacji CTI poziomu operacyjnego przyczyni się do zwiększenia skuteczności wykrywania oraz przewidywania cyberataków i reagowania na nie. System będzie pozyskany na potrzeby Ministerstwa Cyfryzacji i innych podmiotów zapewniających cyberbezpieczeństwo na poziomie krajowym._x000a_Podstawa prawna: art. 62 ustawy z dnia 5 lipca 2018 r. o krajowym systemie cyberbezpieczeństwa (Dz.U. z 2023 r. poz. 913 z późn. zm.)"/>
    <n v="23000"/>
    <n v="23000"/>
    <n v="23000"/>
    <n v="0"/>
    <n v="0"/>
    <s v="zawarta umowa na 2024"/>
    <s v="umowa"/>
    <s v="82/C/DC/23"/>
    <s v="Trafford IT Spółka z o.o, Spółka kom."/>
    <s v="planowana kolejna umowa/Pzp"/>
  </r>
  <r>
    <x v="0"/>
    <x v="0"/>
    <s v="DC"/>
    <x v="0"/>
    <x v="0"/>
    <x v="0"/>
    <s v="16.5.3.2."/>
    <s v="budżet państwa (z wyjątkiem GDDKiA)"/>
    <s v="Zakup systemu i usługi do symulowania ataków typu phishing i podnoszenia świadomości użytkowników MC"/>
    <s v="Podnoszenie świadomości z zakresu cyberbezpieczeństwa, w szczególności reagowania na ataki typu phishing._x000a_Głównym celem wskaznym w &quot;Strategii Cyberbezpieczeństwa RP na lata 2019-2024&quot; jest podniesienie poziomu odporności na cyberzagrożenia oraz zwięksenie poziomu ochrony informacji w sektorze publicznym, (...) oraz promowanie wiedzy i dobrych praktyk umożliwiających obywatelom lepszą ochronę ich informacji. Jednym z celów szczegółowych Strategii jest budowanie świadomości i kompetencji społecznych w zakresie cyberbezpieczeństwa - zwiększanie kompetencji kadry podmiotów istotnych dla cyberbezpieczeństwa RP._x000a_Dodatkowo, zgodnie z ustawą o krajowym systemie cyberbezpieczeństwa, podmioty realizujące zadania publiczne zobowiązane są do zapewnienia zarządzania incydentami. Z prowadzonych przez DC zadań związanych z obsługą incydentów cyberbezpieczeństwa wynika, że wiele z nich dotyczy phishingu. "/>
    <n v="100"/>
    <n v="100"/>
    <n v="100"/>
    <n v="100"/>
    <n v="100"/>
    <s v="planowane"/>
    <s v="nie dotyczy"/>
    <m/>
    <s v="n/d"/>
    <m/>
  </r>
  <r>
    <x v="0"/>
    <x v="0"/>
    <s v="DC"/>
    <x v="29"/>
    <x v="3"/>
    <x v="0"/>
    <s v="16.5.3.1."/>
    <s v="podmioty pozostałe (z wyjątkiem PKP PLK S.A.)"/>
    <s v="Dotacja podmiotowa CSIRT - NASK"/>
    <s v="Podstawa prawna: art. 26 ust. 9 ustawy z dnia 5 lipca 2018 r. o krajowym systemie cyberbezpieczeństwa._x000a_Utrzymanie i rozwój Zespołu Reagowania na Incydenty Bezpieczeństwa Komputerowego (CSIRT) przy Naukowej i Akademickiej Sieci Komputerowej Państwowym Instytucie Badawczym polega na realizacji zadań ściśle określonych w ustawie o krajowym systemie cyberbezpieczeństwa wprost wymienionych w zadań wymienionych w art. 26 oraz w związku z art. 26 ust. 9 w ustawie z dnia 5 lipca 2018 r. o krajowym systemie cyberbezpieczeństwa"/>
    <n v="39186"/>
    <n v="45455"/>
    <n v="52728"/>
    <n v="61165"/>
    <n v="70951"/>
    <s v="planowane"/>
    <s v="planowane po przyjęciu ustawy budżetowej"/>
    <m/>
    <s v="NASK-PIB"/>
    <s v="dotacja podmiotowa kontynuacja"/>
  </r>
  <r>
    <x v="0"/>
    <x v="0"/>
    <s v="DC"/>
    <x v="25"/>
    <x v="1"/>
    <x v="0"/>
    <s v="16.5.3.1."/>
    <s v="podmioty pozostałe (z wyjątkiem PKP PLK S.A.)"/>
    <s v="Dotacja Celowa - ochrona i rozwój systemu teleinformatycznego S46 (wydatki majątkowe)."/>
    <s v="Podstawa prawna: art. 47 ust. 2 ustawy z dnia 5 lipca 2018 r. o krajowym systemie cyberbezpieczeństwa._x000a_Zadanie polega na utrzymaniu i rozwoju warstwy technologicznej i aplikacyjnej S46 oraz działanie systemu S46 w trybie ciągłym, zwiększenia odporności na katastrofy oraz zwiększenia korzyści z wykorzystania systemu poprzez zwiększenie liczby podłączonych do S46 podmiotów krajowego systemu cyberbezpieczeństwa. Za utrzymanie systemu S46, zgodnie z art. 46 ustawy o krajowym systemie cyberbezpieczeństwa, odpowiada minister właściwy do spraw informatyzacji. Jest to zadanie ciągłe. "/>
    <n v="12215"/>
    <n v="2345"/>
    <n v="6572"/>
    <n v="8894"/>
    <n v="18450"/>
    <s v="umowa"/>
    <s v="umowa"/>
    <s v="79/DC/D/2022"/>
    <s v="NASK-PIB"/>
    <s v="kontynuacja dotacji"/>
  </r>
  <r>
    <x v="0"/>
    <x v="0"/>
    <s v="DC"/>
    <x v="24"/>
    <x v="3"/>
    <x v="0"/>
    <s v="16.5.3.1."/>
    <s v="podmioty pozostałe (z wyjątkiem PKP PLK S.A.)"/>
    <s v="Dotacja Celowa - ochrona i rozwój systemu teleinformatycznego S46 (wydatki bieżące)"/>
    <s v="Podstawa prawna: art. 47 ust. 2 ustawy z dnia 5 lipca 2018 r. o krajowym systemie cyberbezpieczeństwa._x000a_Zadanie polega na utrzymaniu i rozwoju warstwy technologicznej i aplikacyjnej S46 oraz działanie systemu S46 w trybie ciągłym, zwiększenia odporności na katastrofy oraz zwiększenia korzyści z wykorzystania systemu poprzez zwiększenie liczby podłączonych do S46 podmiotów krajowego systemu cyberbezpieczeństwa. Za utrzymanie systemu S46, zgodnie z art. 46 ustawy o krajowym systemie cyberbezpieczeństwa, odpowiada minister właściwy do spraw informatyzacji. Jest to zadanie ciągłe. "/>
    <n v="22624"/>
    <n v="25661"/>
    <n v="22437"/>
    <n v="30246"/>
    <n v="32064"/>
    <s v="umowa"/>
    <s v="umowa"/>
    <s v="79/DC/D/2022"/>
    <s v="NASK-PIB"/>
    <s v="kontynuacja dotacji"/>
  </r>
  <r>
    <x v="0"/>
    <x v="0"/>
    <s v="DC"/>
    <x v="24"/>
    <x v="3"/>
    <x v="0"/>
    <s v="16.5.3.2."/>
    <s v="podmioty pozostałe (z wyjątkiem PKP PLK S.A.)"/>
    <s v="Dotacja celowa na Utrzymanie i rozwój systemu łączności mobilnej umożliwiającej przetwarzanie informacji niejawnych do klauzuli „zastrzeżone” SKR-Z"/>
    <s v="Rozwój i utrzymania systemu SKR-Z na 2024 r. Aneks 2 do k. 2024 r. Podstawa prawna: art. 37 ust. 1 ustawy z dnia 30 kwietnia 2010 r. o instytutach badawczych (t.j. Dz.U. z 2022 r. poz. 498)."/>
    <n v="39230"/>
    <n v="47190"/>
    <n v="44662"/>
    <n v="0"/>
    <n v="0"/>
    <s v="umowa"/>
    <s v="umowa"/>
    <s v="80/DC/D/2022"/>
    <s v="NASK-PIB"/>
    <s v="kontynuacja dotacji"/>
  </r>
  <r>
    <x v="0"/>
    <x v="0"/>
    <s v="DC"/>
    <x v="25"/>
    <x v="1"/>
    <x v="0"/>
    <s v="16.5.3.2."/>
    <s v="podmioty pozostałe (z wyjątkiem PKP PLK S.A.)"/>
    <s v="Dotacja celowa na Utrzymanie i rozwój systemu łączności mobilnej umożliwiającej przetwarzanie informacji niejawnych do klauzuli „zastrzeżone” SKR-Z"/>
    <s v="Rozwój i utrzymania systemu SKR-Z na 2024 r. Aneks 2 do k. 2024 r. Podstawa prawna: art. 37 ust. 1 ustawy z dnia 30 kwietnia 2010 r. o instytutach badawczych (t.j. Dz.U. z 2022 r. poz. 498)."/>
    <n v="7235"/>
    <n v="11910"/>
    <n v="5851"/>
    <n v="0"/>
    <n v="0"/>
    <s v="umowa"/>
    <s v="umowa"/>
    <s v="80/DC/D/2022"/>
    <s v="NASK-PIB"/>
    <s v="kontynuacja dotacji"/>
  </r>
  <r>
    <x v="0"/>
    <x v="0"/>
    <s v="DC"/>
    <x v="0"/>
    <x v="0"/>
    <x v="0"/>
    <s v="16.5.3.4."/>
    <s v="podmioty pozostałe (z wyjątkiem PKP PLK S.A.)"/>
    <s v="Abonament Panel Agenta - niezbędny do komunikatora Threema"/>
    <s v="Umowa udzielona z wyłączeniem ustawy PZP na podstawie art. 12 ust. 1 pkt 1 litera b z uwagi na istotny interes bezpieczeństwa państwa.Abonament niezbędny do komunikatora Threema"/>
    <n v="68"/>
    <n v="68"/>
    <n v="68"/>
    <n v="0"/>
    <n v="0"/>
    <s v="planowane"/>
    <s v="planowane"/>
    <s v="n/d"/>
    <s v="n/d"/>
    <s v="planowana kolejna umowa/ Pzp"/>
  </r>
  <r>
    <x v="0"/>
    <x v="0"/>
    <s v="DC"/>
    <x v="0"/>
    <x v="0"/>
    <x v="0"/>
    <s v="16.5.3.4."/>
    <s v="podmioty pozostałe (z wyjątkiem PKP PLK S.A.)"/>
    <s v="Porozumienie pomiędzy NASK-PIB a MC na abonamenty SKR-Z"/>
    <s v="Podstawa prawna: art. 37 ust. 1 ustawy z dnia 30 kwietnia 2010 r. o instytutach badawczych (t.j. Dz.U. z 2022 r. poz. 498)"/>
    <n v="40"/>
    <n v="40"/>
    <n v="40"/>
    <n v="0"/>
    <n v="0"/>
    <s v="planowane"/>
    <s v="planowane"/>
    <m/>
    <m/>
    <m/>
  </r>
  <r>
    <x v="0"/>
    <x v="0"/>
    <s v="DC"/>
    <x v="0"/>
    <x v="0"/>
    <x v="0"/>
    <s v="16.5.3.4."/>
    <s v="budżet państwa (z wyjątkiem GDDKiA)"/>
    <s v="Zakup usługi konfiguracji i uruchomienia Oprogramowania na Platformie oraz zapewnienie dostępu do Usługi, która polega na udostępnieniu Oprogramowania zainstalowanego na Platformie w modelu usługowym (SaaS)"/>
    <s v="Utrzymanie i rozwój komunikatora Threema (wersja mobilna, desktop i web)."/>
    <n v="4900"/>
    <n v="4900"/>
    <n v="4900"/>
    <n v="0"/>
    <n v="0"/>
    <s v="umowa"/>
    <s v="umowa"/>
    <s v="692/DC/22"/>
    <s v="Operator Chmury Krajowej Sp. z o.o."/>
    <s v="planowana kolejna umowa/ Pzp"/>
  </r>
  <r>
    <x v="0"/>
    <x v="0"/>
    <s v="DC"/>
    <x v="24"/>
    <x v="3"/>
    <x v="0"/>
    <s v="16.5.3.2."/>
    <s v="podmioty pozostałe (z wyjątkiem PKP PLK S.A.)"/>
    <s v="CyberLekcje"/>
    <s v="zadanie adresowane do uczniów szkół podstawowych i średnich,  nawiązujące do zadania realizowanego w latach 2021-2022"/>
    <n v="600"/>
    <n v="0"/>
    <n v="0"/>
    <n v="0"/>
    <n v="0"/>
    <s v="planowane"/>
    <s v="n/d"/>
    <m/>
    <s v="n/d"/>
    <m/>
  </r>
  <r>
    <x v="0"/>
    <x v="0"/>
    <s v="DC"/>
    <x v="24"/>
    <x v="3"/>
    <x v="0"/>
    <s v="16.5.3.2."/>
    <s v="podmioty pozostałe (z wyjątkiem PKP PLK S.A.)"/>
    <s v="Dotacja celowa na realizację zadania pn. Działania prewencyjno-edukacyjne z zakresu cyberbezpieczeństwa w 2024 roku – podnoszenie odporności Rzeczypospolitej Polskiej na zagrożenia w przestrzeni cyfrowej"/>
    <s v="Realizacja zadania jest odpowiedzią na stale rosnącą liczbę zgłaszanych zdarzeń i incydentów cyberbezpieczeństwa, co wymaga podjęcia skoordynowanych działań w skali całego kraju odpowiednio dopasowanych do jak najszerszego kręgu odbiorców. Realizacja zadania przyczyni się do wzmocnienia poziomu odporności struktur państwa na zagrożenia w przestrzeni cyfrowej. Zwiększanie świadomości zagrożeń oraz budowanie kompetencji kadry zarządczej i personelu instytucji kluczowych dla bezpieczeństwa publicznego i dobra obywateli jest istotnym narzędziem w zakresie ochrony państwa przed próbami destabilizacji funkcjonowania Rzeczypospolitej Polskiej._x000a_Podstawa prawna: art. 37 ust. 1 ustawy o instytutach badawczych"/>
    <n v="12000"/>
    <n v="0"/>
    <n v="0"/>
    <n v="0"/>
    <n v="0"/>
    <s v="planowane"/>
    <s v="n/d"/>
    <m/>
    <s v="n/d"/>
    <m/>
  </r>
  <r>
    <x v="0"/>
    <x v="0"/>
    <s v="DC"/>
    <x v="27"/>
    <x v="3"/>
    <x v="0"/>
    <s v="16.5.1.3"/>
    <s v="Polska Akademia Nauk i tworzone przez nią jednostki organizacyjne"/>
    <s v="PIONIER-Q_x000a_Dotacja celowa na realizację zadania z zakresu informatyzacji sektora publicznego oraz innowacji cyfrowych, polegającego na utrzymaniu zdolności zleceniobiorców do realizacji projektu pn. „PIONIER-Q: Ogólnopolska Kwantowa Infrastruktura Komunikacyjna”, będącego wkładem Polski do inicjatywy EuroQCI – budowy europejskiej infrastruktury komunikacji kwantowej"/>
    <s v="Realizacja projektu PIONIER-Q jest kluczowym elementem dla efektywnego udziału Polski w EuroQCI. W ramach Projektu zostanie uruchomiona infrastruktura oraz usługi związane z generowaniem oraz przesyłaniem kluczy w technologii kwantowej dystrybucji kluczy (QKD – Quantum Key Distribution). Długofalowym celem Projektu jest wypracowanie rozwiązań oraz zbudowanie fundamentów pod sieci bezpiecznej komunikacji między innymi dla jednostek administracji lokalnej, centralnej oraz na poziomie transgranicznym (pomiędzy państwami członkowskimi i instytucjami UE). Projekt wprost przyczyni się do podnoszenia kwalifikacji w zakresie innowacji cyfrowych i rozwoju społeczeństwa informacyjnego poprzez wytworzenie i uruchomienie usług dla obsługi eksperymentów badawczych z wykorzystaniem infrastruktury komunikacji kwantowej._x000a_Podstawa prawna: art. 10c ustawy o Radzie Ministrów oraz decyzja PRM z 08.12.2023 r._x000a_Beneficjentami są:_x000a_1. Instytut Chemii Bioorganicznej PAN – koordynator,_x000a_2. Akademii Górniczo-Hutnicza im. Stanisława Staszica w Krakowie,_x000a_3. Naukowa i Akademicka Sieć Komputerowa – Państwowy Instytut Badawczy,_x000a_4. Politechnika Gdańska,_x000a_5. Politechnika Wrocławska,_x000a_6. Uniwersytet Warszawski."/>
    <n v="915"/>
    <n v="0"/>
    <n v="0"/>
    <n v="0"/>
    <n v="0"/>
    <s v="umowa"/>
    <s v="umowa"/>
    <s v="156/DC/D/2023"/>
    <s v="Instytut Chemii Bioorganicznej PAN (koordynatorem - na podstawie porozumień pomiędzy Beneficjentami a koordynatorem)"/>
    <m/>
  </r>
  <r>
    <x v="0"/>
    <x v="0"/>
    <s v="DC"/>
    <x v="24"/>
    <x v="3"/>
    <x v="0"/>
    <s v="16.5.1.3"/>
    <s v="Polska Akademia Nauk i tworzone przez nią jednostki organizacyjne"/>
    <s v="PIONIER-Q_x000a_Dotacja celowa na realizację zadania z zakresu informatyzacji sektora publicznego oraz innowacji cyfrowych, polegającego na utrzymaniu zdolności zleceniobiorców do realizacji projektu pn. „PIONIER-Q: Ogólnopolska Kwantowa Infrastruktura Komunikacyjna”, będącego wkładem Polski do inicjatywy EuroQCI – budowy europejskiej infrastruktury komunikacji kwantowej"/>
    <s v="Realizacja projektu PIONIER-Q jest kluczowym elementem dla efektywnego udziału Polski w EuroQCI. W ramach Projektu zostanie uruchomiona infrastruktura oraz usługi związane z generowaniem oraz przesyłaniem kluczy w technologii kwantowej dystrybucji kluczy (QKD – Quantum Key Distribution). Długofalowym celem Projektu jest wypracowanie rozwiązań oraz zbudowanie fundamentów pod sieci bezpiecznej komunikacji między innymi dla jednostek administracji lokalnej, centralnej oraz na poziomie transgranicznym (pomiędzy państwami członkowskimi i instytucjami UE). Projekt wprost przyczyni się do podnoszenia kwalifikacji w zakresie innowacji cyfrowych i rozwoju społeczeństwa informacyjnego poprzez wytworzenie i uruchomienie usług dla obsługi eksperymentów badawczych z wykorzystaniem infrastruktury komunikacji kwantowej._x000a_Podstawa prawna: art. 10c ustawy o Radzie Ministrów oraz decyzja PRM z 08.12.2023 r._x000a_Beneficjentami są:_x000a_1. Instytut Chemii Bioorganicznej PAN – koordynator,_x000a_2. Akademii Górniczo-Hutnicza im. Stanisława Staszica w Krakowie,_x000a_3. Naukowa i Akademicka Sieć Komputerowa – Państwowy Instytut Badawczy,_x000a_4. Politechnika Gdańska,_x000a_5. Politechnika Wrocławska,_x000a_6. Uniwersytet Warszawski."/>
    <n v="171"/>
    <n v="0"/>
    <n v="0"/>
    <n v="0"/>
    <n v="0"/>
    <s v="umowa"/>
    <s v="umowa"/>
    <s v="156/DC/D/2023"/>
    <s v="Instytut Chemii Bioorganicznej PAN (koordynatorem - na podstawie porozumień pomiędzy Beneficjentami a koordynatorem)"/>
    <m/>
  </r>
  <r>
    <x v="0"/>
    <x v="0"/>
    <s v="DC"/>
    <x v="0"/>
    <x v="0"/>
    <x v="0"/>
    <s v="16.5.3.2."/>
    <s v="budżet państwa (z wyjątkiem GDDKiA)"/>
    <s v="Ćwiczenia cyberbezpieczeństwa dla podmiotów krajowego systemu cyberbezpieczeństwa"/>
    <s v="Podstawa prawna: Inicjowanie krajowych ćwiczeń - art.62 ust 1 pkt 5 ustawy o krajowym systemie cyberbezpieczeństwa "/>
    <n v="600"/>
    <n v="0"/>
    <n v="0"/>
    <n v="0"/>
    <n v="0"/>
    <s v="planowane"/>
    <s v="n/d"/>
    <m/>
    <s v="n/d"/>
    <s v="nowa umowa"/>
  </r>
  <r>
    <x v="0"/>
    <x v="0"/>
    <s v="DC"/>
    <x v="0"/>
    <x v="0"/>
    <x v="0"/>
    <s v="16.5.3.2."/>
    <s v="budżet państwa (z wyjątkiem GDDKiA)"/>
    <s v="Zakup rocznego dostępu do oprogramowania do mailingu"/>
    <s v="Prowadzenie szkoleń online dla dużej liczby uczestników oraz utrzymywanie własnej bazy subskrybentów bazy wiedzy cyberbezpieczeństwa, wiąże się z częstą wysyłką maili do dużej liczby odbiorców (powyżej 2000 i ciągle rośnie). Oprogramowanie to zapewni prawidłowe dostarczenie maili, bez obawy o zakwalifikowanie ich jako spam z jednoczesnym spadkiem wiarygodności naszej domeny pocztowej._x000a_Kwota została uśredniona z uwagi na różnicę w cenach producentów oprogramowania do mailingu w złotówkach i w walutach obcych. _x000a_Podstawa prawna: Działania podnoszące świadomość - art.45 ust 1 pkt 4 ustawy o krajowym systemie cyberbezpieczeństwa oraz realizacja celu szczegółowego nr 4 Strategii Cyberbezpieczeństwa RP na lata 2019-2024, a także §14 pkt 2 reg. org. MC."/>
    <n v="12"/>
    <n v="0"/>
    <n v="0"/>
    <n v="0"/>
    <n v="0"/>
    <s v="planowane"/>
    <s v="n/d"/>
    <m/>
    <s v="n/d"/>
    <s v="przedłużenie licencji"/>
  </r>
  <r>
    <x v="0"/>
    <x v="0"/>
    <s v="DC"/>
    <x v="0"/>
    <x v="0"/>
    <x v="0"/>
    <s v="16.5.3.3."/>
    <s v="budżet państwa (z wyjątkiem GDDKiA)"/>
    <s v="Zakup subskrypcji translatora maszynowego"/>
    <s v="Subskrypcja dostępu do translatora maszynowego jest niezbędna do realizacji bieżących zadań Wydziału Szkoleń i Standaryzacji Cyberbezpieczeństwa (oraz w razie potrzeby pozostałych wydziałów DC), w szczególności w zakresie opracowywania i aktualizacji rekomendacji i dobrych praktyk z obszaru cyberbezpieczeństwa oraz przygotowywania i prowadzenia działań na rzecz poszerzania wiedzy i budowania świadomości z zakresu cyberbezpieczeństwa, a także opiniowania norm, standardów, rekomendacji, wytycznych oraz zaleceń wydawanych przez ISO/IEC, ENISA, PKN i inne organizacje normalizacyjne._x000a_Podstawa prawna: Realizacja celu szczegółowego nr 2 Strategii Cyberbezpieczeństwa RP na lata 2019-2024, a także §14 pkt 2 reg. org. MC."/>
    <n v="2"/>
    <n v="0"/>
    <n v="0"/>
    <n v="0"/>
    <n v="0"/>
    <s v="planowane"/>
    <s v="n/d"/>
    <m/>
    <s v="n/d"/>
    <m/>
  </r>
  <r>
    <x v="0"/>
    <x v="0"/>
    <s v="DC"/>
    <x v="0"/>
    <x v="0"/>
    <x v="0"/>
    <s v="16.5.3.2."/>
    <s v="budżet państwa (z wyjątkiem GDDKiA)"/>
    <s v="_x000a_Usługa wydruku materiałów informacyjnych i publikacji związanych z Programem PWCyber"/>
    <s v="Program PWCyber stanowi realizacje zadań Ministra Cyfryzacji w zakresie ustawy o krajowym systemie cyberbezpieczeństwa, tj. rekomendowania obszarów współpracy z sektorem prywatnym w celu zwiększenia cyberbezpieczeństwa Rzeczypospolitej Polskiej. W celu zapewnienia skuteczności działań Programu oraz informowania o realizowanych działaniach w 2024 r. zaplanowano opracowanie, korektę, skład, wydruk i rozpowszechnienie materiałów informacyjnych dotyczących programu. Z uwagi na różny charakter zadań na poszczególnym etapie &quot;produkcji&quot; materiałów rozdzielono działania na odrębne zadania, uwzględnione w niniejszej tabeli._x000a_Podstawa prawna: Rekomendowanie obszarów współpracy - art.45 ust 1 pkt 2 ustawy o krajowym systemie cyberbezpieczeństwa oraz realizacja celu szczegółowego nr 3 Strategii Cyberbezpieczeństwa RP na lata 2019-2024, a także §14 pkt 1 reg. org. MC."/>
    <n v="30"/>
    <n v="0"/>
    <n v="0"/>
    <n v="0"/>
    <n v="0"/>
    <s v="planowane"/>
    <s v="n/d"/>
    <m/>
    <s v="n/d"/>
    <m/>
  </r>
  <r>
    <x v="0"/>
    <x v="0"/>
    <s v="DC"/>
    <x v="0"/>
    <x v="0"/>
    <x v="0"/>
    <s v="16.5.3.2."/>
    <s v="budżet państwa (z wyjątkiem GDDKiA)"/>
    <s v="Usługa składu, łamania oraz korekty publikacji o cyberbezpieczeństwie    "/>
    <s v="Program PWCyber stanowi realizacje zadań Ministra Cyfryzacji w zakresie ustawy o krajowym systemie cyberbezpieczeństwa, tj. rekomendowania obszarów współpracy z sektorem prywatnym w celu zwiększenia cyberbezpieczeństwa Rzeczypospolitej Polskiej. W celu zapewnienia skuteczności działań Programu oraz informowania o realizowanych działaniach w 2024 r. zaplanowano opracowanie, korektę, skład, wydruk i rozpowszechnienie materiałów informacyjnych dotyczących programu. Z uwagi na różny charakter zadań na poszczególnym etapie &quot;produkcji&quot; materiałów rozdzielono działania na odrębne zadania, uwzględnione w niniejszej tabeli._x000a_Podstawa prawna: Rekomendowanie obszarów współpracy - art.45 ust 1 pkt 2 ustawy o krajowym systemie cyberbezpieczeństwa oraz realizacja celu szczegółowego nr 3 Strategii Cyberbezpieczeństwa RP na lata 2019-2024, a także §14 pkt 1 reg. org. MC."/>
    <n v="30"/>
    <n v="0"/>
    <n v="0"/>
    <n v="0"/>
    <n v="0"/>
    <s v="planowane"/>
    <s v="n/d"/>
    <m/>
    <s v="n/d"/>
    <m/>
  </r>
  <r>
    <x v="0"/>
    <x v="0"/>
    <s v="DC"/>
    <x v="0"/>
    <x v="0"/>
    <x v="0"/>
    <s v="16.5.3.2."/>
    <s v="budżet państwa (z wyjątkiem GDDKiA)"/>
    <s v="Opracowanie materiałów informacyjnych PWCyber_x000a_"/>
    <s v="Program PWCyber stanowi realizacje zadań Ministra Cyfryzacji w zakresie ustawy o krajowym systemie cyberbezpieczeństwa, tj. rekomendowania obszarów współpracy z sektorem prywatnym w celu zwiększenia cyberbezpieczeństwa Rzeczypospolitej Polskiej. W celu zapewnienia skuteczności działań Programu oraz informowania o realizowanych działaniach w 2024 r. zaplanowano opracowanie, korektę, skład, wydruk i rozpowszechnienie materiałów informacyjnych dotyczących programu. Z uwagi na różny charakter zadań na poszczególnym etapie &quot;produkcji&quot; materiałów rozdzielono działania na odrębne zadania, uwzględnione w niniejszej tabeli._x000a_Podstawa prawna: Rekomendowanie obszarów współpracy - art.45 ust 1 pkt 2 ustawy o krajowym systemie cyberbezpieczeństwa oraz realizacja celu szczegółowego nr 3 Strategii Cyberbezpieczeństwa RP na lata 2019-2024, a także §14 pkt 1 reg. org. MC."/>
    <n v="50"/>
    <n v="0"/>
    <n v="0"/>
    <n v="0"/>
    <n v="0"/>
    <s v="planowane"/>
    <s v="n/d"/>
    <m/>
    <s v="n/d"/>
    <m/>
  </r>
  <r>
    <x v="0"/>
    <x v="0"/>
    <s v="DC"/>
    <x v="0"/>
    <x v="0"/>
    <x v="0"/>
    <s v="16.5.3.2."/>
    <s v="budżet państwa (z wyjątkiem GDDKiA)"/>
    <s v="Działania DC związane z Prezydencją - obsługa spotkań z udziałem delegacji państw członków UE"/>
    <s v="Konferencje, koszty przyjęcia delegacji zagranicznych w celu omówienia działań i proprytetów podejmowanych przez PL Prezydencję. Gadżety. Organizacja spotkań koordynujących"/>
    <n v="900"/>
    <n v="0"/>
    <n v="0"/>
    <n v="0"/>
    <n v="0"/>
    <s v="Prezydencja"/>
    <s v="n/d"/>
    <m/>
    <s v="n/d"/>
    <m/>
  </r>
  <r>
    <x v="0"/>
    <x v="0"/>
    <s v="DC"/>
    <x v="15"/>
    <x v="0"/>
    <x v="0"/>
    <s v="16.5.3.2."/>
    <s v="budżet państwa (z wyjątkiem GDDKiA)"/>
    <s v="Umowa body leasingu"/>
    <s v="Zatrudnienie w bodyleasingu"/>
    <n v="480"/>
    <n v="0"/>
    <n v="0"/>
    <n v="0"/>
    <n v="0"/>
    <s v="planowane"/>
    <s v="n/d"/>
    <m/>
    <s v="n/d"/>
    <m/>
  </r>
  <r>
    <x v="0"/>
    <x v="0"/>
    <s v="DC"/>
    <x v="15"/>
    <x v="0"/>
    <x v="0"/>
    <s v="16.5.3.3."/>
    <s v="budżet państwa (z wyjątkiem GDDKiA)"/>
    <s v="Przygotowanie opinii na potrzeby realizacji zadań krajowego organu ds. certyfikacji cyberbezpieczeństwa"/>
    <s v="Należy podkreślić, że wydatki związane z utworzeniem krajowego systemu certyfikacji cyberbezpieczeństwa są niezbędne do wykonania Rozporządzenia Parlamentu Europejskiego i Rady (UE) 2019/881 z dnia 17 kwietnia 2019 r. w sprawie ENISA (Agencji Unii Europejskiej ds. Cyberbezpieczeństwa) oraz certyfikacji cyberbezpieczeństwa w zakresie technologii informacyjno-komunikacyjnych oraz uchylenia rozporządzenia (UE) nr 526/2013. Aby zapewnić zgodność z tym aktem prawnym niezbędne jest utworzenie krajowego organu ds. certyfikacji cyberbezpieczeństwa co oznacza również konieczność zapewnienia środków na jego działalność. Z tego względu wskazane wydatki pozostają aktualne. "/>
    <n v="30"/>
    <n v="32"/>
    <n v="0"/>
    <n v="0"/>
    <n v="0"/>
    <s v="planowane"/>
    <s v="n/d"/>
    <m/>
    <s v="nd"/>
    <m/>
  </r>
  <r>
    <x v="0"/>
    <x v="0"/>
    <s v="DC"/>
    <x v="0"/>
    <x v="0"/>
    <x v="0"/>
    <s v="16.5.3.2."/>
    <s v="budżet państwa "/>
    <s v="Zakup systemu cyber threat intelligence poziomu strategicznego dla podmiotów krajowego systemu cyberbezpieczeństwa"/>
    <s v="Celem zadania jest zakup rocznego dostępu do systemu rozpoznawania zagrożeń w cyberprzestrzeni (CTI) poziomu strategicznego,  wspomagającego pracę zespołów cyberbezpieczeństwa , w tym zespów reagowania na incydenty komputerowe wchodzące w skład krajowego systemu cyberbezpieczeństwa. Dostęp do systemu CTI poziomu strategicznego pozwoli na gromadzenie, analizowanie i wykorzystywania informacji o cyberzagrożeniach w celu podejmowania decyzji dotyczących cyberbezpieczeństwa państwa oraz w ramach danej organizacji. System będzie pozyskany na potrzeby Ministerstwa Cyfryzacji i innych podmiotów zapewniających cyberbezpieczeństwo na poziomie krajowym._x000a_Podstawa prawna: art. 62 ustawy z dnia 5 lipca 2018 r. o krajowym systemie cyberbezpieczeństwa (Dz.U. z 2023 r. poz. 913 z późn. zm.)"/>
    <n v="10000"/>
    <n v="10000"/>
    <n v="10000"/>
    <n v="0"/>
    <n v="0"/>
    <s v="planowane"/>
    <s v="n/d"/>
    <s v="n/d"/>
    <s v="n/d"/>
    <m/>
  </r>
  <r>
    <x v="0"/>
    <x v="0"/>
    <s v="DC"/>
    <x v="0"/>
    <x v="0"/>
    <x v="0"/>
    <s v="16.5.3.2."/>
    <s v="budżet państwa "/>
    <s v="Oprogramowanie wspierające analizy cyberbezpieczeństwa"/>
    <s v="Zakup orogramowania wspierającego analizy cyberbezpieczeństwa, m.in. w zakresie gromadzenia i analizowania informacji w mediach; skanerów i wyszukiwarek podatności, portów, adresów URL; zarządzania hasłami; obróbką graficzną. Podstawa prawna: Regulamin MC, ustawa o KSC (art. 45 i 63)."/>
    <n v="75"/>
    <n v="75"/>
    <n v="75"/>
    <n v="0"/>
    <n v="0"/>
    <s v="planowane"/>
    <s v="n/d"/>
    <s v="n/d"/>
    <s v="n/d"/>
    <m/>
  </r>
  <r>
    <x v="0"/>
    <x v="0"/>
    <s v="DC"/>
    <x v="0"/>
    <x v="0"/>
    <x v="0"/>
    <s v="16.5.3.2."/>
    <s v="budżet państwa "/>
    <s v="Zakup rozwiązań chmurowych "/>
    <s v="Zakup rozwiązań chmurowych wspierających analizy cyberbezpieczeństwa w oparciu o model subskrypcyjny. Rozwiązanie to będzie także wykorzystywało sztuczną inteligencję (AI) umożliwiającą jej zastosowanie do zasobów umieszczonych w chmurze obliczeniowej. Zastosowanie rozwiązań chmurowych podniesienie poziom bezpieczeństwa danych, a wykorzystanie AI znacząco przyczyni się do zwiększenia efektywności, szybkości i jakości pracy. Podstawa prawna: _x000a_Art. 62. ust. 1. pkt 4) ustawy o KSC_x000a_Uchwała nr 125 Rady Ministrów z dnia 22 października 2019 r. w sprawie Strategii Cyberbezpieczeństwa Rzeczypospolitej Polskiej na lata 2019–2024_x000a_Uchwała nr 196 Rady Ministrów z dnia 28 grudnia 2020 r. w sprawie ustanowienia &quot;Polityki dla rozwoju sztucznej inteligencji w Polsce od roku 2020&quot;"/>
    <n v="50"/>
    <n v="50"/>
    <n v="50"/>
    <n v="0"/>
    <n v="0"/>
    <s v="planowane"/>
    <s v="n/d"/>
    <s v="n/d"/>
    <s v="n/d"/>
    <m/>
  </r>
  <r>
    <x v="0"/>
    <x v="0"/>
    <s v="DC"/>
    <x v="23"/>
    <x v="0"/>
    <x v="0"/>
    <s v="16.5.3.2."/>
    <s v="budżet państwa "/>
    <s v="Delegacje zagraniczne WAC"/>
    <s v="Podróże służbowe zagraniczne w obszarze bezpieczeństwa cyberprzestrzeni, w tym związane ze współpracą międzynarodową w zakresie rozpoznawania i zwalczania zagrożeń w cyberprzestrzeni, współpracy CSIRT i innych podmiotów systemów cyberbezpieczeństwa. _x000a_Podstawa prawna: Regulamin MC, ustawa o KSC  (art. 45 i 63)."/>
    <n v="0"/>
    <n v="0"/>
    <n v="0"/>
    <n v="0"/>
    <n v="0"/>
    <s v="planowane"/>
    <s v="n/d"/>
    <s v="n/d"/>
    <s v="n/d"/>
    <m/>
  </r>
  <r>
    <x v="0"/>
    <x v="0"/>
    <s v="DC"/>
    <x v="22"/>
    <x v="0"/>
    <x v="0"/>
    <s v="16.5.3.2."/>
    <s v="budżet państwa "/>
    <s v="Delegacje krajowe WAC"/>
    <s v="Podróże służbowe krajowe w obszarze bezpieczeństwa cyberprzestrzeni, w tym związane ze współpracą z podmiotami Krajowego Systemu Cyberbezpieczeństwa (KSC), dostawcami usług i produktów, udział w konferencjach. _x000a_Podstawa prawna: Regulamin MC, ustawa o KSC (art. 45 i 63)."/>
    <n v="0"/>
    <n v="0"/>
    <n v="0"/>
    <n v="0"/>
    <n v="0"/>
    <s v="planowane"/>
    <s v="n/d"/>
    <s v="n/d"/>
    <s v="n/d"/>
    <m/>
  </r>
  <r>
    <x v="0"/>
    <x v="0"/>
    <s v="DC"/>
    <x v="13"/>
    <x v="0"/>
    <x v="0"/>
    <s v="16.5.3.4."/>
    <s v="budżet państwa "/>
    <s v="Środki na ewentualne roszczenia i koszty sądowe (decyzje administracyjne, postępowania)"/>
    <s v="Środki na ewentualne roszczenia i koszty sądowe (decyzje administracyjne, postępowania)"/>
    <n v="201"/>
    <n v="0"/>
    <n v="0"/>
    <n v="0"/>
    <n v="0"/>
    <s v="planowane"/>
    <s v="n/d"/>
    <s v="n/d"/>
    <s v="n/d"/>
    <m/>
  </r>
  <r>
    <x v="0"/>
    <x v="0"/>
    <s v="DC"/>
    <x v="30"/>
    <x v="0"/>
    <x v="0"/>
    <s v="16.5.3.4."/>
    <s v="podmioty pozostałe (z wyjątkiem PKP PLK S.A.)"/>
    <s v="Współfinansowanie wydatków w zakresie podatku VAT dla przedsięwzięcia z KPO pn. &quot;podłączenie 385 nowych podmiotów krajowego systemu cyberbezpieczeństwa do zintegrowanego systemu zarządzania cyberbezpieczeństwem (system S46) oraz dalszy rozwój tego systemu&quot;"/>
    <s v="VAT jest niezbędny do realizacji przez NASK-PIB przedsięwzięcia w ramach inwestycji C3.1.1. KPO. W KPO VAT jest wydatkiem niekwalifikowanym. Utrzymanie i rozwój systemu S46 jest zadaniem realizowanym na podstawie art. 46 uksc."/>
    <n v="0"/>
    <n v="0"/>
    <n v="0"/>
    <n v="0"/>
    <n v="0"/>
    <s v="planowane"/>
    <s v="n/d"/>
    <s v="n/d"/>
    <s v="n/d"/>
    <s v="NASK-PIB - BBF - brak podstawy prawnej do przekazania środków"/>
  </r>
  <r>
    <x v="0"/>
    <x v="0"/>
    <s v="DC"/>
    <x v="30"/>
    <x v="0"/>
    <x v="0"/>
    <s v="16.5.3.4."/>
    <s v="podmioty pozostałe (z wyjątkiem PKP PLK S.A.)"/>
    <s v="Współfinansowanie wydatków w zakresie podatku VAT dla przedsięwzięcia z KPO pn. &quot;utworzenie lub rozwój przynajmniej 5 sektorowych Zespołów Reagowania na Incydenty Bezpieczeństwa Komputerowego (CSIRT) w sektorach kluczowych w rozumieniu ustawy o krajowym systemie cyberbezpieczeństwa, tj. sektorach: energii, transportu, ochrony zdrowia, bankowości i infrastruktury rynków finansowych, infrastruktury cyfrowej, zaopatrzenia w wodę oraz dla przedsiębiorców komunikacji elektronicznej&quot;"/>
    <s v="VAT jest niezbędny do realizacji przez NASK-PIB przedsięwzięcia w ramach inwestycji C3.1.1. KPO. W KPO VAT jest wydatkiem niekwalifikowanym. Zgodnie z art.. 44a ust. 1 oraz art.. 44d ust. 2 projektu ustawy o zmianie ustawy o krajowym systemie cyberbezpieczeństwa Minister Cyfryzacji powierzy zadanie funkcjonowania zespołu CSIRT sektorowego dla sektorów infrastruktury cyfrowej, usług cyfrowych i zarządzania ICT NASK - PIB."/>
    <n v="0"/>
    <n v="0"/>
    <n v="0"/>
    <n v="0"/>
    <n v="0"/>
    <s v="planowane"/>
    <s v="n/d"/>
    <s v="n/d"/>
    <s v="n/d"/>
    <s v="NASK-PIB - BBF - brak podstawy prawnej do przekazania środków"/>
  </r>
  <r>
    <x v="0"/>
    <x v="0"/>
    <s v="DC"/>
    <x v="0"/>
    <x v="0"/>
    <x v="0"/>
    <s v="16.5.3.2."/>
    <s v="Budżet państwa"/>
    <s v="Kampania informacyjna nt. systemu samorejestracji podmiotów KSC"/>
    <s v="Przygotowanie strategii, koncepcji kreatywnej oraz realizacja kampanii informacyjnej dot. wdrożenia NIS 2 w Polsce, w tym objęcia nowych kategorii podmiotów obowiązkami w zakresie cyberbezpieczeństwa oraz systemu samorejestracji podmiotów w celu opracowania i uzyskania możliwie pełnego wykazu podmiotów kluczowych i ważnych. Zgodnie z art. 3 ust. 3 Dyrektywy NIS 2: Do dnia 17 kwietnia 2025 r. państwa członkowskie ustanawiają wykaz podmiotów kluczowych i ważnych, a także podmiotów świadczących usługi rejestracji nazw domen. Państwa członkowskie regularnie, i nie rzadziej niż co dwa lata po wyżej wymienionej dacie, dokonują przeglądu i – w stosownych przypadkach – aktualizacji tego wykazu."/>
    <n v="615"/>
    <n v="0"/>
    <n v="0"/>
    <n v="0"/>
    <m/>
    <s v="planowane"/>
    <s v="n/d"/>
    <s v="n/d"/>
    <s v="n/d"/>
    <m/>
  </r>
  <r>
    <x v="0"/>
    <x v="0"/>
    <s v="DC"/>
    <x v="31"/>
    <x v="0"/>
    <x v="0"/>
    <s v="16.5.3.2."/>
    <s v="budżet państwa "/>
    <s v="Nagroda Ministra Cyfryzacji - konkurs na najlepszą pracę licencjacką, magisterską i inżynierską w tematyce cyberbezpieczeńśtwa "/>
    <s v="Nagroda w formie kursów z obszaru cyberbezpieczeńtwa zakończonych certyfikatem"/>
    <n v="130"/>
    <n v="130"/>
    <n v="130"/>
    <n v="130"/>
    <n v="130"/>
    <s v="planowane"/>
    <s v="n/d"/>
    <s v="n/d"/>
    <s v="n/d"/>
    <s v="konkurs"/>
  </r>
  <r>
    <x v="0"/>
    <x v="0"/>
    <s v="DC"/>
    <x v="0"/>
    <x v="0"/>
    <x v="0"/>
    <s v="16.5.3.2."/>
    <s v="budżet państwa "/>
    <s v="Catering podczas warsztatów, szkoleń oragnizowanych w ramach Programu PWCyber"/>
    <s v="Usługa dostarczenia cateringu na spotkania w ramach współpracy z Partnerami Programu PWCyber "/>
    <n v="20"/>
    <n v="0"/>
    <n v="0"/>
    <n v="0"/>
    <n v="0"/>
    <s v="planowane"/>
    <s v="n/d"/>
    <s v="n/d"/>
    <s v="n/d"/>
    <s v="nowa umowa"/>
  </r>
  <r>
    <x v="0"/>
    <x v="0"/>
    <s v="DC"/>
    <x v="0"/>
    <x v="0"/>
    <x v="0"/>
    <s v="16.5.3.2."/>
    <s v="budżet państwa (z wyjątkiem GDDKiA)"/>
    <s v="Spotkanie z partnerami Programu PWCyber "/>
    <s v="Program PWCyber stanowi realizacje zadań Ministra Cyfryzacji w zakresie ustawy o krajowym systemie cyberbezpieczeństwa, tj. rekomendowania obszarów współpracy z sektorem prywatnym w celu zwiększenia cyberbezpieczeństwa Rzeczypospolitej Polskiej. Z okazji 5-lecia istnienia programu zaplanowano konferencję merytoryczną z zakresu cyberbezpieczeństwa i współpracy w tym obszarze pomiędzy sektorem prywatnym i publicznym. Spotkanie ma służyć zacieśnianiu współpracy oraz rozwijania wspólnych działań podnoszących poziom cyberbezpieczeństwa RP (mi. szkoleń, certyfikacji, legislacji, czy nowych technologii)._x000a_Kwota obejmuje usługę kompleksowej organizacji w tym m.in. wynajem sali konferencyjnej, wyposażenia technicznego, cateringu, prowadzenia zapisów). _x000a_Podstawa prawna: Rekomendowanie obszarów współpracy - art.45 ust 1 pkt 2 ustawy o krajowym systemie cyberbezpieczeństwa oraz realizacja celu szczegółowego nr 3 Strategii Cyberbezpieczeństwa RP na lata 2019-2024, a także §14 pkt 1 reg. org. MC."/>
    <n v="130"/>
    <n v="130"/>
    <n v="130"/>
    <n v="130"/>
    <n v="130"/>
    <s v="planowane"/>
    <s v="n/d"/>
    <s v="n/d"/>
    <s v="n/d"/>
    <m/>
  </r>
  <r>
    <x v="0"/>
    <x v="0"/>
    <s v="DC"/>
    <x v="0"/>
    <x v="0"/>
    <x v="0"/>
    <s v="16.5.3.2."/>
    <s v="budżet państwa "/>
    <s v="tłumaczenia podczas szkoleń na język migowy"/>
    <s v="tłumaczenia na polski język migowy szkolen z zakresu cyberbezpieczeńtwa prowadzonych przez DC online"/>
    <n v="15"/>
    <n v="0"/>
    <n v="0"/>
    <n v="0"/>
    <n v="0"/>
    <s v="planowane"/>
    <s v="n/d"/>
    <s v="n/d"/>
    <s v="n/d"/>
    <m/>
  </r>
  <r>
    <x v="0"/>
    <x v="0"/>
    <s v="DC"/>
    <x v="0"/>
    <x v="0"/>
    <x v="0"/>
    <s v="16.5.3.2."/>
    <s v="Budżet państwa"/>
    <s v=" Współtworzenie Europejskiego Kongresu Gospodarczego w Katowicach w obszarze ścieżkimerytorycznej w obszarze cyberbezpieczeństwa"/>
    <s v="Europejski Kongres Gospodarczy jest jedynym z największych kongresów ekonomiczno-gospodarczych w Polsce, stanowiących szerokie, różnorodne i otwarte forum debaty o przyszłości polskiej i europejskiej gospodarki. Wspołtworzenie ścieżki merytorycznej w obszarze cyberbezpieczeństwa w tym prestiżowym wydarzeniu jest podstawą dialogu z  top menedżerami największych globalnych firm, politykow, oraz najwyższej klasy ekspertów, którzy dyskutują o najważniejszych wyzwaniach w perspektywie długofalowej, jakie stoją przed krajem.  Wydarzenie stanowi unikatową platformę spotkań, na której dyskutuje się o najważniejszych wyzwaniach i kierunkach rozwoju państwa na styku działań administracji publicznej i biznesu.  "/>
    <n v="200"/>
    <n v="0"/>
    <n v="0"/>
    <n v="0"/>
    <n v="0"/>
    <s v="planowane"/>
    <s v="n/d"/>
    <s v="n/d"/>
    <s v="n/d"/>
    <m/>
  </r>
  <r>
    <x v="0"/>
    <x v="0"/>
    <s v="DC"/>
    <x v="0"/>
    <x v="0"/>
    <x v="0"/>
    <s v="16.5.3.2."/>
    <s v="Budżet państwa"/>
    <s v="Forum cyberbezpieczeństwa - w ramach Forum Ekonomicznego w Krapaczu"/>
    <s v="Od 6 lat organizacja cyklicznego Forum Cyberbezpieczeństwa mającego na celu promocję projektów cyfrowych z obszaru cyberbezpieczeństwa realizowanych przez Ministerstwo Cyfryzacji oraz podmioty mu podległe. Tematyka poruszana podczas Forum Cyberbezpieczeństwa służy podniesieniu efektywności działania administracji publicznej i samorządów oraz  prowadzeniu działań informacyjno-promocyjnych polityki cyfrowej z obszaru cyberbezpieczeństwa prowadzonej przez Ministerstwo Cyfryzacji wraz z propagowaniem projektów cyfrowych z tego obszaru wśród samorządów i społeczeństwa. Organizacja forum cyberbezpieczeństwa - w ramach Formu Ekonomicznego w Krapaczu (opłaceniestrefy konferencyjnej,  udział w forum, delegacje, przejazdy zorganizowane, obsługa logistyczna)"/>
    <n v="1600"/>
    <n v="0"/>
    <n v="0"/>
    <n v="0"/>
    <n v="0"/>
    <s v="planowane"/>
    <s v="n/d"/>
    <s v="n/d"/>
    <s v="n/d"/>
    <m/>
  </r>
  <r>
    <x v="0"/>
    <x v="0"/>
    <s v="DC"/>
    <x v="0"/>
    <x v="0"/>
    <x v="0"/>
    <s v="16.5.3.2."/>
    <s v="Budżet państwa"/>
    <s v="III edycja międzynarodowego szkolenia z cyberbezpieczeństwa dla sektora energetycznego"/>
    <s v="Organizacja III edycji międzynarodowego szkolenia z cyberbezpieczeństwa dla sektora energetycznego planowana w formule Train the trainers, dla reprezentantów karjów UE a także Ukrainy mające na celu budowę wspólnego bezpieczeństwa energetycznego."/>
    <n v="400"/>
    <n v="0"/>
    <n v="0"/>
    <n v="0"/>
    <n v="0"/>
    <s v="planowane"/>
    <s v="n/d"/>
    <s v="n/d"/>
    <s v="n/d"/>
    <m/>
  </r>
  <r>
    <x v="0"/>
    <x v="0"/>
    <s v="DC"/>
    <x v="0"/>
    <x v="0"/>
    <x v="0"/>
    <s v="16.5.3.2."/>
    <s v="Budżet państwa"/>
    <s v="Tłumaczenia pisemne i ustne"/>
    <s v="Realizacja działań międzynarodowych zgodnie ze Regulaminem DC."/>
    <n v="20"/>
    <n v="0"/>
    <n v="0"/>
    <n v="0"/>
    <n v="0"/>
    <s v="planowane"/>
    <s v="n/d"/>
    <s v="n/d"/>
    <s v="n/d"/>
    <m/>
  </r>
  <r>
    <x v="0"/>
    <x v="0"/>
    <s v="DC"/>
    <x v="0"/>
    <x v="0"/>
    <x v="0"/>
    <s v="16.5.3.2."/>
    <s v="Budżet państwa"/>
    <s v="Działania DC związane z Prezydencją niekwalifikowane do budżetu Prezydencji (z KPRM)- obsługa spotkań z udziałem delegacji państw członków UE"/>
    <s v="Konferencje, koszty przyjęcia delegacji zagranicznych w celu omówienia działań i proprytetów podejmowanych przez PL Prezydencję.  Organizacja spotkań koordynujących"/>
    <n v="1000"/>
    <n v="0"/>
    <n v="0"/>
    <n v="0"/>
    <n v="0"/>
    <s v="planowane"/>
    <s v="n/d"/>
    <s v="n/d"/>
    <s v="n/d"/>
    <m/>
  </r>
  <r>
    <x v="0"/>
    <x v="0"/>
    <s v="DC"/>
    <x v="0"/>
    <x v="0"/>
    <x v="0"/>
    <s v="16.5.3.2."/>
    <s v="Budżet państwa"/>
    <s v="Organizacja spotkania członkow Tallin Mechanism"/>
    <s v="Minister Cyfryzacji zarządzeniem NR Z-1/2023 powołał do funkcjonowania Zespół do spraw wsparcia merytoryczno-organizacyjnego dla grupy państw sojuszniczych w ramach NATO wspierających Ukrainę w obszarze cyberbezpieczeństwa w związku ze zbrojną napaścią Federacji Rosyjskiej_x000a_Na podstawie ww. zarządzenia oraz MISSION STATEMENT wszystkich Państw Mechanizmu, Polska pełni rolę Back Office, realizując komunikację dotyczącą zapotrzebowania strony Ukraińskiej i przekazywanie tych informacji do pozostałych członków inicjatywy."/>
    <n v="250"/>
    <n v="0"/>
    <n v="0"/>
    <n v="0"/>
    <n v="0"/>
    <s v="planowane"/>
    <s v="n/d"/>
    <s v="n/d"/>
    <s v="n/d"/>
    <m/>
  </r>
  <r>
    <x v="0"/>
    <x v="0"/>
    <s v="DC"/>
    <x v="15"/>
    <x v="0"/>
    <x v="0"/>
    <s v="16.5.3.1."/>
    <s v="Budżet państwa"/>
    <s v="Umowa body leasingu"/>
    <s v="Body leasing osoby, która będzie odpowiadac i ordynowac współpracę pomiędzy członkami Tallin Mechanism-Ukrainą-back office w kwestii koordynacji zapotrzebowań strony Ukraińskiej w zakresie odbudowy i utrzymania wzajemnego cyberbezpieczeńśtwa."/>
    <n v="135"/>
    <n v="0"/>
    <n v="0"/>
    <n v="0"/>
    <n v="0"/>
    <s v="planowane"/>
    <s v="n/d"/>
    <s v="n/d"/>
    <s v="n/d"/>
    <m/>
  </r>
  <r>
    <x v="0"/>
    <x v="0"/>
    <s v="DC"/>
    <x v="0"/>
    <x v="0"/>
    <x v="0"/>
    <s v="22.1.1.1"/>
    <s v="budżet państwa (z wyjątkiem GDDKiA)"/>
    <s v="ZOIN - zakup sprzętu i materiałów eksploaracyjnych"/>
    <s v="Wydatki na sprzęt, w tym: Zakup biurowego sprzętu informatycznego (przykładowo: laptopy, monitory, telefony VoIP, smartfony, tablety i akcesoria i materiały eksploatacyjne do nich, drukarki)"/>
    <n v="30"/>
    <n v="0"/>
    <n v="0"/>
    <n v="0"/>
    <n v="0"/>
    <s v="planowane"/>
    <s v="n/d"/>
    <s v="n/d"/>
    <s v="n/d"/>
    <m/>
  </r>
  <r>
    <x v="0"/>
    <x v="0"/>
    <s v="DC"/>
    <x v="3"/>
    <x v="1"/>
    <x v="0"/>
    <s v="22.1.1.1"/>
    <s v="budżet państwa (z wyjątkiem GDDKiA)"/>
    <s v="zakup sprzętu na potrzeby zespołu informacji niejawnych"/>
    <s v="zakup sprzętu na potrzeby zespołu informacji niejawnych (m.in. Laptopy)"/>
    <n v="70"/>
    <n v="0"/>
    <n v="0"/>
    <n v="0"/>
    <n v="0"/>
    <s v="planowane"/>
    <s v="n/d"/>
    <s v="n/d"/>
    <s v="n/d"/>
    <m/>
  </r>
  <r>
    <x v="0"/>
    <x v="0"/>
    <s v="DC"/>
    <x v="0"/>
    <x v="0"/>
    <x v="0"/>
    <s v="16.5.3.2."/>
    <s v="budżet państwa "/>
    <s v="Zakup usługi przygotowania szkolenia e-learningowego z cyberhigieny. "/>
    <s v="Podnoszenie świadomości pracowników MC z zakresu cyberbezpieczeństwa. _x000a_Podstawa prawna: art. 45 ust. 1 pkt 4 ustawy o krajowym systemie cyberbezpieczeństwa"/>
    <n v="60"/>
    <n v="0"/>
    <n v="0"/>
    <n v="0"/>
    <n v="0"/>
    <s v="planowane"/>
    <s v="n/d"/>
    <s v="n/d"/>
    <s v="n/d"/>
    <m/>
  </r>
  <r>
    <x v="0"/>
    <x v="0"/>
    <s v="DC"/>
    <x v="0"/>
    <x v="0"/>
    <x v="0"/>
    <s v="16.5.3.2."/>
    <s v="budżet państwa "/>
    <s v="Zakup systemu klasy XDR do wykrywania zagrożeń, analizy i reagowania na zdarzenia (sunskrypcja - koszt roczny ok. 500 zł /sztukę)"/>
    <s v="Podnoszenie świadomości z zakresu cyberbezpieczeństwa._x000a_Głównym celem wskaznym w &quot;Strategii Cyberbezpieczeństwa RP na lata 2019-2024&quot; jest podniesienie poziomu odporności na cyberzagrożenia oraz zwiększenie poziomu ochrony informacji w sektorze publicznym, (...) oraz promowanie wiedzy i dobrych praktyk umożliwiających obywatelom lepszą ochronę ich informacji. Jednym z celów szczegółowych Strategii jest budowanie świadomości i kompetencji społecznych w zakresie cyberbezpieczeństwa - zwiększanie kompetencji kadry podmiotów istotnych dla cyberbezpieczeństwa RP._x000a_Dodatkowo, zgodnie z ustawą o krajowym systemie cyberbezpieczeństwa, podmioty realizujące zadania publiczne zobowiązane są do zapewnienia zarządzania incydentami."/>
    <n v="310"/>
    <n v="0"/>
    <n v="0"/>
    <n v="0"/>
    <n v="0"/>
    <s v="planowane"/>
    <s v="n/d"/>
    <s v="n/d"/>
    <s v="n/d"/>
    <m/>
  </r>
  <r>
    <x v="0"/>
    <x v="0"/>
    <s v="DC"/>
    <x v="24"/>
    <x v="3"/>
    <x v="0"/>
    <s v="16.5.3.4."/>
    <s v="podmioty pozostałe (z wyjątkiem PKP PLK S.A.)"/>
    <s v="Realizowanie zadań Uczestnika oraz akredytowanej Jednostki Certyfikującej spełniającej wymagania"/>
    <s v="Podstawą do udzielenia dotacji celowej jest art. 21 ust. 6 w zw. z art. 22 pkt 2 lit. a) ustawy z dnia 30 kwietnia 2010 r. o instytutach badawczych (Dz.U. z 2022 r. poz. 498). W związku z powierzeniem przez Ministra Cyfryzacji Naukowej i Akademickiej Sieci Komputerowej – Państwowemu Instytutowi Badawczemu pełnienia roli Jednostki Certyfikującej (pismo z 30.03.2022 r. nr DC.WRCiS.1106.7.2022) oraz pismem Ministra Cyfryzacji potwierdzającym wykonywanie przez Instytut zadań uczestnika umowy SOG-IS oraz porozumienia CCRA, NASK-PIB będzie realizował zadania na poziomie operacyjnym polegające na: a) wykonywaniu w imieniu Rządu RP zadań Uczestnika w ramach Umowy o wzajemnym uznawaniu certyfikatów oceny bezpieczeństwa teleinformatycznego oraz w ramach Porozumienia o sprawie uznawania Certyfikatów Common Criteria w dziedzinie bezpieczeństwa teleinformatycznego; b) wykonywaniu zadań Jednostki Certyfikującej spełniającej wymagania, odpowiedzialnej za zarządzanie Programem Oceny i Certyfikacji Bezpieczeństwa IT oraz za autoryzację laboratoriów badawczych w zakresie spełniania i przestrzegania przez te jednostki przyjętych kryteriów i metod oceny produktów teleinformatycznych w Programie Oceny i Certyfikacji Bezpieczeństwa IT. Planowane kategorie wydatków: 1. Wynagrodzenia osobowe; 2. Usługi obce; 3. Materiały; 4. Inne. "/>
    <n v="2962"/>
    <n v="2962"/>
    <n v="2962"/>
    <n v="2962"/>
    <n v="0"/>
    <s v="dokumenty w trakcie akceptacji "/>
    <s v="n/d"/>
    <s v="n/d"/>
    <s v="n/d"/>
    <s v="NASK-PIB"/>
  </r>
  <r>
    <x v="0"/>
    <x v="0"/>
    <s v="DC"/>
    <x v="31"/>
    <x v="0"/>
    <x v="0"/>
    <s v="16.5.3.2."/>
    <s v="budżet państwa "/>
    <s v="Zakup biletów lotniczych, w liczbie do 7 sztuk - nagroda dla zwycięskiej drużyny dziewcząt w wieku 13-16 lat z opiekunem/nauczycielem  reprezentującej Polskę na wydarzeniu CyberWizards Summer Camp realziowany przez NCC-EE"/>
    <s v="Promowane działania mieszczą się w zakresie działu administracji rządowej „informatyzacja” oraz obszarze działań Ministra Cyfryzacji wynikającym z ustawy o krajowym systemie cyberbezpieczeństwa. Wydatek w postaci ufundowania biletów lotniczych spełnia rygory ustanowione w art. 44 Ustawy o finansach publicznych."/>
    <n v="35"/>
    <n v="0"/>
    <n v="0"/>
    <n v="0"/>
    <n v="0"/>
    <s v="n/d"/>
    <s v="n/d"/>
    <s v="n/d"/>
    <s v="n/d"/>
    <m/>
  </r>
  <r>
    <x v="0"/>
    <x v="0"/>
    <s v="DC"/>
    <x v="24"/>
    <x v="3"/>
    <x v="0"/>
    <s v="16.5.3.4."/>
    <s v="podmioty pozostałe (z wyjątkiem PKP PLK S.A.)"/>
    <s v="Przygotowanie Laboratorium Oceny Bezpieczeństwa Produktów Teleinformatycznych w IŁ_x0002_PIB do przejścia z powodzeniem procesu autoryzacji dla celów EUCC"/>
    <s v="art. 22 pkt 2, art. 37 ust. 1 pkt 1 oraz art.2 ust. 2 pkt 4 z ustawy o instytutach badawczych mówiący o tym, że do instytut może prowadzić działalność normalizacyjną, certyfikacyjną i aprobacyjną"/>
    <n v="1540"/>
    <n v="0"/>
    <n v="0"/>
    <n v="0"/>
    <n v="0"/>
    <s v="dokumenty w trakcie przygotowania"/>
    <s v="n/d"/>
    <s v="n/d"/>
    <s v="n/d"/>
    <s v="Ił-PIB"/>
  </r>
  <r>
    <x v="0"/>
    <x v="0"/>
    <s v="DC"/>
    <x v="25"/>
    <x v="1"/>
    <x v="0"/>
    <s v="16.5.3.4."/>
    <s v="podmioty pozostałe (z wyjątkiem PKP PLK S.A.)"/>
    <s v="Przygotowanie  Laboratorium Oceny Bezpieczeństwa Produktów Teleinformatycznych w IŁ_x0002_PIB do przejścia z powodzeniem procesu autoryzacji dla celów EUCC"/>
    <s v="art. 22 pkt 2, art. 37 ust. 1 pkt 1 oraz art.2 ust. 2 pkt 4 z ustawy o instytutach badawczych mówiący o tym, że do instytut może prowadzić działalność normalizacyjną, certyfikacyjną i aprobacyjną"/>
    <n v="60"/>
    <n v="0"/>
    <n v="0"/>
    <n v="0"/>
    <n v="0"/>
    <s v="dokumenty w trakcie przygotowania"/>
    <s v="n/d"/>
    <s v="n/d"/>
    <s v="n/d"/>
    <s v="Ił-PIB"/>
  </r>
  <r>
    <x v="0"/>
    <x v="0"/>
    <s v="DC"/>
    <x v="0"/>
    <x v="0"/>
    <x v="0"/>
    <s v="16.5.3.2."/>
    <s v="budżet państwa "/>
    <s v="Organizacja spotkań Rady Zarządzającej ECCC, Rady Zarządzającej ENISY i sieci krajowych ośrodków koordynacji NCC's network "/>
    <s v="EuropejskieCentrum Kompetencji Przemysłowych, Technologicznych i Badawczych w dziedzinie Cyberbezpieczeństwa (ECCC) oraz sieć krajowych ośrodków koordynacji (NCC's network) zostało ustanowione na podstawie art. 6 ust. 5 Rozporządzenia Parlamentu Europejskiego i Rady (UE) 2021/887 z dnia 20 maja 2021 r. W oparciu o te przepisy, w Departamencie Cyberbezpieczeństwa w 2022 r.utworzono Krajowe Centrum Kompetencji Cyberbezpieczeństwa, pełniące funkcję krajowego ośrodka koordynacji.  Tym samym NCC-PL jest częścią europejskiej sieci krajowych ośrodków koordynacji i współdziałających z ECCC. Mając na uwadze rangę podejmowanych działań w zakresie cyberbezpieczeństwa przez Polskę, w szczególności w trakcie polskiej Prezydencji w Radzie UE, zdecydowano o zaproszeniu Rady Zarządzajacej ECCC i  Agencji Unii Europesjkiej do spraw Cyberbezpieczeństwa (ENISA) wraz z przedstawicielami krajowych ośrodków koordynacji Państw Członkowskich UE celem wypracowania wspólnych obszarów działań i uspójnienia ich zakresu, co będzie miało pozytywne przełożenie na realizowane przez Polskę priorytety w trakcie Prezydencji. "/>
    <n v="210"/>
    <n v="0"/>
    <n v="0"/>
    <n v="0"/>
    <n v="0"/>
    <s v="nie dotyczy"/>
    <s v="n/d"/>
    <s v="n/d"/>
    <s v="n/d"/>
    <m/>
  </r>
  <r>
    <x v="0"/>
    <x v="0"/>
    <s v="DC"/>
    <x v="24"/>
    <x v="3"/>
    <x v="0"/>
    <s v="16.5.3.2."/>
    <s v="podmioty pozostałe (z wyjątkiem PKP PLK S.A.)"/>
    <s v="Dotacja celowa dla NASK-PIB na zapewnienie usługi chmurowej ochrony przed atakami DDoS – Distributed Denial of_x000a_Service dla podmiotów realizujących zadania publiczne oraz podmiotów istotnych z punktu widzenia bezpieczeństwa RP"/>
    <s v="Podstawą do udzielenia dotacji celowej jest art. 37 ust. 1 ustawy z dnia 30 kwietnia 2010 r. o instytutach badawczych, zgodnie z którym minister nadzorujący może nałożyć na instytut obowiązek wprowadzenia do jego planu zadania lub wyznaczyć zadanie poza planem, zgodnie z zakresem działania określonym w statucie instytutu, jeżeli jest to niezbędne ze względu na potrzeby obronności i bezpieczeństwa publicznego, w przypadku stanu klęski żywiołowej lub w celu wykonania zobowiązań międzynarodowych.Jak stanowi art. 37 ust. 2 ustawy o instytutach badawczych, w przypadku nałożenia lub wyznaczenia zadania, minister nadzorujący zapewnia instytutowi środki do wykonania zadania, chyba że wykonanie zadania następuje odpłatnie na podstawie umowy ze stroną finansującą wykonanie zadania. Na podstawie § 1 ust. 3 rozporządzenia Rady Ministrów z dnia 7 czerwca 2017 r. w sprawie nadania Naukowej i Akademickiej Sieci Komputerowej statusu Państwowego Instytutu Badawczego6, nadzór nad NASK-PIB sprawuje minister właściwy do spraw informatyzacji. Celem wydatku jest zapewnienie na możliwie najwyższym poziomie ochrony przed atakami DDoS – Distributed Denial of Service dla podmiotów realizujących zadania publiczne.Kwota 2.581.875,00 (par. 2830) wynika z zawartej z NASK -PIB umowty na rok 2022-2024. Pozostała kwota jest planem na rok 2024 - 2025 - koniecznośc zawarcia nowej umowy dotacji w zakresie ochrony przed atakami DDoS."/>
    <n v="7330"/>
    <n v="8416"/>
    <n v="10024"/>
    <n v="11785"/>
    <n v="0"/>
    <s v="Realizacja zawartej umowy"/>
    <s v="n/d"/>
    <s v="70/DC/D/2022"/>
    <s v="NASK-PIB"/>
    <s v="NASK-PIB"/>
  </r>
  <r>
    <x v="0"/>
    <x v="0"/>
    <s v="DC"/>
    <x v="15"/>
    <x v="0"/>
    <x v="0"/>
    <s v="16.5.3.3."/>
    <s v="budżet państwa "/>
    <s v="Koszty umów zlecenia bądź umów o dzieło z ekspertami dotyczących przygotowania projektów, dokumentacji, ekspertyz i analiz krajowych programów certyfikacji cyberbezpieczeństwa"/>
    <s v="Należy podkreślić, że wydatki związane z utworzeniem krajowego systemu certyfikacji cyberbezpieczeństwa są niezbędne do wykonania Rozporządzenia Parlamentu Europejskiego i Rady (UE) 2019/881 z dnia 17 kwietnia 2019 r. w sprawie ENISA (Agencji Unii Europejskiej ds. Cyberbezpieczeństwa) oraz certyfikacji cyberbezpieczeństwa w zakresie technologii informacyjno-komunikacyjnych oraz uchylenia rozporządzenia (UE) nr 526/2013. Aby zapewnić zgodność z tym aktem prawnym niezbędne jest utworzenie krajowego organu ds. certyfikacji cyberbezpieczeństwa co oznacza również konieczność zapewnienia środków na jego działalność. Z tego względu wskazane wydatki pozostają aktualne. "/>
    <n v="315"/>
    <n v="315"/>
    <n v="315"/>
    <n v="315"/>
    <n v="315"/>
    <s v="planowane"/>
    <s v="n/d"/>
    <s v="n/d"/>
    <s v="n/d"/>
    <m/>
  </r>
  <r>
    <x v="0"/>
    <x v="0"/>
    <s v="DC"/>
    <x v="0"/>
    <x v="0"/>
    <x v="0"/>
    <s v="16.5.3.1."/>
    <s v="budżet państwa "/>
    <s v="Koszty organizacji stanowiska pracy dla pracowników wydziału krajowego systemu certyfikacji cyberbezpieczeństwa"/>
    <s v="Należy podkreślić, że wydatki związane z utworzeniem krajowego systemu certyfikacji cyberbezpieczeństwa są niezbędne do wykonania Rozporządzenia Parlamentu Europejskiego i Rady (UE) 2019/881 z dnia 17 kwietnia 2019 r. w sprawie ENISA (Agencji Unii Europejskiej ds. Cyberbezpieczeństwa) oraz certyfikacji cyberbezpieczeństwa w zakresie technologii informacyjno-komunikacyjnych oraz uchylenia rozporządzenia (UE) nr 526/2013. Aby zapewnić zgodność z tym aktem prawnym niezbędne jest utworzenie krajowego organu ds. certyfikacji cyberbezpieczeństwa co oznacza również konieczność zapewnienia środków na jego działalność. Z tego względu wskazane wydatki pozostają aktualne. "/>
    <n v="27"/>
    <n v="0"/>
    <n v="0"/>
    <n v="0"/>
    <n v="0"/>
    <s v="planowane"/>
    <s v="n/d"/>
    <s v="n/d"/>
    <s v="n/d"/>
    <m/>
  </r>
  <r>
    <x v="0"/>
    <x v="0"/>
    <s v="DC"/>
    <x v="14"/>
    <x v="0"/>
    <x v="0"/>
    <s v="16.5.3.1."/>
    <s v="budżet państwa "/>
    <s v="Składka na PPK dla pracowników wydziału krajowego systemu certyfikacji cyberbezpieczeństwa - członków korpusu służby cywilnej"/>
    <s v="Należy podkreślić, że wydatki związane z utworzeniem krajowego systemu certyfikacji cyberbezpieczeństwa są niezbędne do wykonania Rozporządzenia Parlamentu Europejskiego i Rady (UE) 2019/881 z dnia 17 kwietnia 2019 r. w sprawie ENISA (Agencji Unii Europejskiej ds. Cyberbezpieczeństwa) oraz certyfikacji cyberbezpieczeństwa w zakresie technologii informacyjno-komunikacyjnych oraz uchylenia rozporządzenia (UE) nr 526/2013. Aby zapewnić zgodność z tym aktem prawnym niezbędne jest utworzenie krajowego organu ds. certyfikacji cyberbezpieczeństwa co oznacza również konieczność zapewnienia środków na jego działalność. Z tego względu wskazane wydatki pozostają aktualne. "/>
    <n v="6"/>
    <n v="6"/>
    <n v="6"/>
    <n v="6"/>
    <n v="6"/>
    <s v="planowane"/>
    <s v="n/d"/>
    <s v="n/d"/>
    <s v="n/d"/>
    <m/>
  </r>
  <r>
    <x v="0"/>
    <x v="0"/>
    <s v="DC"/>
    <x v="25"/>
    <x v="1"/>
    <x v="0"/>
    <s v="16.5.3.2."/>
    <s v="podmioty pozostałe (z wyjątkiem PKP PLK S.A.)"/>
    <s v="Dotacja celowa dla NASK-PIB na zapewnienie usługi chmurowej ochrony przed atakami DDoS – Distributed Denial of Service dla podmiotów realizujących zadania publiczne oraz podmiotów istotnych z punktu widzenia bezpieczeństwa RP"/>
    <s v="Podstawą do udzielenia dotacji celowej jest art. 37 ust. 1 ustawy z dnia 30 kwietnia 2010 r. o instytutach badawczych, zgodnie z którym minister nadzorujący może nałożyć na instytut obowiązek wprowadzenia do jego planu zadania lub wyznaczyć zadanie poza planem, zgodnie z zakresem działania określonym w statucie instytutu, jeżeli jest to niezbędne ze względu na potrzeby obronności i bezpieczeństwa publicznego, w przypadku stanu klęski żywiołowej lub w celu wykonania zobowiązań międzynarodowych.Jak stanowi art. 37 ust. 2 ustawy o instytutach badawczych, w przypadku nałożenia lub wyznaczenia zadania, minister nadzorujący zapewnia instytutowi środki do wykonania zadania, chyba że wykonanie zadania następuje odpłatnie na podstawie umowy ze stroną finansującą wykonanie zadania. Na podstawie § 1 ust. 3 rozporządzenia Rady Ministrów z dnia 7 czerwca 2017 r. w sprawie nadania Naukowej i Akademickiej Sieci Komputerowej statusu Państwowego Instytutu Badawczego6, nadzór nad NASK-PIB sprawuje minister właściwy do spraw informatyzacji. Celem wydatku jest zapewnienie na możliwie najwyższym poziomie ochrony przed atakami DDoS – Distributed Denial of Service dla podmiotów realizujących zadania publiczne. Kwota 2.581.875,00 (par. 2830) wynika z zawartej z NASK -PIB umowty na rok 2022-2024. Pozostała kwota jest planem na rok 2024 - 2025 - koniecznośc zawarcia nowej umowy dotacji w zakresie ochrony przed atakami DDoS."/>
    <n v="322"/>
    <n v="67"/>
    <n v="356"/>
    <n v="75"/>
    <n v="0"/>
    <s v="Realizacja zawartej umowy"/>
    <s v="n/d"/>
    <s v="70/DC/D/2022"/>
    <s v="NASK-PIB"/>
    <s v="NASK-PIB"/>
  </r>
  <r>
    <x v="0"/>
    <x v="0"/>
    <s v="DC"/>
    <x v="0"/>
    <x v="0"/>
    <x v="0"/>
    <s v="16.5.3.1."/>
    <s v="budżet państwa "/>
    <s v="Zakup baz statystycznych - wykupienie dostępu"/>
    <s v="Planowane wydatki dotyczą zakupu baz statystycznych potrzebnych do sporządzania OSR"/>
    <n v="50"/>
    <n v="0"/>
    <n v="0"/>
    <n v="0"/>
    <n v="0"/>
    <s v="planowany"/>
    <s v="n/d"/>
    <s v="n/d"/>
    <s v="n/d"/>
    <m/>
  </r>
  <r>
    <x v="0"/>
    <x v="0"/>
    <s v="DC"/>
    <x v="24"/>
    <x v="3"/>
    <x v="0"/>
    <s v="16.5.3.4."/>
    <s v="podmioty pozostałe (z wyjątkiem PKP PLK S.A.)"/>
    <s v="Bezpieczne dane"/>
    <s v="Art. 39a projektu ustawy o zmianie ustawy o krajowym systemie cyberbezpieczeństwa"/>
    <n v="2414"/>
    <n v="0"/>
    <n v="0"/>
    <n v="0"/>
    <n v="0"/>
    <s v="n/d"/>
    <s v="n/d"/>
    <s v="n/d"/>
    <s v="n/d"/>
    <s v="NASK-PIB"/>
  </r>
  <r>
    <x v="0"/>
    <x v="0"/>
    <s v="DGT"/>
    <x v="0"/>
    <x v="0"/>
    <x v="0"/>
    <s v="16.5.2.2"/>
    <m/>
    <s v="Organizacja wydarzeń wspierających proces wdrażania nowych technologii w administracji publicznej "/>
    <s v="Zorganizowanie konferencji, cyklu warsztatów oraz Hackatonu mającego na celu popularyzację i pozyskanie rozwiązań technicznych i organizacyjnych wdrażających nowoczesne, innowacyjne technologie do podmiotów sektora publicznego (Organizacja kompleksowej obsługi spotkań, szkoleń i wydarzeń, w tym Hackatonu)"/>
    <n v="1200"/>
    <n v="1320"/>
    <n v="1452"/>
    <m/>
    <m/>
    <s v="planowane"/>
    <m/>
    <m/>
    <m/>
    <m/>
  </r>
  <r>
    <x v="0"/>
    <x v="0"/>
    <s v="DGT"/>
    <x v="0"/>
    <x v="0"/>
    <x v="0"/>
    <s v="16.5.2.2"/>
    <m/>
    <s v="Wspomaganie wdrażania nowych technologii w administracji publicznej"/>
    <s v="Pokrycie kosztów wdrożenia rozwiązania/rozwiązań najwyżej ocenionych podczas Hackatonu (Hackathon -  wdrożenie wybranego rozwiązania)"/>
    <n v="75"/>
    <n v="1125"/>
    <n v="1237"/>
    <m/>
    <m/>
    <s v="planowane"/>
    <m/>
    <m/>
    <m/>
    <m/>
  </r>
  <r>
    <x v="0"/>
    <x v="0"/>
    <s v="DGT"/>
    <x v="31"/>
    <x v="0"/>
    <x v="0"/>
    <s v="16.5.2.2"/>
    <m/>
    <s v="Nagrody pieniężne dla lauratów konkursów programistycznych dot. nowych technologii w administracji publicznej "/>
    <s v="Wyłonione w ramach konkurencji zwycięskie zespoły otrzymają nagrody pieniężne (Hackathon -  nagrody pieniężne dla zwycięskich 3 zespołów biorących udział w wydarzeniu)"/>
    <n v="90"/>
    <n v="99"/>
    <n v="109"/>
    <m/>
    <m/>
    <s v="planowane"/>
    <m/>
    <m/>
    <m/>
    <m/>
  </r>
  <r>
    <x v="0"/>
    <x v="0"/>
    <s v="DGT"/>
    <x v="0"/>
    <x v="0"/>
    <x v="0"/>
    <s v="16.5.2.2"/>
    <m/>
    <s v="Delegacje krajowe"/>
    <s v="Udział w konferencjach tematycznych, wspracie instytucji publicznych na terenie kraju (udział w spotkaniach, konferencjach i seminariach krajowych) "/>
    <n v="25"/>
    <n v="28"/>
    <n v="30"/>
    <m/>
    <m/>
    <s v="planowane"/>
    <m/>
    <m/>
    <m/>
    <m/>
  </r>
  <r>
    <x v="0"/>
    <x v="0"/>
    <s v="DGT"/>
    <x v="0"/>
    <x v="0"/>
    <x v="0"/>
    <s v="16.5.2.2"/>
    <m/>
    <s v="Delegacja zagraniczne"/>
    <s v="Udział w grupach roboczych, obsługa spotkań międzynarodowych, zwłaszcza gremiów europejskich"/>
    <n v="45"/>
    <n v="50"/>
    <n v="55"/>
    <m/>
    <m/>
    <s v="planowane"/>
    <m/>
    <m/>
    <m/>
    <m/>
  </r>
  <r>
    <x v="0"/>
    <x v="0"/>
    <s v="DGT"/>
    <x v="0"/>
    <x v="0"/>
    <x v="0"/>
    <s v="16.5.2.2"/>
    <m/>
    <s v="Usługa tłumaczeń "/>
    <s v="Zapewnienie usługi tłumaczenia materiałów niezbędnych do pracy k.o. "/>
    <n v="5"/>
    <n v="6"/>
    <n v="6"/>
    <m/>
    <m/>
    <s v="planowane"/>
    <m/>
    <m/>
    <m/>
    <m/>
  </r>
  <r>
    <x v="0"/>
    <x v="0"/>
    <s v="DGT"/>
    <x v="0"/>
    <x v="0"/>
    <x v="0"/>
    <s v="16.5.2.2"/>
    <m/>
    <s v="Identyfikacja obszaru e-sportu w celu opracowania wstępnych założeń legislacyjnych oraz identyfikacja obszaru Interentu Rzeczy, w szczególności w energetyce, transporcie, rolnictwie i przemyśle;"/>
    <s v="Opracowanie materiałów pozwalajacych na efektywne prowadzenie działań zmierzających do popularyzacji i wdrażania innowacyjnych technologii w sektorze publicznym oraz analiz zwiazanych ze zmianami legislacyjnymi (Zamawianie badań, analiz i ekspertyz oraz prowadzenia ewaluacji polityk publicznych)"/>
    <n v="400"/>
    <n v="440"/>
    <n v="484"/>
    <m/>
    <m/>
    <s v="planowane"/>
    <m/>
    <m/>
    <m/>
    <m/>
  </r>
  <r>
    <x v="0"/>
    <x v="0"/>
    <s v="DGT"/>
    <x v="0"/>
    <x v="0"/>
    <x v="0"/>
    <s v="16.5.2.2"/>
    <m/>
    <s v="Doradztwo innstytucjom publicznym "/>
    <s v="Zatrudnienie ekspertów w ramach zapewnienia wspracia dla Ministerstwa Cyfryzacji i współpracujących instytucji publicznych (Opiniowanie i doradzanie instytucjom publicznym w zakresie rozpoznania potrzeb technologicznych)"/>
    <n v="750"/>
    <n v="825"/>
    <n v="908"/>
    <m/>
    <m/>
    <s v="planowane"/>
    <m/>
    <m/>
    <m/>
    <m/>
  </r>
  <r>
    <x v="0"/>
    <x v="0"/>
    <s v="DGT"/>
    <x v="0"/>
    <x v="0"/>
    <x v="0"/>
    <s v="16.5.2.2"/>
    <m/>
    <s v="Zakup narzędzi informatycznych i licencji niezbędnych do prowadzenia warsztatów "/>
    <s v="Zakup specjalistycznych narzędzi informatycznych i licencji wspomagajacych zespół w prowadzeniu warsztatów wewnętrznych i międzyinstytucjonalnych, prowadzących do wypracowania modelu pozyskiwania i wdrażania innowacji w sektorze publicznym  "/>
    <n v="20"/>
    <n v="22"/>
    <n v="24"/>
    <m/>
    <m/>
    <s v="planowane"/>
    <m/>
    <m/>
    <m/>
    <m/>
  </r>
  <r>
    <x v="0"/>
    <x v="0"/>
    <s v="DGT"/>
    <x v="0"/>
    <x v="0"/>
    <x v="0"/>
    <s v="16.5.1.2."/>
    <m/>
    <s v="Dotacja na wdrożenie i utrzymanie rozwiązania informatyczego "/>
    <s v="Zaprojektowanie i wdrożenie oraz utrzymanie i rozwój systemu służącego stworzeniu odpowiedniego zaplecza technicznego (platformy) w celu kompleksowej obsługi konkursów czy dialogów technicznych."/>
    <n v="1500"/>
    <n v="300"/>
    <n v="300"/>
    <m/>
    <m/>
    <s v="planowane"/>
    <m/>
    <m/>
    <m/>
    <m/>
  </r>
  <r>
    <x v="0"/>
    <x v="0"/>
    <s v="DP"/>
    <x v="0"/>
    <x v="0"/>
    <x v="0"/>
    <s v="22.1.1.1"/>
    <m/>
    <s v="zastępstwo procesowe"/>
    <s v="zabezpieczone koszty z tytułu zastępstwa procesowago w postępowaniu przed cypryjskim sądem na podstawie podpisanych umów. (Koszty umowy związane z zastępstwem procesowym w postępowaniu przed cypryjskim sądem)"/>
    <n v="90"/>
    <m/>
    <m/>
    <m/>
    <m/>
    <s v="umowa"/>
    <s v="umowa "/>
    <s v="835/DP/21 z dnia 22.06.2021r."/>
    <s v="DR.K.CHRYSOSTOMIDES &amp; CO. LLC, a Lawyers' Limited Company incorporated uder the laws of the Rrepublic of Cyprus"/>
    <s v="Przewidywanie kosztów na następne lata uzależnione są od dalszego postępowania"/>
  </r>
  <r>
    <x v="0"/>
    <x v="0"/>
    <s v="DP"/>
    <x v="0"/>
    <x v="0"/>
    <x v="0"/>
    <s v="22.1.1.1"/>
    <m/>
    <s v="tłumaczenia"/>
    <s v="zaplanowanie wydatków w ramach zakupu usług obejmujących tłumaczenia wynikają z zadań prawno-legislacyjnych realizowane w DP. (Zakup usług obejmujący tłumaczenia)"/>
    <n v="40"/>
    <n v="40"/>
    <n v="40"/>
    <n v="40"/>
    <n v="40"/>
    <s v="planowane"/>
    <s v="planowane"/>
    <m/>
    <m/>
    <s v="Przewidywanie kosztów na tłumaczenia uzależnione są od dalszego postępowania w cypryjskim sądzie."/>
  </r>
  <r>
    <x v="0"/>
    <x v="0"/>
    <s v="DP"/>
    <x v="15"/>
    <x v="0"/>
    <x v="0"/>
    <s v="22.1.1.1"/>
    <m/>
    <s v="dieta"/>
    <s v="zaplanowanie wydatków związanych z pracą Rzecznika Dyscyplinarnego. (Dieta dla rzecznika dyscyplinarnego)"/>
    <n v="2"/>
    <n v="2"/>
    <n v="2"/>
    <n v="2"/>
    <n v="2"/>
    <s v="planowane"/>
    <s v="planowane"/>
    <m/>
    <m/>
    <m/>
  </r>
  <r>
    <x v="0"/>
    <x v="0"/>
    <s v="DP"/>
    <x v="0"/>
    <x v="0"/>
    <x v="0"/>
    <s v="22.1.1.1"/>
    <m/>
    <s v="zakup książek"/>
    <s v="zaplanowanie wydatków na zakup ksiązek dla Departamentu Prawnego, w celu realizacji powierzanych zadań. (Zakup książek dotyczących pomocy prawnej i legislacji w DP)"/>
    <n v="5"/>
    <n v="5"/>
    <n v="5"/>
    <n v="5"/>
    <n v="5"/>
    <s v="planowane"/>
    <s v="planowane"/>
    <m/>
    <m/>
    <m/>
  </r>
  <r>
    <x v="0"/>
    <x v="0"/>
    <s v="DP"/>
    <x v="0"/>
    <x v="0"/>
    <x v="0"/>
    <s v="22.1.1.1"/>
    <m/>
    <s v="zakup usług"/>
    <s v="[LEX]zaplanowanie wydatków w ramach zakupu licencji na LEX wynika z potrzeby zapewnienia dodatkowego systemu informacji prawnej, oprócz SIP Legalis; zakup licencji do LEZ jest uzasadniony tym, że ten system posiada inną baże publikacji z obszaru prawa, niż wybrany przez COAR SIP Legalis (Zakup usługi obejmuje dostęp do informacji prawnej dla MC)"/>
    <n v="80"/>
    <n v="80"/>
    <n v="80"/>
    <n v="80"/>
    <n v="80"/>
    <s v="planowane"/>
    <s v="planowane"/>
    <m/>
    <m/>
    <m/>
  </r>
  <r>
    <x v="0"/>
    <x v="0"/>
    <s v="DP"/>
    <x v="0"/>
    <x v="0"/>
    <x v="0"/>
    <s v="22.1.1.1"/>
    <m/>
    <s v="zakup usług"/>
    <s v="zaplanowanie wydatków w ramach zakupu licencji SIP (w wyniku udzielenia centralnego zamówienia przez COAR) wynika z potrzeby zapewnienia Systemu Informacji Prawnej dla MC (Zakup usługi obejmuje dostęp do informacji prawnej dla MC)"/>
    <n v="60"/>
    <n v="60"/>
    <n v="60"/>
    <n v="60"/>
    <n v="60"/>
    <s v="planowane"/>
    <s v="planowane"/>
    <m/>
    <m/>
    <m/>
  </r>
  <r>
    <x v="0"/>
    <x v="0"/>
    <s v="DPiS"/>
    <x v="24"/>
    <x v="3"/>
    <x v="0"/>
    <s v="16.5.1.2."/>
    <m/>
    <s v="Utrzymanie Systemu Inwentaryzacji Systemów Teleinformatycznych (SIST) i przeprowadzenie dwóch inwentaryzacji"/>
    <s v="Utrzymanie Systemu Inwentaryzacji Systemów Teleinformatycznych (SIST) i przeprowadzenie do dwóch inwentaryzacji (dalej zwane także: Zadaniem) Dane zbierane dzięki formularzom ankietowym zamieszczonym w SIST służą bezpośrednio Ministrowi Cyfryzacji do wsparcia procesów planistycznych oraz założeń programowych Wspólnej Infrastruktury Informatycznej Państwa i Architektury Informacyjnej Państwa. Wyniki Inwentaryzacji SIST są źródłem aktualnej informacji o systemach, rejestrach, które prowadzone są przez administrację publiczną."/>
    <n v="1000"/>
    <n v="1100"/>
    <n v="1133"/>
    <n v="1167"/>
    <n v="1202"/>
    <s v="podpisana umowa"/>
    <m/>
    <s v="Umowa dotacji nr 169/DPiS/24"/>
    <s v="Instytut Łączności - Państwowy Instytut Badawczy"/>
    <s v="Aktualnie obowiązująca umowa. Planowane jest zawarcie umów na kolejne lata."/>
  </r>
  <r>
    <x v="0"/>
    <x v="0"/>
    <s v="DPiS"/>
    <x v="0"/>
    <x v="0"/>
    <x v="0"/>
    <s v="16.5.1.2."/>
    <m/>
    <s v="Aris - odnowienie wsparcia technicznego dla systemu modelowania architektury ARIS, usługi utrzymania, zapewnienie wsparcia ekspertów do konsultracji w zakresie funkcjonalności "/>
    <s v="Oprogramowanie wspierajace zbieranie informacji o infrastrukturze informatycznej kraju, umożliwiające przygotowanie planów optymalizacyjnych. Ponadto dostarcza dane do analiz w zakresie infrastruktury informatycznej. Długofalowym efektem będzie rozwój Architektury Informacyjnej Państwa adaptującej się do zmieniających ról poszczególnych organów państwowych."/>
    <n v="239"/>
    <n v="290"/>
    <n v="300"/>
    <n v="310"/>
    <n v="320"/>
    <s v="podpisana umowa"/>
    <m/>
    <s v="Umowa nr 82/DPiS/24"/>
    <s v="Ateris Spółka Akcyjna, z siedzibą w Poznaniu, adres: 60-622 Poznań, ul. Warmińska 1"/>
    <s v="Aktualnie obowiązująca umowa. Planowane jest zawarcie umów na kolejne lata."/>
  </r>
  <r>
    <x v="0"/>
    <x v="0"/>
    <s v="DPiS"/>
    <x v="0"/>
    <x v="0"/>
    <x v="0"/>
    <s v="16.5.1.2."/>
    <m/>
    <s v="Świadczenie specjalistycznych usług z zakresu IT "/>
    <s v="BL AIP - opracowanie koncepcji rozwiązań architektonicznych, współpracą z jednostkami administracji publicznej w zakresie opracowania architektury informacyjnej danej jednostki, prowadzeniem spraw związanych z zapewnieniem interoperacyjności systemów teleinformatycznych podmiotów publicznych oraz trzymaniem repozytorium AIP niezbędne jest wsparcie eksperckie architektów oraz analityków systemowych.  _x000a__x000a_Zgodnie z nowym zarządzeniem dot. KRMC wszystkie projekty informatyczne będą miały obowiązek konsultacji z AIP. "/>
    <n v="1123"/>
    <n v="915"/>
    <s v="-"/>
    <s v="-"/>
    <s v="-"/>
    <s v="podpisana umowa"/>
    <m/>
    <s v="Umowa nr 94/DPiS/24"/>
    <s v="Transition Technologies-Software sp. z o.o. z siedzibą w Warszawie"/>
    <m/>
  </r>
  <r>
    <x v="0"/>
    <x v="0"/>
    <s v="DPiS"/>
    <x v="24"/>
    <x v="3"/>
    <x v="0"/>
    <s v="16.5.1.2."/>
    <m/>
    <s v="Utrzymanie i rozwój Architektury Informacyjnej Państwa"/>
    <s v="Celem realizacji zadania jest kontynuacja działań związanych z poprawą bezpieczeństwa państwa oraz wsparcie zadań zintegrowanej informatyzacji poprzez uzyskanie ładu architektonicznego w administracji państwowej w obrębie rozwiązań teleinformatycznych zorientowanych na świadczenie usług na rzecz społeczeństwa oraz zapewniających funkcjonowanie administracji. Zadania te nie zostały powierzone i nie są realizowane przez żaden inny organ państwa ani jednostkę organizacyjną Ministerstwa. Prace nad AIP wpisują się w strategiczną inicjatywę Unii Europejskiej dot. zapewnienia interoperacyjności publicznych usług elektronicznych na obszarze UE, której wdrożenie w Polsce wspiera Minister Cyfryzacji. Przy realizacji zadania uwzględnione zostaną wytyczne w tym zakresie wypracowane w ramach programu ISA (Interoperability Solutions for Administration), w tym przede wszystkim architektura referencyjna EIRA (European Interoperability Reference Architecture)."/>
    <n v="3991"/>
    <n v="5487"/>
    <n v="6035"/>
    <n v="6600"/>
    <n v="7200"/>
    <s v="podpisana umowa"/>
    <m/>
    <s v="Umowa dotacji nr 114/DPiS/24_x000a__x000a_ "/>
    <s v="Naukowa i Akademicka Sieci Komputerowa – Państwowy Instytut Badawczy"/>
    <s v="Aktualnie obowiązująca umowa. Planowane jest zawarcie umów na kolejne lata."/>
  </r>
  <r>
    <x v="0"/>
    <x v="0"/>
    <s v="DPiS"/>
    <x v="24"/>
    <x v="3"/>
    <x v="0"/>
    <s v="16.5.1.2."/>
    <m/>
    <s v="EDIC "/>
    <s v="Dotacja na zadania związane z realizacją EDIC. EDIC jest instrumentem dla państw członkowskich umożliwiającym osiągnięcie ogólnych celów w ramach program „Droga ku cyfrowej dekadzie” do 2030 r. w celu przyspieszenia i uproszczenia tworzenia i realizacji projektów wielokrajowych. EDIC realizuje projekt wielokrajowy, wdrażając wspólną infrastrukturę, świadcząc usługi i łącząc podmioty publiczne, podmioty prywatne, użytkowników końcowych i przemysł, zgodnie z wolą państw. "/>
    <n v="1932"/>
    <n v="1932"/>
    <n v="1932"/>
    <n v="1932"/>
    <s v="-"/>
    <s v="planowane"/>
    <m/>
    <m/>
    <m/>
    <s v="BBF - EDIC jest też w DBI"/>
  </r>
  <r>
    <x v="0"/>
    <x v="0"/>
    <s v="DPiS"/>
    <x v="32"/>
    <x v="0"/>
    <x v="0"/>
    <s v="16.5.2.2"/>
    <m/>
    <s v="EDIC "/>
    <s v="Składka członkowska w organizacji. EDIC jest instrumentem dla państw członkowskich umożliwiającym osiągnięcie ogólnych celów w ramach program „Droga ku cyfrowej dekadzie” do 2030 r. w celu przyspieszenia i uproszczenia tworzenia i realizacji projektów wielokrajowych. EDIC realizuje projekt wielokrajowy, wdrażając wspólną infrastrukturę, świadcząc usługi i łącząc podmioty publiczne, podmioty prywatne, użytkowników końcowych i przemysł, zgodnie z wolą państw."/>
    <n v="158"/>
    <n v="158"/>
    <n v="158"/>
    <n v="158"/>
    <s v="-"/>
    <s v="planowane"/>
    <m/>
    <m/>
    <m/>
    <s v="BBF - EDIC jest też w DBI"/>
  </r>
  <r>
    <x v="0"/>
    <x v="0"/>
    <s v="DPiS"/>
    <x v="24"/>
    <x v="3"/>
    <x v="0"/>
    <s v="16.5.1.2."/>
    <m/>
    <s v="Rozwój systemu MonAliZa 2.0"/>
    <s v="Prace rozwojowe systemu MonAliZa 2.0 w zakresie wsparcia monitorowania i zarządzania projektami, programami i portfelami zgodnie z oczekiwaniami interesariuszy oraz jego stabilizacja._x000a_W ramach prac zostaną wykonane: _x000a_- modyfikacje istniejących i tworzenie nowych funkcjonalności zapewniających kompleksowość monitorowania i zarządzania projektami, programami i portfelami,_x000a_- stabilizacja systemu."/>
    <n v="2671"/>
    <n v="6383"/>
    <n v="3083"/>
    <n v="3083"/>
    <n v="2200"/>
    <s v="procedowana umowa na 2024 / planowane na lata następne"/>
    <m/>
    <m/>
    <m/>
    <s v="BBF 4 100 Rozwój systemu MonAliZa 2.0 jest też w DBI"/>
  </r>
  <r>
    <x v="0"/>
    <x v="0"/>
    <s v="DPiS"/>
    <x v="24"/>
    <x v="3"/>
    <x v="0"/>
    <s v="16.5.1.2."/>
    <m/>
    <s v="Utrzymanie systemu Monaliza 2.0 "/>
    <s v="Techniczne utrzymanie, w tym tzw &quot;mały&quot; rozwój (nieobejmujący zmiany lub rozbudowy funckjonalności) modułów systemu Monaliza po ich wdrożeniu"/>
    <n v="1000"/>
    <n v="2500"/>
    <n v="3000"/>
    <n v="3000"/>
    <n v="3000"/>
    <s v="podpisana"/>
    <m/>
    <s v="1630/DAIP/2022"/>
    <s v="Instytut Łączności - Państwowy Instytut Badawczy"/>
    <s v="Aktualnie obowiązująca umowa. Planowane jest zawarcie umów na kolejne lata."/>
  </r>
  <r>
    <x v="0"/>
    <x v="0"/>
    <s v="DPiS"/>
    <x v="0"/>
    <x v="0"/>
    <x v="0"/>
    <s v="16.5.1.2."/>
    <m/>
    <s v="Rozwój systemu MonAliZa 2.0 "/>
    <s v="Prace rozwojowe systemu MonAliZa 2.0 w zakresie wsparcia monitorowania i zarządzania projektami, programami i portfelami zgodnie z oczekiwaniami interesariuszy oraz jego stabilizacja._x000a_W ramach prac zostaną wykonane: _x000a_- opracowanie koncepcji, założen oraz dokumentacji dla modyfikacji istniejących i tworzenia nowych funkcjonalności zapewniających kompleksowość monitorowania i zarządzania projektami, programami i portfelami."/>
    <n v="800"/>
    <n v="1200"/>
    <s v="-"/>
    <s v="-"/>
    <s v="-"/>
    <s v="podpisana umowa"/>
    <m/>
    <s v="112/DPIS/24"/>
    <s v="Britenet"/>
    <s v="BBF 600 Rozwój systemu MonAliZa 2.0 jest też w DBI"/>
  </r>
  <r>
    <x v="0"/>
    <x v="0"/>
    <s v="DPiS"/>
    <x v="15"/>
    <x v="0"/>
    <x v="0"/>
    <s v="16.5.1.2."/>
    <m/>
    <s v="Obsługa KRMC "/>
    <s v="Zatrudnienie ekspretów w ramach działań związanych z obsługą KRMC - opiniowanie projektów KRMC"/>
    <n v="600"/>
    <n v="1200"/>
    <n v="1200"/>
    <n v="1200"/>
    <n v="1200"/>
    <s v="planowane"/>
    <m/>
    <m/>
    <m/>
    <s v="BBF 600 Obsługa KRMC jest też w DBI"/>
  </r>
  <r>
    <x v="0"/>
    <x v="0"/>
    <s v="DPiS"/>
    <x v="24"/>
    <x v="3"/>
    <x v="0"/>
    <s v="16.5.1.2."/>
    <m/>
    <s v="Rozwój systemu MonAliZa 2.0 "/>
    <s v="Testy (audyty) bezpieczeństwa systemu MonAliZa 2.0"/>
    <n v="550"/>
    <s v="-"/>
    <n v="550"/>
    <s v="-"/>
    <n v="550"/>
    <s v="planowane"/>
    <m/>
    <m/>
    <s v="NASK"/>
    <s v="BBF - Rozwój systemu MonAliZa 2.0 jest też w DBI"/>
  </r>
  <r>
    <x v="0"/>
    <x v="0"/>
    <s v="DPiS"/>
    <x v="0"/>
    <x v="0"/>
    <x v="0"/>
    <s v="16.5.1.2."/>
    <m/>
    <s v="Współpraca z samorządami - budowa jednego punktu kontaktu PKJST"/>
    <s v="Opracowanie wymagań oraz wsparcie analityczne modyfikacji, uzupełnienia  portalu samorzad.gov.pl, pod kątem utworzenia jednego punktu kontaktu z JST w celu wsparcia koordynacji współpracy administracji rządowej z samorządową oraz wdrażania AIP w JST i jego utrzymanie"/>
    <n v="1200"/>
    <n v="1000"/>
    <n v="1000"/>
    <n v="1000"/>
    <n v="1000"/>
    <s v="podpisana umowa"/>
    <m/>
    <s v="112/DPIS/24"/>
    <s v="Britenet"/>
    <s v="BBF 700 Współpraca z samorządami - budowa jednego punktu kontaktu PKJST jest też w DBI"/>
  </r>
  <r>
    <x v="0"/>
    <x v="0"/>
    <s v="DPiS"/>
    <x v="0"/>
    <x v="0"/>
    <x v="0"/>
    <s v="16.5.1.2."/>
    <m/>
    <s v="Obsługa KRMC "/>
    <s v="Obsluga posiedzeń Komitetu Rady Ministrów do spraw Cyfryzacji"/>
    <n v="80"/>
    <n v="20"/>
    <n v="20"/>
    <n v="20"/>
    <n v="20"/>
    <s v="planowane"/>
    <m/>
    <m/>
    <m/>
    <s v="BBF 3 Obsługa KRMC jest też w DBI"/>
  </r>
  <r>
    <x v="0"/>
    <x v="0"/>
    <s v="DPiS"/>
    <x v="0"/>
    <x v="0"/>
    <x v="0"/>
    <s v="16.5.1.2."/>
    <m/>
    <s v="Utrzymanie systemu Monaliza 2.0 "/>
    <s v="Zakup certyfikatów do podłączenia się do Węzła Krajowego (3 lata) systemu MonALiZa 2.0"/>
    <n v="2"/>
    <n v="2"/>
    <n v="3"/>
    <n v="3"/>
    <n v="3"/>
    <s v="planowane"/>
    <m/>
    <m/>
    <m/>
    <s v="BBF 2 Utrzymanie systemu Monaliza 2.0 jest też w DBI"/>
  </r>
  <r>
    <x v="0"/>
    <x v="0"/>
    <s v="DPiS"/>
    <x v="0"/>
    <x v="0"/>
    <x v="0"/>
    <s v="16.5.1.2."/>
    <m/>
    <s v="Utrzymanie systemu Monaliza 2.0 "/>
    <s v="Zakup certyfikatów do podłączenia się do Węzła Krajowego (3 lata) systemu MonALiZa 2.0"/>
    <n v="2"/>
    <s v="-"/>
    <s v="-"/>
    <n v="2"/>
    <s v="-"/>
    <s v="planowane"/>
    <m/>
    <m/>
    <m/>
    <s v="BBF - Utrzymanie systemu Monaliza 2.0 jest też w DBI"/>
  </r>
  <r>
    <x v="0"/>
    <x v="0"/>
    <s v="DPiS"/>
    <x v="0"/>
    <x v="0"/>
    <x v="0"/>
    <s v="16.5.1.2."/>
    <m/>
    <s v="Współpraca z samorządami"/>
    <s v="Opracowanie i realizacja badań oraz doradztwo eksperckie dotyczącee zakresu i jakości procesów cyfryzacją administracji samorządowej"/>
    <n v="100"/>
    <n v="200"/>
    <n v="100"/>
    <n v="100"/>
    <n v="100"/>
    <s v="planowane"/>
    <m/>
    <m/>
    <m/>
    <s v="BBF 200 Współpraca z samorządami jest też w DBI"/>
  </r>
  <r>
    <x v="0"/>
    <x v="0"/>
    <s v="DPiS"/>
    <x v="0"/>
    <x v="0"/>
    <x v="0"/>
    <s v="16.5.1.2."/>
    <m/>
    <s v="Współpraca z samorządami"/>
    <s v="Organizacja konferencji, seminariów oraz spotkań w zakrsie koordynacji działań administracji rządowej z samrządową"/>
    <n v="300"/>
    <n v="300"/>
    <n v="300"/>
    <n v="300"/>
    <n v="300"/>
    <s v="planowane"/>
    <m/>
    <m/>
    <m/>
    <s v="BBF 300 Współpraca z samorządami jest też w DBI"/>
  </r>
  <r>
    <x v="0"/>
    <x v="0"/>
    <s v="DPiS"/>
    <x v="0"/>
    <x v="0"/>
    <x v="0"/>
    <s v="16.5.1.2."/>
    <m/>
    <s v="Usługa tłumacza"/>
    <s v="Usług zapewnienia tłumacza w ramach realizowanych spotkań z Komisją Europejską, w zakresie realizacji funkcji koordynacji działań mająch na celu realizację wytycznych Krajowego Planu Odbudowy - KPO."/>
    <n v="5"/>
    <n v="5"/>
    <n v="5"/>
    <n v="5"/>
    <n v="5"/>
    <s v="planowane"/>
    <m/>
    <m/>
    <m/>
    <s v="Umowa MC na tłumaczenia"/>
  </r>
  <r>
    <x v="0"/>
    <x v="0"/>
    <s v="DPiS"/>
    <x v="0"/>
    <x v="0"/>
    <x v="0"/>
    <s v="16.5.1.2."/>
    <m/>
    <s v="Tworzenie materiałów i sprawozdań dotyczących dialogu społecznego i społeczeństwa obywatelskiego"/>
    <s v="ekspertyzy, badania i analizy oczekiwań społeczeństwa obywatelskiego powiązane z działaniami w obszarze partycypacji społecznej w obrębie prac nad dokumentami legislacyjnymi i pozalegislacyjnymi"/>
    <m/>
    <n v="300"/>
    <n v="300"/>
    <n v="300"/>
    <n v="300"/>
    <s v="planowane"/>
    <m/>
    <m/>
    <m/>
    <s v="BBF - Tworzenie materiałów i sprawozdań dotyczących dialogu społecznego i społeczeństwa obywatelskiego jest też w DBI"/>
  </r>
  <r>
    <x v="0"/>
    <x v="0"/>
    <s v="DPiS"/>
    <x v="0"/>
    <x v="0"/>
    <x v="0"/>
    <s v="16.5.1.2."/>
    <m/>
    <s v="Działania informacyjno-promocyjne w obszarze dialogu społecznego"/>
    <s v="zakup materiałów informacyjnych, gadżetów związanych z promocją dialogu społecznego i konsultacji publicznych"/>
    <n v="20"/>
    <n v="20"/>
    <n v="20"/>
    <n v="20"/>
    <n v="20"/>
    <s v="planowane"/>
    <m/>
    <m/>
    <m/>
    <s v="BBF - Działania informacyjno-promocyjne w obszarze dialogu społecznego jest też w DBI"/>
  </r>
  <r>
    <x v="0"/>
    <x v="0"/>
    <s v="DPiS"/>
    <x v="0"/>
    <x v="0"/>
    <x v="0"/>
    <s v="16.5.1.2."/>
    <m/>
    <s v="Prowadzenie konsultacji społecznych w procesie stanowienia prawa oraz projektów działań pozalegislacyjnych zgodnie z zasadami partycypacji społecznej"/>
    <s v="Organizacja konferencji, seminariów oraz spotkań konsultacyjnych, w tym spotkań branżowych, tworzenie dobrych praktyk w obszarze dialogu społecznego i konsultacji publicznych"/>
    <m/>
    <n v="300"/>
    <n v="300"/>
    <n v="300"/>
    <n v="300"/>
    <s v="planowane"/>
    <m/>
    <m/>
    <m/>
    <s v="BBF - Prowadzenie konsultacji społecznych w procesie stanowienia prawa oraz projektów działań pozalegislacyjnych zgodnie z zasadami partycypacji społecznej jest też w DBI"/>
  </r>
  <r>
    <x v="0"/>
    <x v="0"/>
    <s v="DPiS"/>
    <x v="0"/>
    <x v="0"/>
    <x v="0"/>
    <s v="16.5.1.2."/>
    <m/>
    <s v="Zaprojektowanie i wdrożenie oraz utrzymanie i rozwój systemu służącego ułatwieniu komunikacji w obszarze dialogu społecznego i konsultacji publicznych"/>
    <s v="Realizacja zadania wspiera tworzenie dobrych praktyk i umacnianie roli konsultacji społecznych w życiu publicznym. Ponadto dostarczy dane do analiz w zakresie dialogu społecznego, oczekiwań społeczeństwa informacyjnego oraz rekomendacji do prac nad dokumentami legislacyjnymi i pozalegislacyjnymi."/>
    <m/>
    <n v="300"/>
    <n v="300"/>
    <s v="-"/>
    <s v="-"/>
    <s v="planowane"/>
    <m/>
    <m/>
    <m/>
    <s v="BBF - Zaprojektowanie i wdrożenie oraz utrzymanie i rozwój systemu służącego ułatwieniu komunikacji w obszarze dialogu społecznego i konsultacji publicznych jest też w DBI"/>
  </r>
  <r>
    <x v="0"/>
    <x v="0"/>
    <s v="DPiS"/>
    <x v="24"/>
    <x v="3"/>
    <x v="0"/>
    <s v="16.5.1.2."/>
    <m/>
    <s v="Monitorowanie realizacji celów strategii cyfryzacji"/>
    <s v="W MC trwają prace nad nowym dokumentem starategicznym w obszarze cyfryzacji, po przyjęciu którego konieczne będzie monitorowanie stopnia realizacji założonych celów oraz efektywności wprowadzanych zmian. Istniejące obecnie źródła danych nie są wystarczająco dostosowane do potrzeb"/>
    <n v="300"/>
    <n v="300"/>
    <n v="300"/>
    <n v="300"/>
    <n v="300"/>
    <s v="planowane"/>
    <m/>
    <m/>
    <s v="Polski Instytut Ekonomiczny"/>
    <s v="BBF - Monitorowanie realizacji celów strategii cyfryzacji jest też w DBI"/>
  </r>
  <r>
    <x v="0"/>
    <x v="0"/>
    <s v="DPiS"/>
    <x v="0"/>
    <x v="0"/>
    <x v="0"/>
    <s v="16.5.1.2."/>
    <m/>
    <s v="Obsługa prawna"/>
    <s v="W związku z prowadzonymi postępowaniami administracyjnymi niezbędne jest zapewnienie obsługi prawnej oraz zastępstwa procesowego."/>
    <n v="100"/>
    <n v="200"/>
    <n v="200"/>
    <s v="-"/>
    <s v="-"/>
    <s v="planowane"/>
    <m/>
    <m/>
    <m/>
    <s v="BBF - Obsługa prawna jest też w DBI"/>
  </r>
  <r>
    <x v="0"/>
    <x v="0"/>
    <s v="DPiS"/>
    <x v="0"/>
    <x v="0"/>
    <x v="0"/>
    <s v="16.5.1.2."/>
    <m/>
    <s v="Opracowanie graficzne, tłumaczenie i wydruk Strategii cyfryzacji"/>
    <s v="Nowy dokument strategiczny zostanie przyjęty na przełomie 2024/2025. Po akceptacji treści przez RM, konieczne będzie dostosowanie jego formy graficznej oraz tłumaczenie na potrzeby odbiorców zagranicznych "/>
    <n v="30"/>
    <s v="-"/>
    <s v="-"/>
    <s v="-"/>
    <s v="-"/>
    <s v="planowane"/>
    <m/>
    <m/>
    <m/>
    <s v="BBF - Opracowanie graficzne, tłumaczenie i wydruk Strategii cyfryzacji jest też w DBI"/>
  </r>
  <r>
    <x v="0"/>
    <x v="0"/>
    <s v="DPiS"/>
    <x v="0"/>
    <x v="0"/>
    <x v="0"/>
    <s v="16.5.1.2."/>
    <m/>
    <s v="CIO meeting w ramach prezydencji PL w radzie UE"/>
    <s v="Koszty organizacji spotkania w Gdańsku - dodatkowe koszty eventowe"/>
    <n v="50"/>
    <s v="-"/>
    <s v="-"/>
    <s v="-"/>
    <s v="-"/>
    <s v="planowane"/>
    <m/>
    <m/>
    <m/>
    <s v="BBF - CIO meeting w ramach prezydencji PL w radzie UE jest też w DBI"/>
  </r>
  <r>
    <x v="0"/>
    <x v="0"/>
    <s v="DT"/>
    <x v="24"/>
    <x v="3"/>
    <x v="0"/>
    <s v="6.3.1.4"/>
    <m/>
    <s v="finansowanie realizacji zadań ustawowych operatora OSE w związku z wdrażaniem Ogólnopolskiej Sieci Edukacyjnej - dotacja dla NASK -PIB, wydatki bieżące."/>
    <s v="Na podstawie art. 10 ust. 1 i art. 15 ust. 1 ustawy z dnia 27 października 2017 r. o Ogólnopolskiej Sieci Edukacyjnej (t.j. Dz. U. z 2022 r. poz. 2454), w związku z art. 150 ustawy z dnia 27 sierpnia 2009 r. o finansach publicznych (Dz. U. z 2023 r. poz. 1270, z późn. zm.), Minister Cyfryzacji planuje udzielić Naukowej i Akademickiej Sieci Komputerowej – Państwowemu Instytutowi Badawczemu dotacji celowej na finansowanie wykonywania przez NASK-PIB zadań operatora OSE. W 2025 r. przewiduje się m.in.:_x000a_1) wydatki na utrzymanie łączy telekomunikacyjnych, wykorzystywanych przez operatora OSE do świadczenia bezpłatnych usług szkołom ;_x000a_2) wydatki na utrzymanie i rozwój usług bezpieczeństwa sieciowego i teleinformatycznego świadczonych szkołom;_x000a_3) wydatki na działalność edukacyjną prowadzoną w ramach OSE;_x000a_4) wydatki własne operatora OSE, m.in.na utrzymanie personelu operatora OSE._x000a_"/>
    <n v="163500"/>
    <n v="163500"/>
    <n v="163500"/>
    <n v="163500"/>
    <n v="163500"/>
    <s v="planowane"/>
    <s v="planowane"/>
    <m/>
    <s v="NASK"/>
    <m/>
  </r>
  <r>
    <x v="0"/>
    <x v="0"/>
    <s v="DT"/>
    <x v="25"/>
    <x v="1"/>
    <x v="0"/>
    <s v="6.3.1.4"/>
    <m/>
    <s v="finansowanie realizacji zadań ustawowych operatora OSE w związku z wdrażaniem Ogólnopolskiej Sieci Edukacyjnej - dotacja dla NASK -PIB, wydatki inwestycyjne"/>
    <s v="Wydatki inwestycyjne w ramach dotacji celowej, o której mowa w 2 wierszu. W 2025 r. przewiduje się m.in.: wydatki inwestycyjne przeznaczone m.in. na odtworzenie elementów infrastruktury sieci szkieletowej OSE, zakup systemu SWG zapewniającego kontrolę treści w dostępie do Internetu dla szkół, zakup systemu Cyber Assessment, wymianę urządzeń abonenckich w szkołach."/>
    <n v="500"/>
    <n v="500"/>
    <n v="500"/>
    <n v="500"/>
    <n v="500"/>
    <s v="planowane"/>
    <s v="planowane"/>
    <m/>
    <s v="NASK"/>
    <m/>
  </r>
  <r>
    <x v="0"/>
    <x v="0"/>
    <s v="DT"/>
    <x v="24"/>
    <x v="3"/>
    <x v="0"/>
    <s v="6.3.1.4"/>
    <m/>
    <s v="dotacja celowa dla IŁ-PIB - wydatki bieżące"/>
    <s v="Na podstawie art. 150 w zw. z art. 127 ust. 1 pkt 1 ustawy z dnia 27 sierpnia 2009 r. o  finansach publicznych (Dz. U. z 2023 r. poz. 1270, z późn. zm.) oraz art. 37 ust. 1 ustawy z dnia 30 kwietnia 2010 r. o instytutach badawczych (Dz. U. z 2024 r. poz. 534, z późn. zm.), Minister Cyfryzacji planuje udzielić dotacji celowej dla Instytutu Łączności – Państwowego Instytutu Badawczego na finansowanie realizacji zadania pn. „Zapewnienie łączności satelitarnej na potrzeby wsparcia jednostek sektora finansów publicznych i innych podmiotów w wykonywaniu ich zadań publicznych”. "/>
    <n v="1866"/>
    <n v="1866"/>
    <n v="1866"/>
    <n v="1866"/>
    <n v="1866"/>
    <s v="planowane"/>
    <s v="planowane"/>
    <m/>
    <s v="IŁ-PIB"/>
    <m/>
  </r>
  <r>
    <x v="0"/>
    <x v="0"/>
    <s v="DT"/>
    <x v="24"/>
    <x v="3"/>
    <x v="0"/>
    <s v="6.3.1.4"/>
    <m/>
    <s v="Dotacja celowa  dla Instytutu Łączności - Państwowego Instytutu Badawczego - wydatki bieżące"/>
    <s v="Na podstawie art. 150 w zw. z art. 127 ust. 1 pkt 1 ustawy z dnia 27 sierpnia 2009 r. o finansach publicznych (Dz. U. z 2023 r. poz. 1270, z późn. zm.) oraz art. 21 ust. 6 ustawy z dnia 30 kwietnia 2010 r. o instytutach badawczych (Dz. U. z 2024 r. poz. 534, z późn. zm.), Minister Cyfryzacji planuje udzielić dotacji celowej dla Instytutu Łączności – Państwowego Instytutu Badawczego na finansowanie realizacji w sposób ciągły prac badawczych i rozwojowych w obszarze dotyczącym rozwoju telekomunikacji, zgodnie z zakresem merytorycznym zadań określonych w art. 22 ww. ustawy instytutach badawczych, planowany wstępny zakres pracy:_x000a_a)_x0009_pomiary poziomów pól elektromagnetycznych (PEM) wytwarzanych przez stacje bazowe telefonii komórkowej,_x000a_b)_x0009_organizacja międzynarodowej Konferencji naukowej na temat telekomunikacji,_x000a_c)_x0009_  wsparcie w zakresie utrzymania systemu SI2PEM,_x000a_d)_x0009_wsparcie w zakresie współpracy krajowej i międzynarodowej dotyczącej gospodarki i  inżynierii widma radiowego w ramach CEPT, ITU i Administracji Polski,_x000a_e)_x0009_wsparcie merytoryczne, naukowe, badawcze i techniczne w zakresie satelitarnych systemów radionawigacyjnych i radiokomunikacyjnych, w tym przy analizie dokumentów technicznych będących przedmiotem prac grup/rad funkcjonujących w ramach ESA, EUSPA, UE zajmujących się ww. tematyką,_x000a_f)_x0009_prace badawczo-rozwojowe nad technologią szóstej generacji (6G) ─ analiza możliwości wykorzystania w Polsce\wsparcie merytoryczne, naukowe i badawcze dla administracji,_x000a_g)_x0009_wsparcie merytoryczne w zakresie nowelizacji aktów prawnych (rozporządzeń technicznych) z obszaru telekomunikacji,_x000a_h)_x0009_utrzymanie Systemu Informatycznego do spraw Monitorowania, Badania i Analiz (SIMBA)."/>
    <n v="12950"/>
    <n v="12580"/>
    <n v="12540"/>
    <n v="12900"/>
    <n v="12900"/>
    <s v="planowane"/>
    <s v="planowane"/>
    <m/>
    <s v="IŁ-PIB"/>
    <m/>
  </r>
  <r>
    <x v="0"/>
    <x v="0"/>
    <s v="DT"/>
    <x v="25"/>
    <x v="1"/>
    <x v="0"/>
    <s v="6.3.1.4"/>
    <m/>
    <s v="Dotacja celowa  dla Instytutu Łączności - Państwowego Instytutu Badawczego - wydatki inwestycyjne"/>
    <s v="Wydatki inwestycyjne w ramach dotacji celowej, o której mowa w 5 wierszu. W 2025 r. wydatki będą przeznaczone na rozbudowę stacjonarnego monitoringu w ramach kampanii pomiarowej poziomów pól elektromagnetycznych (PEM) poprzez zakup stacji do stacjonarnego monitoringu PEM, rozwój komponentów Polskiego Systemu Monitorowania Galileo - w szczególności systemu Mobilny System Pomiarowy GNSS Galileo (MSP2G) poprzez doposażenie samochodu pomiarowego oraz wyposażenie serwerowni zapasowej niezbędnej do utrzymania systemów w razie awarii serwerowni głównej, w tym zakup serwerów, macierzy, szaf serwerowych, przewodów sieciowych, oprogramowania zabezpieczającego. "/>
    <n v="1450"/>
    <n v="420"/>
    <n v="460"/>
    <n v="100"/>
    <n v="100"/>
    <s v="planowane"/>
    <s v="planowane"/>
    <m/>
    <s v="IŁ-PIB"/>
    <m/>
  </r>
  <r>
    <x v="0"/>
    <x v="0"/>
    <s v="DT"/>
    <x v="0"/>
    <x v="0"/>
    <x v="0"/>
    <s v="6.3.1.1"/>
    <m/>
    <s v="Działania edukacyjne i informacyjne"/>
    <s v="Mając na uwadze zadania DT oraz prace nad nowymi unijnymi regulacjami dotyczącymi ochrony prywatności i danych w komunikacji elektronicznej oraz stale rozwijające się usługi komunikacji elektronicznej, a co za tym idzie wzrost zagrożeń prywatności i danych podczas korzystania z tych usług, konieczne jest prowadzenie akcji edukacyjnych i informacyjnych dla użytkowników końcowych na temat takich zagrożeń oraz podejmowanie działań mających na celu ochronę ich interesów. Akcje takie mogą obejmować m.in. wydawanie ulotek, poradników, spotów, organizowanie warsztatów._x000a_Ponadto, w związku z planowanymi pracami nad projektem ustawy o ochronie małoletnich przed dostępem do treści szkodliwych w internecie, konieczne mogą być przewidziane ustawą działania edukacyjno-informacyjne ministra informatyzacji w zakresie zwiększania świadomości na temat szkodliwych skutków dostępu małoletnich do treści dla nich szkoldiwych w internecie."/>
    <n v="200"/>
    <n v="0"/>
    <n v="0"/>
    <n v="0"/>
    <n v="0"/>
    <s v="planowane"/>
    <s v="planowane"/>
    <m/>
    <s v="nd"/>
    <m/>
  </r>
  <r>
    <x v="0"/>
    <x v="0"/>
    <s v="DT"/>
    <x v="0"/>
    <x v="0"/>
    <x v="0"/>
    <s v="6.3.1.1"/>
    <m/>
    <s v="organizacja wydarzenia COM-ITU"/>
    <s v="Polska recepcja w trakcie WSIS Forum. Ministerstwo Cyfryzacji wraz z Urzędem Komunikacji Elektronicznej, we współpracy ze Stałym Przedstawicielstwem RP przy Biurze Narodów Zjednoczonych w Genewie, corocznie współorganizuje Wydarzenie towarzyszące Forum Światowego Szczytu Społeczeństwa Informacyjnego (WSIS). "/>
    <n v="250"/>
    <n v="0"/>
    <n v="0"/>
    <n v="0"/>
    <n v="0"/>
    <s v="planowane"/>
    <s v="planowane"/>
    <m/>
    <s v="nd"/>
    <m/>
  </r>
  <r>
    <x v="0"/>
    <x v="0"/>
    <s v="DT"/>
    <x v="28"/>
    <x v="0"/>
    <x v="0"/>
    <s v="6.3.1.1"/>
    <m/>
    <s v="składki do organizacji międzynarodowych"/>
    <s v="Obowiązek uiszczania składek do organizacji międzynarodowych wynikający z członkostwa RP w tych organizacjach."/>
    <n v="1650"/>
    <n v="1650"/>
    <n v="1650"/>
    <n v="1650"/>
    <n v="1650"/>
    <s v="wystąpienie MF"/>
    <m/>
    <m/>
    <s v="nd"/>
    <m/>
  </r>
  <r>
    <x v="0"/>
    <x v="0"/>
    <s v="DT"/>
    <x v="30"/>
    <x v="0"/>
    <x v="0"/>
    <s v="6.3.1.4"/>
    <m/>
    <s v=" podatek VAT w wydatkach z KPO"/>
    <s v="W ramach wydatków budżetowych związanych z wdrażaniem inwestycji Krajowego Planu Odbudowy i Zwiększania Odporności przewiduje się wydatki na pokrycie udziału podatku VAT  w ramach realizacji Wniosku o udzielenie zamówienia publicznego numer 85/DT/24 na usługę przeprowadzenia analizy efektów interwencji w ramach inwestycji C.1.1.1 Krajowego Planu Odbudowy i Zwiększenia Odporności oraz I Priorytetu Funduszy Europejskich na  Rozwój Cyfrowy 2021–2027."/>
    <n v="29"/>
    <m/>
    <m/>
    <m/>
    <m/>
    <s v="wystąpienie MF"/>
    <s v="planowane"/>
    <m/>
    <s v="NASK"/>
    <m/>
  </r>
  <r>
    <x v="0"/>
    <x v="0"/>
    <s v="DT"/>
    <x v="0"/>
    <x v="0"/>
    <x v="0"/>
    <s v="6.3.1.4"/>
    <m/>
    <s v="zakup usług pozostałych - prace przygotowawcze dot. systemu teleinformatycznego"/>
    <s v="Wydatki planowane do przekazania dla  Centralnego Ośrodka Informatyki z przeznaczeniem na wydatki związane z opracowaniem koncepcji lub rozpoczęciem prac wdrożeniowych dotyczących systemu teleinformatycznego do  obsługi spraw związanych z przeciwdziałaniem przemocy domowej._x000a_"/>
    <n v="5000"/>
    <n v="0"/>
    <n v="0"/>
    <n v="0"/>
    <n v="0"/>
    <s v="planowane"/>
    <s v="planowane"/>
    <m/>
    <s v="COI"/>
    <m/>
  </r>
  <r>
    <x v="0"/>
    <x v="0"/>
    <s v="DT"/>
    <x v="33"/>
    <x v="0"/>
    <x v="0"/>
    <s v="6.3.1.1"/>
    <m/>
    <s v="kara za niewdrożenie Dyrektywy Parlamentu Europejskiego i Rady (UE) 2018/1972 (EKŁE)"/>
    <s v="Trybunał Sprawiedliwości Unii Europejskiej 14 marca 2024 r. wydał wyrok w sprawie C-452/22 Komisja/Polska –brak wdrożenia przepisów unijnej dyrektywy Parlamentu Europejskiego i Rady (UE) 2018/1972 z dnia 11 grudnia 2018 r. ustanawiającej Europejski kodeks łączności elektronicznej (dalej: „Dyrektywa EKŁE”) do prawa krajowego w wymaganym terminie. Zgodnie z wyrokiem orzeczono obowiązek zapłaty na rzecz Komisji Europejskiej okresowej kary pieniężnej w wysokości 50 000 EUR dziennie (do momentu implementacji Dyrektywy EKŁE). "/>
    <n v="30097"/>
    <n v="0"/>
    <n v="0"/>
    <n v="0"/>
    <n v="0"/>
    <s v="planowane"/>
    <s v="planowane"/>
    <m/>
    <s v="nd"/>
    <s v="do decyzji Kierownictwa MC"/>
  </r>
  <r>
    <x v="0"/>
    <x v="0"/>
    <s v="DT"/>
    <x v="0"/>
    <x v="0"/>
    <x v="0"/>
    <s v="6.3.1.4"/>
    <m/>
    <s v="Broadband Competence Offices (BCO) - organizacja spotkań informacyjnych, przygotowanie materiałów informacyjnych, usługi doradcze"/>
    <s v="W ramach wydatków związanych z pełnieniem funkcji Broadband Competence Office przewiduje się finansowanie działalności informacyjno-promocyjnej w zakresie informowania obywateli, przedsiębiorców i jednostek samorządu terytorialnego o inwestycjach szerokopasmowych realizowanych na terenie Polski i finansowanych ze źródeł publicznych i prywatnych (np. w postaci informatorów, poradników itp.), jak również finansowanie ewentualnych konferencji itp. poświęconych inwestycjom w sieci szerokopasmowe."/>
    <n v="100"/>
    <n v="100"/>
    <n v="100"/>
    <n v="100"/>
    <n v="100"/>
    <s v="planowane"/>
    <s v="planowane"/>
    <m/>
    <s v="nd"/>
    <m/>
  </r>
  <r>
    <x v="0"/>
    <x v="0"/>
    <s v="DT"/>
    <x v="0"/>
    <x v="0"/>
    <x v="0"/>
    <s v="6.3.1.1"/>
    <m/>
    <s v="wykonanie ekspertyz i analiz"/>
    <s v="W związku z planowanym wejściem w życiem pod koniec 2024 r. Ustawy - Prawo komunikacji elektronicznej oraz realizacją innych bieżących zadań istnieje konieczność zlecania wykonania ekspertyz (analiz)."/>
    <n v="500"/>
    <n v="500"/>
    <n v="500"/>
    <n v="500"/>
    <n v="500"/>
    <s v="planowane"/>
    <s v="planowane"/>
    <m/>
    <s v="nd"/>
    <m/>
  </r>
  <r>
    <x v="0"/>
    <x v="0"/>
    <s v="DT"/>
    <x v="0"/>
    <x v="0"/>
    <x v="0"/>
    <s v="6.3.1.1"/>
    <m/>
    <s v="działania mające na celu zwiększania świadomości społecznej i wiedzy na temat numerów 116111 i 116123"/>
    <s v="Mając na uwadze procedowaną ustawę Prawo komunikacji elektronicznej (druk sejmowy nr 423) i przyjętą przez posłów poprawkę podczas 2-giego czytania projektu w Sejmie obejmującą modyfikację art. 165 polegającą na wskazaniu, że minister właściwy ds.  informatyzacji prowadzi działania mające na celu na celu zwiększania świadomości społecznej i wiedzy na temat numerów 116111 i 116123, konieczne jest zabezpieczenie na ten cel koniecznych środków. "/>
    <n v="500"/>
    <n v="500"/>
    <n v="500"/>
    <n v="500"/>
    <n v="500"/>
    <s v="planowane"/>
    <s v="planowane"/>
    <m/>
    <s v="nd"/>
    <m/>
  </r>
  <r>
    <x v="0"/>
    <x v="0"/>
    <s v="DT"/>
    <x v="0"/>
    <x v="0"/>
    <x v="0"/>
    <s v="6.3.1.1"/>
    <m/>
    <s v="organizacja wydarzenia Cyber Week: cyber&amp;telco attache trip "/>
    <s v="Cyber Week stanowi powiązanie ze sobą 4 wydarzeń organizowanych przez Departament Cyberbezpieczeństwa oraz Departament Telekomunikacji. Całość odbędzie się w dniach 12-16 maja 2025 r. w Krakowie jako wydarzenia organizowane w ramach Polskiej Prezydencji w UE. DT będzie odpowiedzialne za  zamówienie na wybór operatora logistycznej obsługi całego wydarzenia. DC  za  pozostałe kwestie. Niektóre wydatki w ramach organizacji tego wydarzenia moga być uznane za niekwalifikowalne w ramach środków na Prezydencję przyznawanych przez KPRM, w związku z tym istnieje konieczność zabezpieczenia dodatkowych środków w budżecie DT."/>
    <n v="274"/>
    <n v="0"/>
    <n v="0"/>
    <n v="0"/>
    <n v="0"/>
    <s v="planowane"/>
    <s v="planowane"/>
    <m/>
    <s v="nd"/>
    <s v="BBF - związane z Prezydencją"/>
  </r>
  <r>
    <x v="0"/>
    <x v="0"/>
    <s v="DT"/>
    <x v="0"/>
    <x v="0"/>
    <x v="0"/>
    <s v="6.3.1.1"/>
    <m/>
    <s v="organizacja 2 warsztatów dotyczących plików cookies i technik śledzących "/>
    <s v="W ramach wydarzeń dotyczących Prezydencji Polskiej w UE DT planuje zorganizować dwa warsztaty w Stałym Przedstawicielstwie RP w Brukseli dotyczących plików cookies i technik śledzących (tematyka dotycząca ochrony prywatności). Zakłada się udział ok. 30 osób w każdym warsztacie. DT nie otrzyma na to wydarzenie środków na Prezydencję przyznawanych przez KPRM."/>
    <n v="15"/>
    <n v="0"/>
    <n v="0"/>
    <n v="0"/>
    <n v="0"/>
    <s v="planowane"/>
    <s v="planowane"/>
    <m/>
    <s v="nd"/>
    <m/>
  </r>
  <r>
    <x v="0"/>
    <x v="0"/>
    <s v="DTC"/>
    <x v="0"/>
    <x v="0"/>
    <x v="0"/>
    <s v="16.1.2.1"/>
    <s v="budżet państwa (z wyjątkiem GDDKiA)"/>
    <s v="Zapewnienie specjalistycznych usług z zakresu IT"/>
    <s v="Zapewnienie specjalistycznych usług z zakresu IT (Poza umową na relizację przez COI niektórych zadań Ministra Cyfrzacji)"/>
    <n v="4850"/>
    <n v="3787"/>
    <n v="4850"/>
    <m/>
    <m/>
    <m/>
    <m/>
    <m/>
    <m/>
    <m/>
  </r>
  <r>
    <x v="0"/>
    <x v="0"/>
    <s v="DTC"/>
    <x v="0"/>
    <x v="0"/>
    <x v="0"/>
    <s v="16.5.1.2."/>
    <s v="budżet państwa (z wyjątkiem GDDKiA)"/>
    <s v="na świadczenie usługi dostępu do Internetu i usługi antyDDoS _x000a_w Lokalizacji I (Warszawa, ul. Barcicka 52/56) przez okres 36 miesięcy."/>
    <s v="na świadczenie usługi dostępu do Internetu i usługi antyDDoS _x000a_w Lokalizacji I (Warszawa, ul. Barcicka 52/56) przez okres 36 miesięcy. (Poza umową na relizację przez COI niektórych zadań Ministra Cyfrzacji - odsprzedaż)"/>
    <n v="207"/>
    <n v="0"/>
    <n v="0"/>
    <m/>
    <m/>
    <m/>
    <m/>
    <m/>
    <m/>
    <m/>
  </r>
  <r>
    <x v="0"/>
    <x v="0"/>
    <s v="DTC"/>
    <x v="0"/>
    <x v="0"/>
    <x v="0"/>
    <s v="16.1.2.1"/>
    <s v="budżet państwa (z wyjątkiem GDDKiA)"/>
    <s v="Świadczenie usługi dostępu do Internetu oraz usługi antyDDoS w Lokalizacji I"/>
    <s v="Świadczenie usługi dostępu do Internetu oraz usługi antyDDoS w Lokalizacji I (Poza umową na relizację przez COI niektórych zadań Ministra Cyfrzacji - odsprzedaż)"/>
    <n v="162"/>
    <n v="0"/>
    <n v="0"/>
    <m/>
    <m/>
    <m/>
    <m/>
    <m/>
    <m/>
    <m/>
  </r>
  <r>
    <x v="0"/>
    <x v="0"/>
    <s v="DTC"/>
    <x v="0"/>
    <x v="0"/>
    <x v="0"/>
    <s v="16.1.2.1"/>
    <s v="budżet państwa (z wyjątkiem GDDKiA)"/>
    <s v="Świadczenie usługi do Internetu oraz usługi antyDDoS wraz_x000a_ z gwarancją w Lokalizacji II (11 Listopada 23)"/>
    <s v="Świadczenie usługi do Internetu oraz usługi antyDDoS wraz_x000a_ z gwarancją w Lokalizacji II (11 Listopada 23) (Poza umową na relizację przez COI niektórych zadań Ministra Cyfrzacji - odsprzedaż)"/>
    <n v="190"/>
    <n v="0"/>
    <n v="0"/>
    <m/>
    <m/>
    <m/>
    <m/>
    <m/>
    <m/>
    <m/>
  </r>
  <r>
    <x v="0"/>
    <x v="0"/>
    <s v="DTC"/>
    <x v="0"/>
    <x v="0"/>
    <x v="0"/>
    <s v="16.1.2.1"/>
    <s v="budżet państwa (z wyjątkiem GDDKiA)"/>
    <s v="Aneks nr 9 - Powierzchnia - Kiosk &quot;Dystrybucyjny&quot; NASK"/>
    <s v="Aneks nr 9 - Powierzchnia - Kiosk &quot;Dystrybucyjny&quot; NASK (Poza umową na relizację przez COI niektórych zadań Ministra Cyfrzacji - odsprzedaż)"/>
    <n v="0"/>
    <n v="2947"/>
    <n v="0"/>
    <m/>
    <m/>
    <m/>
    <m/>
    <m/>
    <m/>
    <m/>
  </r>
  <r>
    <x v="0"/>
    <x v="0"/>
    <s v="DTC"/>
    <x v="0"/>
    <x v="0"/>
    <x v="0"/>
    <s v="16.1.2.1"/>
    <s v="budżet państwa (z wyjątkiem GDDKiA)"/>
    <s v="Aneks nr 9 - Powierzchnia - Kiosk &quot;Rejestry państwowe&quot;NASK"/>
    <s v="Aneks nr 9 - Powierzchnia - Kiosk &quot;Rejestry państwowe&quot;NASK (Poza umową na relizację przez COI niektórych zadań Ministra Cyfrzacji - odsprzedaż)"/>
    <n v="0"/>
    <n v="2927"/>
    <n v="0"/>
    <m/>
    <m/>
    <m/>
    <m/>
    <m/>
    <m/>
    <m/>
  </r>
  <r>
    <x v="0"/>
    <x v="0"/>
    <s v="DTC"/>
    <x v="0"/>
    <x v="0"/>
    <x v="0"/>
    <s v="16.1.2.1"/>
    <s v="budżet państwa (z wyjątkiem GDDKiA)"/>
    <s v="Aneks nr 9 - Powierzchnia - Kiosk &quot;RChO&quot; NASK"/>
    <s v="Aneks nr 9 - Powierzchnia - Kiosk &quot;RChO&quot; NASK (Poza umową na relizację przez COI niektórych zadań Ministra Cyfrzacji - odsprzedaż)"/>
    <n v="0"/>
    <n v="2919"/>
    <n v="0"/>
    <m/>
    <m/>
    <m/>
    <m/>
    <m/>
    <m/>
    <m/>
  </r>
  <r>
    <x v="0"/>
    <x v="0"/>
    <s v="DTC"/>
    <x v="0"/>
    <x v="0"/>
    <x v="0"/>
    <s v="16.1.2.1"/>
    <s v="budżet państwa (z wyjątkiem GDDKiA)"/>
    <s v="Aneks nr 9 - Powierzchnia - Kiosk &quot;Niejawny&quot;NASK"/>
    <s v="Aneks nr 9 - Powierzchnia - Kiosk &quot;Niejawny&quot;NASK (Poza umową na relizację przez COI niektórych zadań Ministra Cyfrzacji - odsprzedaż)"/>
    <n v="0"/>
    <n v="3729"/>
    <n v="0"/>
    <m/>
    <m/>
    <m/>
    <m/>
    <m/>
    <m/>
    <m/>
  </r>
  <r>
    <x v="0"/>
    <x v="0"/>
    <s v="DTC"/>
    <x v="0"/>
    <x v="0"/>
    <x v="0"/>
    <s v="16.1.2.1"/>
    <s v="budżet państwa (z wyjątkiem GDDKiA)"/>
    <s v="Aneks nr 9 - Powierzchnia - utrzymanie powierzchni niezajętej NASK"/>
    <s v="Aneks nr 9 - Powierzchnia - utrzymanie powierzchni niezajętej NASK (Poza umową na relizację przez COI niektórych zadań Ministra Cyfrzacji - odsprzedaż)"/>
    <n v="0"/>
    <n v="2487"/>
    <n v="0"/>
    <m/>
    <m/>
    <m/>
    <m/>
    <m/>
    <m/>
    <m/>
  </r>
  <r>
    <x v="0"/>
    <x v="0"/>
    <s v="DTC"/>
    <x v="0"/>
    <x v="0"/>
    <x v="0"/>
    <s v="16.1.2.1"/>
    <s v="budżet państwa (z wyjątkiem GDDKiA)"/>
    <s v="Aneks nr 9 - Utrzymanie powierzchni biurowej NASK"/>
    <s v="Aneks nr 9 - Utrzymanie powierzchni biurowej NASK (Poza umową na relizację przez COI niektórych zadań Ministra Cyfrzacji - odsprzedaż)"/>
    <n v="0"/>
    <n v="4829"/>
    <n v="0"/>
    <m/>
    <m/>
    <m/>
    <m/>
    <m/>
    <m/>
    <m/>
  </r>
  <r>
    <x v="0"/>
    <x v="0"/>
    <s v="DTC"/>
    <x v="0"/>
    <x v="0"/>
    <x v="0"/>
    <s v="16.1.2.1"/>
    <s v="budżet państwa (z wyjątkiem GDDKiA)"/>
    <s v="Aneks nr 9 - Usługi dodatkowe"/>
    <s v="Aneks nr 9 - Usługi dodatkowe (Poza umową na relizację przez COI niektórych zadań Ministra Cyfrzacji - odsprzedaż)"/>
    <n v="0"/>
    <n v="64"/>
    <n v="0"/>
    <m/>
    <m/>
    <m/>
    <m/>
    <m/>
    <m/>
    <m/>
  </r>
  <r>
    <x v="0"/>
    <x v="0"/>
    <s v="DTC"/>
    <x v="0"/>
    <x v="0"/>
    <x v="0"/>
    <s v="16.1.2.1"/>
    <s v="budżet państwa (z wyjątkiem GDDKiA)"/>
    <s v="Aneks nr 9 - Energia elektryczna"/>
    <s v="Aneks nr 9 - Energia elektryczna (Poza umową na relizację przez COI niektórych zadań Ministra Cyfrzacji - odsprzedaż)"/>
    <n v="0"/>
    <n v="1211"/>
    <n v="0"/>
    <m/>
    <m/>
    <m/>
    <m/>
    <m/>
    <m/>
    <m/>
  </r>
  <r>
    <x v="0"/>
    <x v="0"/>
    <s v="DTC"/>
    <x v="0"/>
    <x v="0"/>
    <x v="0"/>
    <s v="16.1.2.1"/>
    <s v="budżet państwa (z wyjątkiem GDDKiA)"/>
    <s v="Aneks nr 9 - Ochrona kwalfikowana"/>
    <s v="Aneks nr 9 - Ochrona kwalfikowana (Poza umową na relizację przez COI niektórych zadań Ministra Cyfrzacji - odsprzedaż)"/>
    <n v="0"/>
    <n v="984"/>
    <n v="0"/>
    <m/>
    <m/>
    <m/>
    <m/>
    <m/>
    <m/>
    <m/>
  </r>
  <r>
    <x v="0"/>
    <x v="0"/>
    <s v="DTC"/>
    <x v="0"/>
    <x v="0"/>
    <x v="0"/>
    <s v="16.5.1.2."/>
    <s v="budżet państwa (z wyjątkiem GDDKiA)"/>
    <s v="Zakupy pod Otwarte Dane 3.0"/>
    <s v="Zakupy pod Otwarte Dane 3.0 (Poza umową na relizację przez COI niektórych zadań Ministra Cyfrzacji - odsprzedaż)"/>
    <n v="615"/>
    <n v="0"/>
    <n v="0"/>
    <m/>
    <m/>
    <m/>
    <m/>
    <m/>
    <m/>
    <s v="do wyjaśnienia - projekt realizowany ze środków UE przez DZD"/>
  </r>
  <r>
    <x v="0"/>
    <x v="0"/>
    <s v="DTC"/>
    <x v="0"/>
    <x v="0"/>
    <x v="0"/>
    <s v="16.1.2.1"/>
    <s v="budżet państwa (z wyjątkiem GDDKiA)"/>
    <s v="Zadania biznesowe dotyczące Ambasady Danych"/>
    <s v="Zadania biznesowe dotyczące Ambasady Danych (Umowa na realizację przez COI niektórych zadań Ministra Cyfryzacji)"/>
    <n v="646"/>
    <m/>
    <m/>
    <m/>
    <m/>
    <m/>
    <m/>
    <m/>
    <m/>
    <m/>
  </r>
  <r>
    <x v="0"/>
    <x v="0"/>
    <s v="DTC"/>
    <x v="0"/>
    <x v="0"/>
    <x v="0"/>
    <s v="16.1.2.1"/>
    <s v="budżet państwa (z wyjątkiem GDDKiA)"/>
    <s v="Wsparcie w przygotowaniu dokumentacji projektowej do FERC – Ambasada Danych"/>
    <s v="Wsparcie w przygotowaniu dokumentacji projektowej do FERC – Ambasada Danych (Umowa na realizację przez COI niektórych zadań Ministra Cyfryzacji)"/>
    <n v="250"/>
    <m/>
    <m/>
    <m/>
    <m/>
    <m/>
    <m/>
    <m/>
    <m/>
    <m/>
  </r>
  <r>
    <x v="0"/>
    <x v="0"/>
    <s v="DTC"/>
    <x v="0"/>
    <x v="0"/>
    <x v="0"/>
    <s v="16.5.1.2."/>
    <s v="budżet państwa (z wyjątkiem GDDKiA)"/>
    <s v="Utrzymanie CC SPOC"/>
    <s v="Utrzymanie CC SPOC (Umowa na realizację przez COI niektórych zadań Ministra Cyfryzacji)"/>
    <n v="4477"/>
    <m/>
    <m/>
    <m/>
    <m/>
    <m/>
    <m/>
    <m/>
    <m/>
    <m/>
  </r>
  <r>
    <x v="0"/>
    <x v="0"/>
    <s v="DTC"/>
    <x v="0"/>
    <x v="0"/>
    <x v="0"/>
    <s v="16.1.2.1"/>
    <s v="budżet państwa (z wyjątkiem GDDKiA)"/>
    <s v="Utrzymanie CRW"/>
    <s v="Utrzymanie CRW (Umowa na realizację przez COI niektórych zadań Ministra Cyfryzacji)"/>
    <n v="6268"/>
    <m/>
    <m/>
    <m/>
    <m/>
    <m/>
    <m/>
    <m/>
    <m/>
    <m/>
  </r>
  <r>
    <x v="0"/>
    <x v="0"/>
    <s v="DTC"/>
    <x v="0"/>
    <x v="0"/>
    <x v="0"/>
    <s v="16.1.2.1"/>
    <s v="budżet państwa (z wyjątkiem GDDKiA)"/>
    <s v="Zadania biznesowe dotyczące CRW"/>
    <s v="Zadania biznesowe dotyczące CRW (Umowa na realizację przez COI niektórych zadań Ministra Cyfryzacji)"/>
    <n v="1753"/>
    <m/>
    <m/>
    <m/>
    <m/>
    <m/>
    <m/>
    <m/>
    <m/>
    <m/>
  </r>
  <r>
    <x v="0"/>
    <x v="0"/>
    <s v="DTC"/>
    <x v="0"/>
    <x v="0"/>
    <x v="0"/>
    <s v="16.1.2.1"/>
    <s v="budżet państwa (z wyjątkiem GDDKiA)"/>
    <s v="Prace utrzymaniowe dla dane.gov.pl"/>
    <s v="Prace utrzymaniowe dla dane.gov.pl (Umowa na realizację przez COI niektórych zadań Ministra Cyfryzacji)"/>
    <n v="4598"/>
    <m/>
    <m/>
    <m/>
    <m/>
    <m/>
    <m/>
    <m/>
    <m/>
    <m/>
  </r>
  <r>
    <x v="0"/>
    <x v="0"/>
    <s v="DTC"/>
    <x v="0"/>
    <x v="0"/>
    <x v="0"/>
    <s v="16.5.1.2."/>
    <s v="budżet państwa (z wyjątkiem GDDKiA)"/>
    <s v="eDoręczenia udostępnianie/operacje"/>
    <s v="eDoręczenia udostępnianie/operacje (Umowa na realizację przez COI niektórych zadań Ministra Cyfryzacji)"/>
    <n v="1130"/>
    <m/>
    <m/>
    <m/>
    <m/>
    <m/>
    <m/>
    <m/>
    <m/>
    <m/>
  </r>
  <r>
    <x v="0"/>
    <x v="0"/>
    <s v="DTC"/>
    <x v="0"/>
    <x v="0"/>
    <x v="0"/>
    <s v="16.5.1.2."/>
    <s v="budżet państwa (z wyjątkiem GDDKiA)"/>
    <s v="Utrzymanie eDoręczenia"/>
    <s v="Utrzymanie eDoręczenia (Umowa na realizację przez COI niektórych zadań Ministra Cyfryzacji)"/>
    <n v="4911"/>
    <m/>
    <m/>
    <m/>
    <m/>
    <m/>
    <m/>
    <m/>
    <m/>
    <m/>
  </r>
  <r>
    <x v="0"/>
    <x v="0"/>
    <s v="DTC"/>
    <x v="0"/>
    <x v="0"/>
    <x v="0"/>
    <s v="16.5.1.2."/>
    <s v="budżet państwa (z wyjątkiem GDDKiA)"/>
    <s v="Zadania biznesowe dotyczące eDoręczenia"/>
    <s v="Zadania biznesowe dotyczące eDoręczenia (Umowa na realizację przez COI niektórych zadań Ministra Cyfryzacji)"/>
    <n v="4840"/>
    <m/>
    <m/>
    <m/>
    <m/>
    <m/>
    <m/>
    <m/>
    <m/>
    <m/>
  </r>
  <r>
    <x v="0"/>
    <x v="0"/>
    <s v="DTC"/>
    <x v="0"/>
    <x v="0"/>
    <x v="0"/>
    <s v="16.5.1.2."/>
    <s v="budżet państwa (z wyjątkiem GDDKiA)"/>
    <s v="Działania informacyjno-wdrożeniowe w ramach projektu eDoręczenia"/>
    <s v="Działania informacyjno-wdrożeniowe w ramach projektu eDoręczenia (Umowa na realizację przez COI niektórych zadań Ministra Cyfryzacji)"/>
    <n v="222"/>
    <m/>
    <m/>
    <m/>
    <m/>
    <m/>
    <m/>
    <m/>
    <m/>
    <m/>
  </r>
  <r>
    <x v="0"/>
    <x v="0"/>
    <s v="DTC"/>
    <x v="0"/>
    <x v="0"/>
    <x v="0"/>
    <s v="16.1.2.1"/>
    <s v="budżet państwa (z wyjątkiem GDDKiA)"/>
    <s v="Utrzymanie eDziennik"/>
    <s v="Utrzymanie eDziennik (Umowa na realizację przez COI niektórych zadań Ministra Cyfryzacji)"/>
    <n v="1333"/>
    <m/>
    <m/>
    <m/>
    <m/>
    <m/>
    <m/>
    <m/>
    <m/>
    <m/>
  </r>
  <r>
    <x v="0"/>
    <x v="0"/>
    <s v="DTC"/>
    <x v="0"/>
    <x v="0"/>
    <x v="0"/>
    <s v="16.5.1.2."/>
    <s v="budżet państwa (z wyjątkiem GDDKiA)"/>
    <s v="Zadania biznesowe dotyczące mObywatel.gov.pl"/>
    <s v="Zadania biznesowe dotyczące mObywatel.gov.pl (Umowa na realizację przez COI niektórych zadań Ministra Cyfryzacji)"/>
    <n v="1472"/>
    <m/>
    <m/>
    <m/>
    <m/>
    <m/>
    <m/>
    <m/>
    <m/>
    <m/>
  </r>
  <r>
    <x v="0"/>
    <x v="0"/>
    <s v="DTC"/>
    <x v="0"/>
    <x v="0"/>
    <x v="0"/>
    <s v="16.5.1.2."/>
    <s v="budżet państwa (z wyjątkiem GDDKiA)"/>
    <s v="Zadania biznesowe dotyczące ekosystem  2.0 - w tym Generator Formularzy"/>
    <s v="Zadania biznesowe dotyczące ekosystem  2.0 - w tym Generator Formularzy (Umowa na realizację przez COI niektórych zadań Ministra Cyfryzacji)"/>
    <n v="1472"/>
    <m/>
    <m/>
    <m/>
    <m/>
    <m/>
    <m/>
    <m/>
    <m/>
    <m/>
  </r>
  <r>
    <x v="0"/>
    <x v="0"/>
    <s v="DTC"/>
    <x v="0"/>
    <x v="0"/>
    <x v="0"/>
    <s v="16.5.1.2."/>
    <s v="budżet państwa (z wyjątkiem GDDKiA)"/>
    <s v="Zadania biznesowe dotyczące usług  wyborczych mężów zaufania - Baza MZ oraz aplikacja MZ"/>
    <s v="Zadania biznesowe dotyczące usług  wyborczych mężów zaufania - Baza MZ oraz aplikacja MZ (Umowa na realizację przez COI niektórych zadań Ministra Cyfryzacji)"/>
    <n v="490"/>
    <m/>
    <m/>
    <m/>
    <m/>
    <m/>
    <m/>
    <m/>
    <m/>
    <m/>
  </r>
  <r>
    <x v="0"/>
    <x v="0"/>
    <s v="DTC"/>
    <x v="0"/>
    <x v="0"/>
    <x v="0"/>
    <s v="16.5.1.2."/>
    <s v="budżet państwa (z wyjątkiem GDDKiA)"/>
    <s v="Zadania biznesowe dotyczące Capchta COI/MC"/>
    <s v="Zadania biznesowe dotyczące Capchta COI/MC (Umowa na realizację przez COI niektórych zadań Ministra Cyfryzacji)"/>
    <n v="490"/>
    <m/>
    <m/>
    <m/>
    <m/>
    <m/>
    <m/>
    <m/>
    <m/>
    <m/>
  </r>
  <r>
    <x v="0"/>
    <x v="0"/>
    <s v="DTC"/>
    <x v="0"/>
    <x v="0"/>
    <x v="0"/>
    <s v="16.5.1.2."/>
    <s v="budżet państwa (z wyjątkiem GDDKiA)"/>
    <s v="Zadania biznesowe dotyczące nForms"/>
    <s v="Zadania biznesowe dotyczące nForms (Umowa na realizację przez COI niektórych zadań Ministra Cyfryzacji)"/>
    <n v="245"/>
    <m/>
    <m/>
    <m/>
    <m/>
    <m/>
    <m/>
    <m/>
    <m/>
    <m/>
  </r>
  <r>
    <x v="0"/>
    <x v="0"/>
    <s v="DTC"/>
    <x v="0"/>
    <x v="0"/>
    <x v="0"/>
    <s v="16.1.2.1"/>
    <s v="budżet państwa (z wyjątkiem GDDKiA)"/>
    <s v="Zadania biznesowe dotyczące CRWD"/>
    <s v="Zadania biznesowe dotyczące CRWDE (Centralne Repetytorium Wzorów Dokumentów Elektronicznych) (Umowa na realizację przez COI niektórych zadań Ministra Cyfryzacji)"/>
    <n v="491"/>
    <m/>
    <m/>
    <m/>
    <m/>
    <m/>
    <m/>
    <m/>
    <m/>
    <m/>
  </r>
  <r>
    <x v="0"/>
    <x v="0"/>
    <s v="DTC"/>
    <x v="0"/>
    <x v="0"/>
    <x v="0"/>
    <s v="16.5.1.2."/>
    <s v="budżet państwa (z wyjątkiem GDDKiA)"/>
    <s v="Zadania biznesowe dotyczące ePłatności w zakresie dotacji i porozumień"/>
    <s v="Zadania biznesowe dotyczące ePłatności w zakresie dotacji i porozumień (Umowa na realizację przez COI niektórych zadań Ministra Cyfryzacji)"/>
    <n v="245"/>
    <m/>
    <m/>
    <m/>
    <m/>
    <m/>
    <m/>
    <m/>
    <m/>
    <m/>
  </r>
  <r>
    <x v="0"/>
    <x v="0"/>
    <s v="DTC"/>
    <x v="0"/>
    <x v="0"/>
    <x v="0"/>
    <s v="16.5.1.2."/>
    <s v="budżet państwa (z wyjątkiem GDDKiA)"/>
    <s v="Ciepło - utrzymanie"/>
    <s v="Ciepło - utrzymanie (Umowa na realizację przez COI niektórych zadań Ministra Cyfryzacji)"/>
    <n v="1461"/>
    <m/>
    <m/>
    <m/>
    <m/>
    <m/>
    <m/>
    <m/>
    <m/>
    <m/>
  </r>
  <r>
    <x v="0"/>
    <x v="0"/>
    <s v="DTC"/>
    <x v="0"/>
    <x v="0"/>
    <x v="0"/>
    <s v="16.5.1.2."/>
    <s v="budżet państwa (z wyjątkiem GDDKiA)"/>
    <s v="Generator formularze - utrzymanie"/>
    <s v="Generator formularze - utrzymanie (Umowa na realizację przez COI niektórych zadań Ministra Cyfryzacji)"/>
    <n v="6440"/>
    <m/>
    <m/>
    <m/>
    <m/>
    <m/>
    <m/>
    <m/>
    <m/>
    <m/>
  </r>
  <r>
    <x v="0"/>
    <x v="0"/>
    <s v="DTC"/>
    <x v="0"/>
    <x v="0"/>
    <x v="0"/>
    <s v="16.5.1.2."/>
    <s v="budżet państwa (z wyjątkiem GDDKiA)"/>
    <s v="ePUAP udostępnianie/operacje"/>
    <s v="ePUAP udostępnianie/operacje (Umowa na realizację przez COI niektórych zadań Ministra Cyfryzacji)"/>
    <n v="586"/>
    <m/>
    <m/>
    <m/>
    <m/>
    <m/>
    <m/>
    <m/>
    <m/>
    <m/>
  </r>
  <r>
    <x v="0"/>
    <x v="0"/>
    <s v="DTC"/>
    <x v="0"/>
    <x v="0"/>
    <x v="0"/>
    <s v="16.5.1.2."/>
    <s v="budżet państwa (z wyjątkiem GDDKiA)"/>
    <s v="Utrzymanie ePUAP"/>
    <s v="Utrzymanie ePUAP (Umowa na realizację przez COI niektórych zadań Ministra Cyfryzacji)"/>
    <n v="15000"/>
    <m/>
    <m/>
    <m/>
    <m/>
    <m/>
    <m/>
    <m/>
    <m/>
    <m/>
  </r>
  <r>
    <x v="0"/>
    <x v="0"/>
    <s v="DTC"/>
    <x v="0"/>
    <x v="0"/>
    <x v="0"/>
    <s v="16.5.1.2."/>
    <s v="budżet państwa (z wyjątkiem GDDKiA)"/>
    <s v="Utrzymanie Laptop dla Nauczyciela"/>
    <s v="Utrzymanie Laptop dla Nauczyciela (Umowa na realizację przez COI niektórych zadań Ministra Cyfryzacji)"/>
    <n v="3441"/>
    <m/>
    <m/>
    <m/>
    <m/>
    <m/>
    <m/>
    <m/>
    <m/>
    <m/>
  </r>
  <r>
    <x v="0"/>
    <x v="0"/>
    <s v="DTC"/>
    <x v="0"/>
    <x v="0"/>
    <x v="0"/>
    <s v="16.5.1.2."/>
    <s v="budżet państwa (z wyjątkiem GDDKiA)"/>
    <s v="Utrzymanie KAP"/>
    <s v="Utrzymanie KAP (Umowa na realizację przez COI niektórych zadań Ministra Cyfryzacji)"/>
    <n v="2554"/>
    <m/>
    <m/>
    <m/>
    <m/>
    <m/>
    <m/>
    <m/>
    <m/>
    <m/>
  </r>
  <r>
    <x v="0"/>
    <x v="0"/>
    <s v="DTC"/>
    <x v="0"/>
    <x v="0"/>
    <x v="0"/>
    <s v="16.5.1.2."/>
    <s v="budżet państwa (z wyjątkiem GDDKiA)"/>
    <s v="Zadania biznesowe dla KPP"/>
    <s v="Zadania biznesowe dla KPP (Umowa na realizację przez COI niektórych zadań Ministra Cyfryzacji)"/>
    <n v="1213"/>
    <m/>
    <m/>
    <m/>
    <m/>
    <m/>
    <m/>
    <m/>
    <m/>
    <m/>
  </r>
  <r>
    <x v="0"/>
    <x v="0"/>
    <s v="DTC"/>
    <x v="0"/>
    <x v="0"/>
    <x v="0"/>
    <s v="16.5.1.2."/>
    <s v="budżet państwa (z wyjątkiem GDDKiA)"/>
    <s v="Analiza modyfikacji struktury podmiotów w KPP"/>
    <s v="Analiza modyfikacji struktury podmiotów w KPP (Umowa na realizację przez COI niektórych zadań Ministra Cyfryzacji)"/>
    <n v="272"/>
    <m/>
    <m/>
    <m/>
    <m/>
    <m/>
    <m/>
    <m/>
    <m/>
    <m/>
  </r>
  <r>
    <x v="0"/>
    <x v="0"/>
    <s v="DTC"/>
    <x v="0"/>
    <x v="0"/>
    <x v="0"/>
    <s v="16.1.2.1"/>
    <s v="budżet państwa (z wyjątkiem GDDKiA)"/>
    <s v="Zadania biznesowe dotyczące Krajowego Centrum Przetwarzania Danych"/>
    <s v="Zadania biznesowe dotyczące Krajowego Centrum Przetwarzania Danych (Umowa na realizację przez COI niektórych zadań Ministra Cyfryzacji)"/>
    <n v="1726"/>
    <m/>
    <m/>
    <m/>
    <m/>
    <m/>
    <m/>
    <m/>
    <m/>
    <m/>
  </r>
  <r>
    <x v="0"/>
    <x v="0"/>
    <s v="DTC"/>
    <x v="0"/>
    <x v="0"/>
    <x v="0"/>
    <s v="16.1.2.1"/>
    <s v="budżet państwa (z wyjątkiem GDDKiA)"/>
    <s v="Wsparcie w przygotowaniu dokumentacji projektowej do KPO – KCPD"/>
    <s v="Wsparcie w przygotowaniu dokumentacji projektowej do KPO – KCPD (Umowa na realizację przez COI niektórych zadań Ministra Cyfryzacji)"/>
    <n v="513"/>
    <m/>
    <m/>
    <m/>
    <m/>
    <m/>
    <m/>
    <m/>
    <m/>
    <m/>
  </r>
  <r>
    <x v="0"/>
    <x v="0"/>
    <s v="DTC"/>
    <x v="0"/>
    <x v="0"/>
    <x v="0"/>
    <s v="16.1.2.1"/>
    <s v="budżet państwa (z wyjątkiem GDDKiA)"/>
    <s v="Utrzymanie Kronik@"/>
    <s v="Utrzymanie Kronik@ (Umowa na realizację przez COI niektórych zadań Ministra Cyfryzacji)"/>
    <n v="2182"/>
    <m/>
    <m/>
    <m/>
    <m/>
    <m/>
    <m/>
    <m/>
    <m/>
    <m/>
  </r>
  <r>
    <x v="0"/>
    <x v="0"/>
    <s v="DTC"/>
    <x v="0"/>
    <x v="0"/>
    <x v="0"/>
    <s v="16.1.2.1"/>
    <s v="budżet państwa (z wyjątkiem GDDKiA)"/>
    <s v="Przeniesienie systemu Kronik@ na infrastrukturę COI"/>
    <s v="Przeniesienie systemu Kronik@ na infrastrukturę COI (Umowa na realizację przez COI niektórych zadań Ministra Cyfryzacji)"/>
    <n v="244"/>
    <m/>
    <m/>
    <m/>
    <m/>
    <m/>
    <m/>
    <m/>
    <m/>
    <m/>
  </r>
  <r>
    <x v="0"/>
    <x v="0"/>
    <s v="DTC"/>
    <x v="0"/>
    <x v="0"/>
    <x v="0"/>
    <s v="16.1.2.1"/>
    <s v="budżet państwa (z wyjątkiem GDDKiA)"/>
    <s v="LSI utrzymanie"/>
    <s v="LSI utrzymanie (Umowa na realizację przez COI niektórych zadań Ministra Cyfryzacji)"/>
    <n v="3334"/>
    <m/>
    <m/>
    <m/>
    <m/>
    <m/>
    <m/>
    <m/>
    <m/>
    <m/>
  </r>
  <r>
    <x v="0"/>
    <x v="0"/>
    <s v="DTC"/>
    <x v="0"/>
    <x v="0"/>
    <x v="0"/>
    <s v="16.1.2.1"/>
    <s v="budżet państwa (z wyjątkiem GDDKiA)"/>
    <s v="Prace biznesowe w ramach tzw. „małego rozwoju”"/>
    <s v="Prace biznesowe w ramach tzw. „małego rozwoju” (Umowa na realizację przez COI niektórych zadań Ministra Cyfryzacji)"/>
    <n v="6"/>
    <m/>
    <m/>
    <m/>
    <m/>
    <m/>
    <m/>
    <m/>
    <m/>
    <m/>
  </r>
  <r>
    <x v="0"/>
    <x v="0"/>
    <s v="DTC"/>
    <x v="0"/>
    <x v="0"/>
    <x v="0"/>
    <s v="16.5.1.2."/>
    <s v="budżet państwa (z wyjątkiem GDDKiA)"/>
    <s v="Działania biznesowe dotyczące Ekosystemu mObywatel App "/>
    <s v="Działania biznesowe dotyczące Ekosystemu mObywatel App  (Umowa na realizację przez COI niektórych zadań Ministra Cyfryzacji)"/>
    <n v="8878"/>
    <m/>
    <m/>
    <m/>
    <m/>
    <m/>
    <m/>
    <m/>
    <m/>
    <m/>
  </r>
  <r>
    <x v="0"/>
    <x v="0"/>
    <s v="DTC"/>
    <x v="0"/>
    <x v="0"/>
    <x v="0"/>
    <s v="16.5.1.2."/>
    <s v="budżet państwa (z wyjątkiem GDDKiA)"/>
    <s v="Działania promocyjne dotyczące Ekosystemu mObywatel App "/>
    <s v="Działania promocyjne dotyczące Ekosystemu mObywatel App (Umowa na realizację przez COI niektórych zadań Ministra Cyfryzacji)"/>
    <n v="3000"/>
    <m/>
    <m/>
    <m/>
    <m/>
    <m/>
    <m/>
    <m/>
    <m/>
    <m/>
  </r>
  <r>
    <x v="0"/>
    <x v="0"/>
    <s v="DTC"/>
    <x v="0"/>
    <x v="0"/>
    <x v="0"/>
    <s v="16.5.1.2."/>
    <s v="budżet państwa (z wyjątkiem GDDKiA)"/>
    <s v="Standaryzacja mObywatel app"/>
    <s v="Standaryzacja mObywatel app (Umowa na realizację przez COI niektórych zadań Ministra Cyfryzacji)"/>
    <n v="7"/>
    <m/>
    <m/>
    <m/>
    <m/>
    <m/>
    <m/>
    <m/>
    <m/>
    <m/>
  </r>
  <r>
    <x v="0"/>
    <x v="0"/>
    <s v="DTC"/>
    <x v="0"/>
    <x v="0"/>
    <x v="0"/>
    <s v="16.5.1.2."/>
    <s v="budżet państwa (z wyjątkiem GDDKiA)"/>
    <s v="Utrzymanie mObywatel"/>
    <s v="Utrzymanie mObywatel (Umowa na realizację przez COI niektórych zadań Ministra Cyfryzacji)"/>
    <n v="11534"/>
    <m/>
    <m/>
    <m/>
    <m/>
    <m/>
    <m/>
    <m/>
    <m/>
    <m/>
  </r>
  <r>
    <x v="0"/>
    <x v="0"/>
    <s v="DTC"/>
    <x v="0"/>
    <x v="0"/>
    <x v="0"/>
    <s v="16.5.1.2."/>
    <s v="budżet państwa (z wyjątkiem GDDKiA)"/>
    <s v="Nowe koncepcje mObywatel webowy"/>
    <s v="Nowe koncepcje mObywatel webowy (Umowa na realizację przez COI niektórych zadań Ministra Cyfryzacji)"/>
    <n v="1634"/>
    <m/>
    <m/>
    <m/>
    <m/>
    <m/>
    <m/>
    <m/>
    <m/>
    <m/>
  </r>
  <r>
    <x v="0"/>
    <x v="0"/>
    <s v="DTC"/>
    <x v="0"/>
    <x v="0"/>
    <x v="0"/>
    <s v="16.5.1.2."/>
    <s v="budżet państwa (z wyjątkiem GDDKiA)"/>
    <s v="Zadania promocyjne mObywatel webowy"/>
    <s v="Zadania promocyjne mObywatel webowy (Umowa na realizację przez COI niektórych zadań Ministra Cyfryzacji)"/>
    <n v="5"/>
    <m/>
    <m/>
    <m/>
    <m/>
    <m/>
    <m/>
    <m/>
    <m/>
    <m/>
  </r>
  <r>
    <x v="0"/>
    <x v="0"/>
    <s v="DTC"/>
    <x v="0"/>
    <x v="0"/>
    <x v="0"/>
    <s v="16.5.1.2."/>
    <s v="budżet państwa (z wyjątkiem GDDKiA)"/>
    <s v="Przeprowadzenie badań użyteczności rozwijającej się platformy"/>
    <s v="Przeprowadzenie badań użyteczności rozwijającej się platformy (Umowa na realizację przez COI niektórych zadań Ministra Cyfryzacji)"/>
    <n v="2"/>
    <m/>
    <m/>
    <m/>
    <m/>
    <m/>
    <m/>
    <m/>
    <m/>
    <m/>
  </r>
  <r>
    <x v="0"/>
    <x v="0"/>
    <s v="DTC"/>
    <x v="0"/>
    <x v="0"/>
    <x v="0"/>
    <s v="16.5.1.2."/>
    <s v="budżet państwa (z wyjątkiem GDDKiA)"/>
    <s v="Standaryzacja Portal RP"/>
    <s v="Standaryzacja Portal RP (Umowa na realizację przez COI niektórych zadań Ministra Cyfryzacji)"/>
    <n v="7"/>
    <m/>
    <m/>
    <m/>
    <m/>
    <m/>
    <m/>
    <m/>
    <m/>
    <m/>
  </r>
  <r>
    <x v="0"/>
    <x v="0"/>
    <s v="DTC"/>
    <x v="0"/>
    <x v="0"/>
    <x v="0"/>
    <s v="16.5.1.2."/>
    <s v="budżet państwa (z wyjątkiem GDDKiA)"/>
    <s v="Utrzymanie Portal RP"/>
    <s v="Utrzymanie Portal RP (Umowa na realizację przez COI niektórych zadań Ministra Cyfryzacji)"/>
    <n v="9747"/>
    <m/>
    <m/>
    <m/>
    <m/>
    <m/>
    <m/>
    <m/>
    <m/>
    <m/>
  </r>
  <r>
    <x v="0"/>
    <x v="0"/>
    <s v="DTC"/>
    <x v="0"/>
    <x v="0"/>
    <x v="0"/>
    <s v="16.5.1.2."/>
    <s v="budżet państwa (z wyjątkiem GDDKiA)"/>
    <s v="Media Room - utrzymanie (czerwiec)"/>
    <s v="Media Room - utrzymanie (czerwiec) (Umowa na realizację przez COI niektórych zadań Ministra Cyfryzacji)"/>
    <n v="2110"/>
    <m/>
    <m/>
    <m/>
    <m/>
    <m/>
    <m/>
    <m/>
    <m/>
    <m/>
  </r>
  <r>
    <x v="0"/>
    <x v="0"/>
    <s v="DTC"/>
    <x v="0"/>
    <x v="0"/>
    <x v="0"/>
    <s v="16.5.1.2."/>
    <s v="budżet państwa (z wyjątkiem GDDKiA)"/>
    <s v="Walidator plików GML - utrzymanie (lipiec)"/>
    <s v="Walidator plików GML - utrzymanie (lipiec) (Umowa na realizację przez COI niektórych zadań Ministra Cyfryzacji)"/>
    <n v="2457"/>
    <m/>
    <m/>
    <m/>
    <m/>
    <m/>
    <m/>
    <m/>
    <m/>
    <m/>
  </r>
  <r>
    <x v="0"/>
    <x v="0"/>
    <s v="DTC"/>
    <x v="0"/>
    <x v="0"/>
    <x v="0"/>
    <s v="16.5.1.2."/>
    <s v="budżet państwa (z wyjątkiem GDDKiA)"/>
    <s v="Press Room - utrzymanie (sierpień)"/>
    <s v="Press Room - utrzymanie (sierpień) (Umowa na realizację przez COI niektórych zadań Ministra Cyfryzacji)"/>
    <n v="3699"/>
    <m/>
    <m/>
    <m/>
    <m/>
    <m/>
    <m/>
    <m/>
    <m/>
    <m/>
  </r>
  <r>
    <x v="0"/>
    <x v="0"/>
    <s v="DTC"/>
    <x v="0"/>
    <x v="0"/>
    <x v="0"/>
    <s v="16.5.1.2."/>
    <s v="budżet państwa (z wyjątkiem GDDKiA)"/>
    <s v="Wsparcie w przygotowaniu dokumentacji projektowej do FERC – Portal RP"/>
    <s v="Wsparcie w przygotowaniu dokumentacji projektowej do FERC – Portal RP (Umowa na realizację przez COI niektórych zadań Ministra Cyfryzacji)"/>
    <n v="541"/>
    <m/>
    <m/>
    <m/>
    <m/>
    <m/>
    <m/>
    <m/>
    <m/>
    <m/>
  </r>
  <r>
    <x v="0"/>
    <x v="0"/>
    <s v="DTC"/>
    <x v="0"/>
    <x v="0"/>
    <x v="0"/>
    <s v="16.1.2.1"/>
    <s v="budżet państwa (z wyjątkiem GDDKiA)"/>
    <s v="Opracowywanie propozycji wsparcia MC w konsultacjach społecznych"/>
    <s v="Opracowywanie propozycji wsparcia MC w konsultacjach społecznych (Umowa na realizację przez COI niektórych zadań Ministra Cyfryzacji)"/>
    <n v="18"/>
    <m/>
    <m/>
    <m/>
    <m/>
    <m/>
    <m/>
    <m/>
    <m/>
    <m/>
  </r>
  <r>
    <x v="0"/>
    <x v="0"/>
    <s v="DTC"/>
    <x v="0"/>
    <x v="0"/>
    <x v="0"/>
    <s v="16.1.2.1"/>
    <s v="budżet państwa (z wyjątkiem GDDKiA)"/>
    <s v="Opracowywanie propozycji zmiany strony MC"/>
    <s v="Opracowywanie propozycji zmiany strony MC (Umowa na realizację przez COI niektórych zadań Ministra Cyfryzacji)"/>
    <n v="62"/>
    <m/>
    <m/>
    <m/>
    <m/>
    <m/>
    <m/>
    <m/>
    <m/>
    <m/>
  </r>
  <r>
    <x v="0"/>
    <x v="0"/>
    <s v="DTC"/>
    <x v="0"/>
    <x v="0"/>
    <x v="0"/>
    <s v="16.1.2.1"/>
    <s v="budżet państwa (z wyjątkiem GDDKiA)"/>
    <s v="Opracowywanie innych propozycji dla MC związanych z promocją MC lub jego identyfikacją w tym tworzenie grafik"/>
    <s v="Opracowywanie innych propozycji dla MC związanych z promocją MC lub jego identyfikacją w tym tworzenie grafik (Umowa na realizację przez COI niektórych zadań Ministra Cyfryzacji)"/>
    <n v="518"/>
    <m/>
    <m/>
    <m/>
    <m/>
    <m/>
    <m/>
    <m/>
    <m/>
    <m/>
  </r>
  <r>
    <x v="0"/>
    <x v="0"/>
    <s v="DTC"/>
    <x v="0"/>
    <x v="0"/>
    <x v="0"/>
    <s v="16.1.2.1"/>
    <s v="budżet państwa (z wyjątkiem GDDKiA)"/>
    <s v="eIDAS 2.0 – Uzgodnienia przedprojektowe"/>
    <s v="eIDAS 2.0 – Uzgodnienia przedprojektowe (Umowa na realizację przez COI niektórych zadań Ministra Cyfryzacji)"/>
    <n v="24"/>
    <m/>
    <m/>
    <m/>
    <m/>
    <m/>
    <m/>
    <m/>
    <m/>
    <m/>
  </r>
  <r>
    <x v="0"/>
    <x v="0"/>
    <s v="DTC"/>
    <x v="0"/>
    <x v="0"/>
    <x v="0"/>
    <s v="16.5.1.2."/>
    <s v="budżet państwa (z wyjątkiem GDDKiA)"/>
    <s v="Zadania biznesowe dotyczące Prokuratorii"/>
    <s v="Zadania biznesowe dotyczące Prokuratorii (Umowa na realizację przez COI niektórych zadań Ministra Cyfryzacji)"/>
    <n v="2893"/>
    <m/>
    <m/>
    <m/>
    <m/>
    <m/>
    <m/>
    <m/>
    <m/>
    <m/>
  </r>
  <r>
    <x v="0"/>
    <x v="0"/>
    <s v="DTC"/>
    <x v="0"/>
    <x v="0"/>
    <x v="0"/>
    <s v="16.5.1.2."/>
    <s v="budżet państwa (z wyjątkiem GDDKiA)"/>
    <s v="Innowacje technologiczne dotyczące PUE ZUS "/>
    <s v="Innowacje technologiczne dotyczące PUE ZUS  (Umowa na realizację przez COI niektórych zadań Ministra Cyfryzacji)"/>
    <n v="2"/>
    <m/>
    <m/>
    <m/>
    <m/>
    <m/>
    <m/>
    <m/>
    <m/>
    <m/>
  </r>
  <r>
    <x v="0"/>
    <x v="0"/>
    <s v="DTC"/>
    <x v="0"/>
    <x v="0"/>
    <x v="0"/>
    <s v="16.1.2.1"/>
    <s v="budżet państwa (z wyjątkiem GDDKiA)"/>
    <s v="SRP udostępnianie/operacje"/>
    <s v="SRP udostępnianie/operacje (Umowa na realizację przez COI niektórych zadań Ministra Cyfryzacji)"/>
    <n v="784"/>
    <m/>
    <m/>
    <m/>
    <m/>
    <m/>
    <m/>
    <m/>
    <m/>
    <m/>
  </r>
  <r>
    <x v="0"/>
    <x v="0"/>
    <s v="DTC"/>
    <x v="0"/>
    <x v="0"/>
    <x v="0"/>
    <s v="16.1.2.1"/>
    <s v="budżet państwa (z wyjątkiem GDDKiA)"/>
    <s v="Utrzymanie SRP - usługi własne "/>
    <s v="Utrzymanie SRP - usługi własne (Umowa na realizację przez COI niektórych zadań Ministra Cyfryzacji)"/>
    <n v="8608"/>
    <m/>
    <m/>
    <m/>
    <m/>
    <m/>
    <m/>
    <m/>
    <m/>
    <m/>
  </r>
  <r>
    <x v="0"/>
    <x v="0"/>
    <s v="DTC"/>
    <x v="0"/>
    <x v="0"/>
    <x v="0"/>
    <s v="16.1.2.1"/>
    <s v="budżet państwa (z wyjątkiem GDDKiA)"/>
    <s v="Zadania biznesowe dotyczące SRP"/>
    <s v="Zadania biznesowe dotyczące SRP (Umowa na realizację przez COI niektórych zadań Ministra Cyfryzacji)"/>
    <n v="9950"/>
    <m/>
    <m/>
    <m/>
    <m/>
    <m/>
    <m/>
    <m/>
    <m/>
    <m/>
  </r>
  <r>
    <x v="0"/>
    <x v="0"/>
    <s v="DTC"/>
    <x v="0"/>
    <x v="0"/>
    <x v="0"/>
    <s v="16.1.2.1"/>
    <s v="budżet państwa (z wyjątkiem GDDKiA)"/>
    <s v="Zadania promocyjne SRP"/>
    <s v="Zadania promocyjne SRP (Umowa na realizację przez COI niektórych zadań Ministra Cyfryzacji)"/>
    <n v="3"/>
    <m/>
    <m/>
    <m/>
    <m/>
    <m/>
    <m/>
    <m/>
    <m/>
    <m/>
  </r>
  <r>
    <x v="0"/>
    <x v="0"/>
    <s v="DTC"/>
    <x v="0"/>
    <x v="0"/>
    <x v="0"/>
    <s v="16.1.2.1"/>
    <s v="budżet państwa (z wyjątkiem GDDKiA)"/>
    <s v="Rozwój BUSC (SRP) - działania biznesowe"/>
    <s v="Rozwój BUSC (SRP) - działania biznesowe (Umowa na realizację przez COI niektórych zadań Ministra Cyfryzacji)"/>
    <n v="16"/>
    <m/>
    <m/>
    <m/>
    <m/>
    <m/>
    <m/>
    <m/>
    <m/>
    <m/>
  </r>
  <r>
    <x v="0"/>
    <x v="0"/>
    <s v="DTC"/>
    <x v="0"/>
    <x v="0"/>
    <x v="0"/>
    <s v="16.5.1.2."/>
    <s v="budżet państwa (z wyjątkiem GDDKiA)"/>
    <s v="Utrzymanie aplikacji Susza"/>
    <s v="Utrzymanie aplikacji Susza (Umowa na realizację przez COI niektórych zadań Ministra Cyfryzacji)"/>
    <n v="1775"/>
    <m/>
    <m/>
    <m/>
    <m/>
    <m/>
    <m/>
    <m/>
    <m/>
    <m/>
  </r>
  <r>
    <x v="0"/>
    <x v="0"/>
    <s v="DTC"/>
    <x v="0"/>
    <x v="0"/>
    <x v="0"/>
    <s v="16.5.1.2."/>
    <s v="budżet państwa (z wyjątkiem GDDKiA)"/>
    <s v="Prace utrzymaniowe dotyczące WIIP"/>
    <s v="Prace utrzymaniowe dotyczące WIIP (Umowa na realizację przez COI niektórych zadań Ministra Cyfryzacji)"/>
    <n v="1334"/>
    <m/>
    <m/>
    <m/>
    <m/>
    <m/>
    <m/>
    <m/>
    <m/>
    <m/>
  </r>
  <r>
    <x v="0"/>
    <x v="0"/>
    <s v="DTC"/>
    <x v="0"/>
    <x v="0"/>
    <x v="0"/>
    <s v="16.5.1.2."/>
    <s v="budżet państwa (z wyjątkiem GDDKiA)"/>
    <s v="Zadania biznesowe dotyczące WIIP"/>
    <s v="Zadania biznesowe dotyczące WIIP (Umowa na realizację przez COI niektórych zadań Ministra Cyfryzacji)"/>
    <n v="8732"/>
    <m/>
    <m/>
    <m/>
    <m/>
    <m/>
    <m/>
    <m/>
    <m/>
    <m/>
  </r>
  <r>
    <x v="0"/>
    <x v="0"/>
    <s v="DTC"/>
    <x v="0"/>
    <x v="0"/>
    <x v="0"/>
    <s v="16.5.1.2."/>
    <s v="budżet państwa (z wyjątkiem GDDKiA)"/>
    <s v="Projekt rozwoju oprogramowania systemu ZUCH - działania biznesowe"/>
    <s v="Projekt rozwoju oprogramowania systemu ZUCH - działania biznesowe (Umowa na realizację przez COI niektórych zadań Ministra Cyfryzacji)"/>
    <n v="327"/>
    <m/>
    <m/>
    <m/>
    <m/>
    <m/>
    <m/>
    <m/>
    <m/>
    <m/>
  </r>
  <r>
    <x v="0"/>
    <x v="0"/>
    <s v="DTC"/>
    <x v="0"/>
    <x v="0"/>
    <x v="0"/>
    <s v="16.5.1.2."/>
    <s v="budżet państwa (z wyjątkiem GDDKiA)"/>
    <s v="Utrzymanie ZUCH"/>
    <s v="Utrzymanie ZUCH (Umowa na realizację przez COI niektórych zadań Ministra Cyfryzacji)"/>
    <n v="3667"/>
    <m/>
    <m/>
    <m/>
    <m/>
    <m/>
    <m/>
    <m/>
    <m/>
    <m/>
  </r>
  <r>
    <x v="0"/>
    <x v="0"/>
    <s v="DTC"/>
    <x v="0"/>
    <x v="0"/>
    <x v="0"/>
    <s v="16.1.2.1"/>
    <s v="budżet państwa (z wyjątkiem GDDKiA)"/>
    <s v="RCT udostępnianie/operacje"/>
    <s v="RCT udostępnianie/operacje (Umowa na realizację przez COI niektórych zadań Ministra Cyfryzacji)"/>
    <n v="49"/>
    <m/>
    <m/>
    <m/>
    <m/>
    <m/>
    <m/>
    <m/>
    <m/>
    <m/>
  </r>
  <r>
    <x v="0"/>
    <x v="0"/>
    <s v="DTC"/>
    <x v="0"/>
    <x v="0"/>
    <x v="0"/>
    <s v="16.1.2.1"/>
    <s v="budżet państwa (z wyjątkiem GDDKiA)"/>
    <s v="Utrzymanie WK, PZ, SIE (RCT)"/>
    <s v="Utrzymanie WK, PZ, SIE (RCT) (Umowa na realizację przez COI niektórych zadań Ministra Cyfryzacji)"/>
    <n v="16803"/>
    <m/>
    <m/>
    <m/>
    <m/>
    <m/>
    <m/>
    <m/>
    <m/>
    <m/>
  </r>
  <r>
    <x v="0"/>
    <x v="0"/>
    <s v="DTC"/>
    <x v="0"/>
    <x v="0"/>
    <x v="0"/>
    <s v="16.1.2.1"/>
    <s v="budżet państwa (z wyjątkiem GDDKiA)"/>
    <s v="Zadania biznesowe dotyczące RCT"/>
    <s v="Zadania biznesowe dotyczące RCT (Umowa na realizację przez COI niektórych zadań Ministra Cyfryzacji)"/>
    <n v="7388"/>
    <m/>
    <m/>
    <m/>
    <m/>
    <m/>
    <m/>
    <m/>
    <m/>
    <m/>
  </r>
  <r>
    <x v="0"/>
    <x v="0"/>
    <s v="DTC"/>
    <x v="0"/>
    <x v="0"/>
    <x v="0"/>
    <s v="16.1.2.1"/>
    <s v="budżet państwa (z wyjątkiem GDDKiA)"/>
    <s v="Wsparcie w przygotowaniu dokumentacji projektowej do FERC – RCT"/>
    <s v="Wsparcie w przygotowaniu dokumentacji projektowej do FERC – RCT (Umowa na realizację przez COI niektórych zadań Ministra Cyfryzacji)"/>
    <n v="327"/>
    <m/>
    <m/>
    <m/>
    <m/>
    <m/>
    <m/>
    <m/>
    <m/>
    <m/>
  </r>
  <r>
    <x v="0"/>
    <x v="0"/>
    <s v="DTC"/>
    <x v="0"/>
    <x v="0"/>
    <x v="0"/>
    <s v="16.1.2.1"/>
    <s v="budżet państwa (z wyjątkiem GDDKiA)"/>
    <s v="Węzeł podpisu - utrzymanie (kwiecień)"/>
    <s v="Węzeł podpisu - utrzymanie (kwiecień) (Umowa na realizację przez COI niektórych zadań Ministra Cyfryzacji)"/>
    <n v="7682"/>
    <m/>
    <m/>
    <m/>
    <m/>
    <m/>
    <m/>
    <m/>
    <m/>
    <m/>
  </r>
  <r>
    <x v="0"/>
    <x v="0"/>
    <s v="DTC"/>
    <x v="0"/>
    <x v="0"/>
    <x v="0"/>
    <s v="16.1.2.1"/>
    <s v="budżet państwa (z wyjątkiem GDDKiA)"/>
    <s v="RCT – Węzeł Transgraniczny - Zadania biznesowe"/>
    <s v="RCT – Węzeł Transgraniczny - Zadania biznesowe (Umowa na realizację przez COI niektórych zadań Ministra Cyfryzacji)"/>
    <n v="1887"/>
    <m/>
    <m/>
    <m/>
    <m/>
    <m/>
    <m/>
    <m/>
    <m/>
    <m/>
  </r>
  <r>
    <x v="0"/>
    <x v="0"/>
    <s v="DTC"/>
    <x v="0"/>
    <x v="0"/>
    <x v="0"/>
    <s v="16.1.2.1"/>
    <s v="budżet państwa (z wyjątkiem GDDKiA)"/>
    <s v="Zadania biznesowe dotyczące ZIR i RID"/>
    <s v="Zadania biznesowe dotyczące ZIR i RID (Umowa na realizację przez COI niektórych zadań Ministra Cyfryzacji)"/>
    <n v="904"/>
    <m/>
    <m/>
    <m/>
    <m/>
    <m/>
    <m/>
    <m/>
    <m/>
    <m/>
  </r>
  <r>
    <x v="0"/>
    <x v="0"/>
    <s v="DTC"/>
    <x v="0"/>
    <x v="0"/>
    <x v="0"/>
    <s v="16.1.2.1"/>
    <s v="budżet państwa (z wyjątkiem GDDKiA)"/>
    <s v="ZIR administrowanie"/>
    <s v="ZIR administrowanie (Umowa na realizację przez COI niektórych zadań Ministra Cyfryzacji)"/>
    <n v="11637"/>
    <m/>
    <m/>
    <m/>
    <m/>
    <m/>
    <m/>
    <m/>
    <m/>
    <m/>
  </r>
  <r>
    <x v="0"/>
    <x v="0"/>
    <s v="DTC"/>
    <x v="0"/>
    <x v="0"/>
    <x v="0"/>
    <s v="16.5.1.2."/>
    <s v="budżet państwa (z wyjątkiem GDDKiA)"/>
    <s v="E-Płatności utrzymanie (lipiec)"/>
    <s v="E-Płatności utrzymanie (lipiec) (Umowa na realizację przez COI niektórych zadań Ministra Cyfryzacji)"/>
    <n v="4553"/>
    <m/>
    <m/>
    <m/>
    <m/>
    <m/>
    <m/>
    <m/>
    <m/>
    <m/>
  </r>
  <r>
    <x v="0"/>
    <x v="0"/>
    <s v="DTC"/>
    <x v="0"/>
    <x v="0"/>
    <x v="0"/>
    <s v="16.1.2.1"/>
    <s v="budżet państwa (z wyjątkiem GDDKiA)"/>
    <s v="Środek identyfikacji dla osoby prawnej - uzgodnienia przedprojektowe"/>
    <s v="Środek identyfikacji dla osoby prawnej - uzgodnienia przedprojektowe (Umowa na realizację przez COI niektórych zadań Ministra Cyfryzacji)"/>
    <n v="3690"/>
    <m/>
    <m/>
    <m/>
    <m/>
    <m/>
    <m/>
    <m/>
    <m/>
    <m/>
  </r>
  <r>
    <x v="0"/>
    <x v="0"/>
    <s v="DTC"/>
    <x v="0"/>
    <x v="0"/>
    <x v="0"/>
    <s v="16.5.1.2."/>
    <s v="budżet państwa (z wyjątkiem GDDKiA)"/>
    <s v="Zadania biznesowe dotyczące Portalu AI"/>
    <s v="Zadania biznesowe dotyczące Portalu AI (Umowa na realizację przez COI niektórych zadań Ministra Cyfryzacji)"/>
    <n v="400"/>
    <m/>
    <m/>
    <m/>
    <m/>
    <m/>
    <m/>
    <m/>
    <m/>
    <m/>
  </r>
  <r>
    <x v="0"/>
    <x v="0"/>
    <s v="DTC"/>
    <x v="0"/>
    <x v="0"/>
    <x v="0"/>
    <s v="16.5.1.2."/>
    <s v="budżet państwa (z wyjątkiem GDDKiA)"/>
    <s v="Utrzymanie Portalu AI"/>
    <s v="Utrzymanie Portalu AI (Umowa na realizację przez COI niektórych zadań Ministra Cyfryzacji)"/>
    <n v="738"/>
    <m/>
    <m/>
    <m/>
    <m/>
    <m/>
    <m/>
    <m/>
    <m/>
    <m/>
  </r>
  <r>
    <x v="0"/>
    <x v="0"/>
    <s v="DTC"/>
    <x v="0"/>
    <x v="0"/>
    <x v="0"/>
    <s v="16.1.2.1"/>
    <s v="budżet państwa (z wyjątkiem GDDKiA)"/>
    <s v="Wsparcie i rozbudowa oprogramowania narzędziowego dla_x000a_środowiska KN w celu zapewnienia pomocy technicznej, dostępu do poprawek oraz praw do_x000a_nowych wersji oprogramowania na okres 12 miesięcy"/>
    <s v="Wsparcie i rozbudowa oprogramowania narzędziowego dla_x000a_środowiska KN w celu zapewnienia pomocy technicznej, dostępu do poprawek oraz praw do nowych wersji oprogramowania na okres 12 miesięcy (Umowa na realizację przez COI niektórych zadań Ministra Cyfryzacji - odsprzedaż)"/>
    <n v="129"/>
    <m/>
    <m/>
    <m/>
    <m/>
    <m/>
    <m/>
    <m/>
    <m/>
    <m/>
  </r>
  <r>
    <x v="0"/>
    <x v="0"/>
    <s v="DTC"/>
    <x v="0"/>
    <x v="0"/>
    <x v="0"/>
    <s v="16.1.2.1"/>
    <s v="budżet państwa (z wyjątkiem GDDKiA)"/>
    <s v="Testy bezpieczeństwa 18 mcy"/>
    <s v="Testy bezpieczeństwa 18 mcy (Umowa na realizację przez COI niektórych zadań Ministra Cyfryzacji - odsprzedaż)"/>
    <n v="507"/>
    <m/>
    <m/>
    <m/>
    <m/>
    <m/>
    <m/>
    <m/>
    <m/>
    <m/>
  </r>
  <r>
    <x v="0"/>
    <x v="0"/>
    <s v="DTC"/>
    <x v="0"/>
    <x v="0"/>
    <x v="0"/>
    <s v="16.1.2.1"/>
    <s v="budżet państwa (z wyjątkiem GDDKiA)"/>
    <s v="Świadczenie serwisu pogwarancyjnego i usług wsparcia technicznego_x000a_ dla urządzeń i oprogramowania na potrzeby KN (bezpieczna łączność) - serwis pogwarancyjny systemu ochrony informacji niejawnych z wykorzystaniem szyfratorów IP KRYPTON K2 na 12 m-cy"/>
    <s v="Świadczenie serwisu pogwarancyjnego i usług wsparcia technicznego_x000a_ dla urządzeń i oprogramowania na potrzeby KN (bezpieczna łączność) - serwis pogwarancyjny systemu ochrony informacji niejawnych z wykorzystaniem szyfratorów IP KRYPTON K2 na 12 m-cy (Umowa na realizację przez COI niektórych zadań Ministra Cyfryzacji - odsprzedaż)"/>
    <n v="284"/>
    <m/>
    <m/>
    <m/>
    <m/>
    <m/>
    <m/>
    <m/>
    <m/>
    <m/>
  </r>
  <r>
    <x v="0"/>
    <x v="0"/>
    <s v="DTC"/>
    <x v="0"/>
    <x v="0"/>
    <x v="0"/>
    <s v="16.1.2.1"/>
    <s v="budżet państwa (z wyjątkiem GDDKiA)"/>
    <s v="Przedłużenie wsparcia technicznego oprogramowania Red Hat Jboss wraz z dostawą subskrypcji/_x000a_zakup usługi wsparcia technicznego oprogramowania Euro Application Platform na 12 miesięcy"/>
    <s v="Przedłużenie wsparcia technicznego oprogramowania Red Hat Jboss wraz z dostawą subskrypcji/ zakup usługi wsparcia technicznego oprogramowania Euro Application Platform na 12 miesięcy (Umowa na realizację przez COI niektórych zadań Ministra Cyfryzacji - odsprzedaż)"/>
    <n v="1525"/>
    <m/>
    <m/>
    <m/>
    <m/>
    <m/>
    <m/>
    <m/>
    <m/>
    <m/>
  </r>
  <r>
    <x v="0"/>
    <x v="0"/>
    <s v="DTC"/>
    <x v="0"/>
    <x v="0"/>
    <x v="0"/>
    <s v="16.1.2.1"/>
    <s v="budżet państwa (z wyjątkiem GDDKiA)"/>
    <s v="Proxy do ZIR (działania administracyjne)"/>
    <s v="Proxy do ZIR (działania administracyjne) (Umowa na realizację przez COI niektórych zadań Ministra Cyfryzacji - odsprzedaż)"/>
    <n v="251"/>
    <m/>
    <m/>
    <m/>
    <m/>
    <m/>
    <m/>
    <m/>
    <m/>
    <m/>
  </r>
  <r>
    <x v="0"/>
    <x v="0"/>
    <s v="DTC"/>
    <x v="0"/>
    <x v="0"/>
    <x v="0"/>
    <s v="16.1.2.1"/>
    <s v="budżet państwa (z wyjątkiem GDDKiA)"/>
    <s v="Certyfikaty i Pieczęcie elektroniczne zbiorczo ( zapadające 2025, 2026, 2027)"/>
    <s v="Certyfikaty i Pieczęcie elektroniczne zbiorczo ( zapadające 2025, 2026, 2027) (Umowa na realizację przez COI niektórych zadań Ministra Cyfryzacji - odsprzedaż)"/>
    <n v="115"/>
    <m/>
    <m/>
    <m/>
    <m/>
    <m/>
    <m/>
    <m/>
    <m/>
    <m/>
  </r>
  <r>
    <x v="0"/>
    <x v="0"/>
    <s v="DTC"/>
    <x v="0"/>
    <x v="0"/>
    <x v="0"/>
    <s v="16.1.2.1"/>
    <s v="budżet państwa (z wyjątkiem GDDKiA)"/>
    <s v="Wsparcie i rozbudowa oprogramowania narzędziowego (5 części)"/>
    <s v="Wsparcie i rozbudowa oprogramowania narzędziowego (5 części) (Umowa na realizację przez COI niektórych zadań Ministra Cyfryzacji - odsprzedaż)"/>
    <n v="382"/>
    <m/>
    <m/>
    <m/>
    <m/>
    <m/>
    <m/>
    <m/>
    <m/>
    <m/>
  </r>
  <r>
    <x v="0"/>
    <x v="0"/>
    <s v="DTC"/>
    <x v="0"/>
    <x v="0"/>
    <x v="0"/>
    <s v="16.1.2.1"/>
    <s v="budżet państwa (z wyjątkiem GDDKiA)"/>
    <s v="Rozbudowa Skanera Tenable o moduł WAS 5FQDN (rok) i odnowienie wsparcia "/>
    <s v="Rozbudowa Skanera Tenable o moduł WAS 5FQDN (rok) i odnowienie wsparcia (Umowa na realizację przez COI niektórych zadań Ministra Cyfryzacji - odsprzedaż)"/>
    <n v="63"/>
    <m/>
    <m/>
    <m/>
    <m/>
    <m/>
    <m/>
    <m/>
    <m/>
    <m/>
  </r>
  <r>
    <x v="0"/>
    <x v="0"/>
    <s v="DTC"/>
    <x v="0"/>
    <x v="0"/>
    <x v="0"/>
    <s v="16.5.1.2."/>
    <s v="budżet państwa (z wyjątkiem GDDKiA)"/>
    <s v="Zakup wsparcia technicznego (godzin eksperckich) na potrzeby_x000a_ systemów Rządowej Chmury Obliczeniowej."/>
    <s v="Zakup wsparcia technicznego (godzin eksperckich) na potrzeby_x000a_ systemów Rządowej Chmury Obliczeniowej. (Umowa na realizację przez COI niektórych zadań Ministra Cyfryzacji - odsprzedaż)"/>
    <n v="1036"/>
    <m/>
    <m/>
    <m/>
    <m/>
    <m/>
    <m/>
    <m/>
    <m/>
    <m/>
  </r>
  <r>
    <x v="0"/>
    <x v="0"/>
    <s v="DTC"/>
    <x v="0"/>
    <x v="0"/>
    <x v="0"/>
    <s v="16.1.2.1"/>
    <s v="budżet państwa (z wyjątkiem GDDKiA)"/>
    <s v="odnowienia certyfikatów Asecco ( zbiorczo) 2025"/>
    <s v="odnowienia certyfikatów Asecco ( zbiorczo) 2025 (Umowa na realizację przez COI niektórych zadań Ministra Cyfryzacji - odsprzedaż)"/>
    <n v="89"/>
    <m/>
    <m/>
    <m/>
    <m/>
    <m/>
    <m/>
    <m/>
    <m/>
    <m/>
  </r>
  <r>
    <x v="0"/>
    <x v="0"/>
    <s v="DTC"/>
    <x v="0"/>
    <x v="0"/>
    <x v="0"/>
    <s v="16.1.2.1"/>
    <s v="budżet państwa (z wyjątkiem GDDKiA)"/>
    <s v="Świadczenie usług serwisu i wsparcia technicznego deduplikatorów EMC w okresie 24 m-cy ( ODNOWIENIE )"/>
    <s v="Świadczenie usług serwisu i wsparcia technicznego deduplikatorów EMC w okresie 24 m-cy ( ODNOWIENIE ) (Umowa na realizację przez COI niektórych zadań Ministra Cyfryzacji - odsprzedaż)"/>
    <n v="605"/>
    <m/>
    <m/>
    <m/>
    <m/>
    <m/>
    <m/>
    <m/>
    <m/>
    <m/>
  </r>
  <r>
    <x v="0"/>
    <x v="0"/>
    <s v="DTC"/>
    <x v="0"/>
    <x v="0"/>
    <x v="0"/>
    <s v="16.1.2.1"/>
    <s v="budżet państwa (z wyjątkiem GDDKiA)"/>
    <s v="zapewnienie 24 miesiecznego wsparcia technicznego dla licencji na oprogramowanie ( 2 części)-_x000a_ część II"/>
    <s v="zapewnienie 24 miesiecznego wsparcia technicznego dla licencji na oprogramowanie ( 2 części)-_x000a_ część II (Umowa na realizację przez COI niektórych zadań Ministra Cyfryzacji - odsprzedaż)"/>
    <n v="264"/>
    <m/>
    <m/>
    <m/>
    <m/>
    <m/>
    <m/>
    <m/>
    <m/>
    <m/>
  </r>
  <r>
    <x v="0"/>
    <x v="0"/>
    <s v="DTC"/>
    <x v="0"/>
    <x v="0"/>
    <x v="0"/>
    <s v="16.1.2.1"/>
    <s v="budżet państwa (z wyjątkiem GDDKiA)"/>
    <s v="zapewnienie wsparcia technicznego dla środowiska do zarządzania kodem źródłowym dla 1000_x000a_ użytkowników na okres 12 miesięcy- ZMIANA NA KOSZTY WŁASNE"/>
    <s v="zapewnienie wsparcia technicznego dla środowiska do zarządzania kodem źródłowym dla 1000_x000a_ użytkowników na okres 12 miesięcy- ZMIANA NA KOSZTY WŁASNE (Umowa na realizację przez COI niektórych zadań Ministra Cyfryzacji - odsprzedaż)"/>
    <n v="178"/>
    <m/>
    <m/>
    <m/>
    <m/>
    <m/>
    <m/>
    <m/>
    <m/>
    <m/>
  </r>
  <r>
    <x v="0"/>
    <x v="0"/>
    <s v="DTC"/>
    <x v="0"/>
    <x v="0"/>
    <x v="0"/>
    <s v="16.1.2.1"/>
    <s v="budżet państwa (z wyjątkiem GDDKiA)"/>
    <s v="Zapewnienie usługi wsparcia technicznego_x000a_ dla posiadanego przez Zamawiającego oprogramowania Redhat Enterprise Linux for Virtual Datacenters Standard na 12 miesięcy"/>
    <s v="Zapewnienie usługi wsparcia technicznego_x000a_ dla posiadanego przez Zamawiającego oprogramowania Redhat Enterprise Linux for Virtual Datacenters Standard na 12 miesięcy (Umowa na realizację przez COI niektórych zadań Ministra Cyfryzacji - odsprzedaż)"/>
    <n v="171"/>
    <m/>
    <m/>
    <m/>
    <m/>
    <m/>
    <m/>
    <m/>
    <m/>
    <m/>
  </r>
  <r>
    <x v="0"/>
    <x v="0"/>
    <s v="DTC"/>
    <x v="0"/>
    <x v="0"/>
    <x v="0"/>
    <s v="16.1.2.1"/>
    <s v="budżet państwa (z wyjątkiem GDDKiA)"/>
    <s v="Zapewnienie świadczenia usługi wsparcia technicznego na oprogramowanie i sprzęt IBM_x000a_ ( połączono z postepowaniem szyna danych )_x000a_Wymiana_zakup sprzętu, konwersja licencji oraz  zapewnienie świadczenia_x000a_ usługi wsparcia technicznego na oprogramowanie i sprzętu IBM"/>
    <s v="Zapewnienie świadczenia usługi wsparcia technicznego na oprogramowanie i sprzęt IBM  (połączono z postepowaniem szyna danych) Wymiana_zakup sprzętu, konwersja licencji oraz  zapewnienie świadczenia  usługi wsparcia technicznego na oprogramowanie i sprzętu IBM (Umowa na realizację przez COI niektórych zadań Ministra Cyfryzacji - odsprzedaż)"/>
    <n v="3900"/>
    <m/>
    <m/>
    <m/>
    <m/>
    <m/>
    <m/>
    <m/>
    <m/>
    <m/>
  </r>
  <r>
    <x v="0"/>
    <x v="0"/>
    <s v="DTC"/>
    <x v="0"/>
    <x v="0"/>
    <x v="0"/>
    <s v="16.1.2.1"/>
    <s v="budżet państwa (z wyjątkiem GDDKiA)"/>
    <s v="Opłata za utrzymanie adresacji IP zgodnie z umową nr COI/U/3202/36/2013 - _x000a_zarządzanie adresacją udostępnioną przez KPRM i COI - Opłata roczna- odnowienie"/>
    <s v="Opłata za utrzymanie adresacji IP zgodnie z umową nr COI/U/3202/36/2013 - zarządzanie adresacją udostępnioną przez KPRM i COI - Opłata roczna- odnowienie (Umowa na realizację przez COI niektórych zadań Ministra Cyfryzacji - odsprzedaż)"/>
    <n v="11"/>
    <m/>
    <m/>
    <m/>
    <m/>
    <m/>
    <m/>
    <m/>
    <m/>
    <m/>
  </r>
  <r>
    <x v="0"/>
    <x v="0"/>
    <s v="DTC"/>
    <x v="0"/>
    <x v="0"/>
    <x v="0"/>
    <s v="16.5.1.2."/>
    <s v="budżet państwa (z wyjątkiem GDDKiA)"/>
    <s v="zapewnienie usługi wsparcia technicznego dla czterech ruterów wraz z wyposażeniem  na okres 36 miesięcy "/>
    <s v="zapewnienie usługi wsparcia technicznego dla czterech ruterów wraz z wyposażeniem  na okres 36 miesięcy (Umowa na realizację przez COI niektórych zadań Ministra Cyfryzacji - odsprzedaż)"/>
    <n v="2384"/>
    <m/>
    <m/>
    <m/>
    <m/>
    <m/>
    <m/>
    <m/>
    <m/>
    <m/>
  </r>
  <r>
    <x v="0"/>
    <x v="0"/>
    <s v="DTC"/>
    <x v="0"/>
    <x v="0"/>
    <x v="0"/>
    <s v="16.1.2.1"/>
    <s v="budżet państwa (z wyjątkiem GDDKiA)"/>
    <s v="Dzierżawy włókien światłowodowych na okres 36 miesięcy- Część I"/>
    <s v="Dzierżawy włókien światłowodowych na okres 36 miesięcy- Część I (Umowa na realizację przez COI niektórych zadań Ministra Cyfryzacji - odsprzedaż)"/>
    <n v="236"/>
    <m/>
    <m/>
    <m/>
    <m/>
    <m/>
    <m/>
    <m/>
    <m/>
    <m/>
  </r>
  <r>
    <x v="0"/>
    <x v="0"/>
    <s v="DTC"/>
    <x v="0"/>
    <x v="0"/>
    <x v="0"/>
    <s v="16.1.2.1"/>
    <s v="budżet państwa (z wyjątkiem GDDKiA)"/>
    <s v="świadczenie usług telekomunikacyjnych transmisji danych w sieci MPLS VPN"/>
    <s v="świadczenie usług telekomunikacyjnych transmisji danych w sieci MPLS VPN (Umowa na realizację przez COI niektórych zadań Ministra Cyfryzacji - odsprzedaż)"/>
    <n v="196"/>
    <m/>
    <m/>
    <m/>
    <m/>
    <m/>
    <m/>
    <m/>
    <m/>
    <m/>
  </r>
  <r>
    <x v="0"/>
    <x v="0"/>
    <s v="DTC"/>
    <x v="0"/>
    <x v="0"/>
    <x v="0"/>
    <s v="16.5.1.2."/>
    <s v="budżet państwa (z wyjątkiem GDDKiA)"/>
    <s v="zapewnienie usługi wsparcia technicznego dla systemu DNS na okres 36 miesięcy "/>
    <s v="zapewnienie usługi wsparcia technicznego dla systemu DNS na okres 36 miesięcy (Umowa na realizację przez COI niektórych zadań Ministra Cyfryzacji - odsprzedaż)"/>
    <n v="1269"/>
    <m/>
    <m/>
    <m/>
    <m/>
    <m/>
    <m/>
    <m/>
    <m/>
    <m/>
  </r>
  <r>
    <x v="0"/>
    <x v="0"/>
    <s v="DTC"/>
    <x v="0"/>
    <x v="0"/>
    <x v="0"/>
    <s v="16.1.2.1"/>
    <s v="budżet państwa (z wyjątkiem GDDKiA)"/>
    <s v="dla części I : Świadczenie usługi dostępu do Internetu w Lokalizacji I (ul. Pawińskiego 17/21,Warszawa)"/>
    <s v="dla części I : Świadczenie usługi dostępu do Internetu w Lokalizacji I (ul. Pawińskiego 17/21,Warszawa) (Umowa na realizację przez COI niektórych zadań Ministra Cyfryzacji - odsprzedaż)"/>
    <n v="89"/>
    <m/>
    <m/>
    <m/>
    <m/>
    <m/>
    <m/>
    <m/>
    <m/>
    <m/>
  </r>
  <r>
    <x v="0"/>
    <x v="0"/>
    <s v="DTC"/>
    <x v="0"/>
    <x v="0"/>
    <x v="0"/>
    <s v="16.1.2.1"/>
    <s v="budżet państwa (z wyjątkiem GDDKiA)"/>
    <s v="dla część II : Świadczenie usługi dostępu do Internetu w Lokalizacji II (ul. 11 Listopada 23)Warszawa)"/>
    <s v="dla część II : Świadczenie usługi dostępu do Internetu w Lokalizacji II (ul. 11 Listopada 23 Warszawa) (Umowa na realizację przez COI niektórych zadań Ministra Cyfryzacji - odsprzedaż)"/>
    <n v="100"/>
    <m/>
    <m/>
    <m/>
    <m/>
    <m/>
    <m/>
    <m/>
    <m/>
    <m/>
  </r>
  <r>
    <x v="0"/>
    <x v="0"/>
    <s v="DTC"/>
    <x v="0"/>
    <x v="0"/>
    <x v="0"/>
    <s v="16.1.2.1"/>
    <s v="budżet państwa (z wyjątkiem GDDKiA)"/>
    <s v="odnowienie usług wsparcia technicznego dla  2 urządzeń FortiGate 800D na okres 24 miesięcy"/>
    <s v="odnowienie usług wsparcia technicznego dla  2 urządzeń FortiGate 800D na okres 24 miesięcy (Umowa na realizację przez COI niektórych zadań Ministra Cyfryzacji - odsprzedaż)"/>
    <n v="510"/>
    <m/>
    <m/>
    <m/>
    <m/>
    <m/>
    <m/>
    <m/>
    <m/>
    <m/>
  </r>
  <r>
    <x v="0"/>
    <x v="0"/>
    <s v="DTC"/>
    <x v="0"/>
    <x v="0"/>
    <x v="0"/>
    <s v="16.5.1.2."/>
    <s v="budżet państwa (z wyjątkiem GDDKiA)"/>
    <s v="zapewnienie wsparcia technicznego dla oprogramowania (3 części) -   część nr 1 zamówienia &quot;Dostawa serwerów wraz z oprogramowaniem, napędów taśmowych i taśm magnetycznych"/>
    <s v="zapewnienie wsparcia technicznego dla oprogramowania (3 części) -   część nr 1 zamówienia &quot;Dostawa serwerów wraz z oprogramowaniem, napędów taśmowych i taśm magnetycznych (Umowa na realizację przez COI niektórych zadań Ministra Cyfryzacji - odsprzedaż)"/>
    <n v="85"/>
    <m/>
    <m/>
    <m/>
    <m/>
    <m/>
    <m/>
    <m/>
    <m/>
    <m/>
  </r>
  <r>
    <x v="0"/>
    <x v="0"/>
    <s v="DTC"/>
    <x v="0"/>
    <x v="0"/>
    <x v="0"/>
    <s v="16.1.2.1"/>
    <s v="budżet państwa (z wyjątkiem GDDKiA)"/>
    <s v="zapewnienie usługi wsparcia technicznego dla szafy rack i przełączników sieciowych"/>
    <s v="zapewnienie usługi wsparcia technicznego dla szafy rack i przełączników sieciowych (Umowa na realizację przez COI niektórych zadań Ministra Cyfryzacji - odsprzedaż)"/>
    <n v="1491"/>
    <m/>
    <m/>
    <m/>
    <m/>
    <m/>
    <m/>
    <m/>
    <m/>
    <m/>
  </r>
  <r>
    <x v="0"/>
    <x v="0"/>
    <s v="DTC"/>
    <x v="0"/>
    <x v="0"/>
    <x v="0"/>
    <s v="16.5.1.2."/>
    <s v="budżet państwa (z wyjątkiem GDDKiA)"/>
    <s v="zapewnienie wsparcia technicznego dla  platformy sprzętowej i Oprogramowania do monitorowania"/>
    <s v="zapewnienie wsparcia technicznego dla  platformy sprzętowej i Oprogramowania do monitorowania (Umowa na realizację przez COI niektórych zadań Ministra Cyfryzacji - odsprzedaż)"/>
    <n v="1925"/>
    <m/>
    <m/>
    <m/>
    <m/>
    <m/>
    <m/>
    <m/>
    <m/>
    <m/>
  </r>
  <r>
    <x v="0"/>
    <x v="0"/>
    <s v="DTC"/>
    <x v="0"/>
    <x v="0"/>
    <x v="0"/>
    <s v="16.5.1.2."/>
    <s v="budżet państwa (z wyjątkiem GDDKiA)"/>
    <s v="zapewnienie usługi wsparcia technicznego dla systemu IBM Qradar "/>
    <s v="zapewnienie usługi wsparcia technicznego dla systemu IBM Qradar (Umowa na realizację przez COI niektórych zadań Ministra Cyfryzacji - odsprzedaż)"/>
    <n v="3048"/>
    <m/>
    <m/>
    <m/>
    <m/>
    <m/>
    <m/>
    <m/>
    <m/>
    <m/>
  </r>
  <r>
    <x v="0"/>
    <x v="0"/>
    <s v="DTC"/>
    <x v="0"/>
    <x v="0"/>
    <x v="0"/>
    <s v="16.5.1.2."/>
    <s v="budżet państwa (z wyjątkiem GDDKiA)"/>
    <s v="zapewnienie usługi wsparcia technicznego dla Platformy w zakresie systemów klasy ITSM i SAM"/>
    <s v="zapewnienie usługi wsparcia technicznego dla Platformy w zakresie systemów klasy ITSM i SAM (Umowa na realizację przez COI niektórych zadań Ministra Cyfryzacji - odsprzedaż)"/>
    <n v="4286"/>
    <m/>
    <m/>
    <m/>
    <m/>
    <m/>
    <m/>
    <m/>
    <m/>
    <m/>
  </r>
  <r>
    <x v="0"/>
    <x v="0"/>
    <s v="DTC"/>
    <x v="0"/>
    <x v="0"/>
    <x v="0"/>
    <s v="16.1.2.1"/>
    <s v="budżet państwa (z wyjątkiem GDDKiA)"/>
    <s v="zapewnienie wsparcia technicznego dla urządzeń wraz z oprogramowaniem ( 4 części)_x000a_część IV – Dostawa oprogramowania Oracle lub równoważnego _x000a_wraz ze wsparciem technicznym"/>
    <s v="zapewnienie wsparcia technicznego dla urządzeń wraz z oprogramowaniem ( 4 części) część IV – Dostawa oprogramowania Oracle lub równoważnego wraz ze wsparciem technicznym (Umowa na realizację przez COI niektórych zadań Ministra Cyfryzacji - odsprzedaż)"/>
    <n v="2208"/>
    <m/>
    <m/>
    <m/>
    <m/>
    <m/>
    <m/>
    <m/>
    <m/>
    <m/>
  </r>
  <r>
    <x v="0"/>
    <x v="0"/>
    <s v="DTC"/>
    <x v="0"/>
    <x v="0"/>
    <x v="0"/>
    <s v="16.1.2.1"/>
    <s v="budżet państwa (z wyjątkiem GDDKiA)"/>
    <s v="zapewnienie wsparcia technicznego dla trzech modułów kryptograficznych HSM_x000a_ (Hardware Security Module) na okres 24 miesięcy"/>
    <s v="zapewnienie wsparcia technicznego dla trzech modułów kryptograficznych HSM  (Hardware Security Module) na okres 24 miesięcy (Umowa na realizację przez COI niektórych zadań Ministra Cyfryzacji - odsprzedaż)"/>
    <n v="447"/>
    <m/>
    <m/>
    <m/>
    <m/>
    <m/>
    <m/>
    <m/>
    <m/>
    <m/>
  </r>
  <r>
    <x v="0"/>
    <x v="0"/>
    <s v="DTC"/>
    <x v="0"/>
    <x v="0"/>
    <x v="0"/>
    <s v="16.1.2.1"/>
    <s v="budżet państwa (z wyjątkiem GDDKiA)"/>
    <s v="odnowienie świadczenie usługi APN  na 12 m-cy"/>
    <s v="odnowienie świadczenie usługi APN  na 12 m-cy (Umowa na realizację przez COI niektórych zadań Ministra Cyfryzacji - odsprzedaż)"/>
    <n v="147"/>
    <m/>
    <m/>
    <m/>
    <m/>
    <m/>
    <m/>
    <m/>
    <m/>
    <m/>
  </r>
  <r>
    <x v="0"/>
    <x v="0"/>
    <s v="DTC"/>
    <x v="0"/>
    <x v="0"/>
    <x v="0"/>
    <s v="16.1.2.1"/>
    <s v="budżet państwa (z wyjątkiem GDDKiA)"/>
    <s v="zapewnienie wsparcia technicznego dla oprogramowania DynaTrace i licencji DynaTrace lub równoważnych"/>
    <s v="zapewnienie wsparcia technicznego dla oprogramowania DynaTrace i licencji DynaTrace lub równoważnych (Umowa na realizację przez COI niektórych zadań Ministra Cyfryzacji - odsprzedaż)"/>
    <n v="11704"/>
    <m/>
    <m/>
    <m/>
    <m/>
    <m/>
    <m/>
    <m/>
    <m/>
    <m/>
  </r>
  <r>
    <x v="0"/>
    <x v="0"/>
    <s v="DTC"/>
    <x v="0"/>
    <x v="0"/>
    <x v="0"/>
    <s v="16.1.2.1"/>
    <s v="budżet państwa (z wyjątkiem GDDKiA)"/>
    <s v="zapewnienie usług wsparcia technicznego dla urządzeń_x000a_sieciowych Load Balancer F5 Networks BIG-IP 7250 wraz z oprogramowaniem"/>
    <s v="zapewnienie usług wsparcia technicznego dla urządzeń_x000a_sieciowych Load Balancer F5 Networks BIG-IP 7250 wraz z oprogramowaniem (Umowa na realizację przez COI niektórych zadań Ministra Cyfryzacji - odsprzedaż)"/>
    <n v="570"/>
    <m/>
    <m/>
    <m/>
    <m/>
    <m/>
    <m/>
    <m/>
    <m/>
    <m/>
  </r>
  <r>
    <x v="0"/>
    <x v="0"/>
    <s v="DTC"/>
    <x v="0"/>
    <x v="0"/>
    <x v="0"/>
    <s v="16.5.1.2."/>
    <s v="budżet państwa (z wyjątkiem GDDKiA)"/>
    <s v="zapewnienie wsparcia technicznego na  oprogramowanie wraz z licencjami dla Wirtualizatora A na okres 36 m-cy"/>
    <s v="zapewnienie wsparcia technicznego na  oprogramowanie wraz z licencjami dla Wirtualizatora A na okres 36 m-cy (Umowa na realizację przez COI niektórych zadań Ministra Cyfryzacji - odsprzedaż)"/>
    <n v="1364"/>
    <m/>
    <m/>
    <m/>
    <m/>
    <m/>
    <m/>
    <m/>
    <m/>
    <m/>
  </r>
  <r>
    <x v="0"/>
    <x v="0"/>
    <s v="DTC"/>
    <x v="0"/>
    <x v="0"/>
    <x v="0"/>
    <s v="16.1.2.1"/>
    <s v="budżet państwa (z wyjątkiem GDDKiA)"/>
    <s v="zapewnienie wsparcia eksperckiego dla oprogramowania  DynaTrace"/>
    <s v="zapewnienie wsparcia eksperckiego dla oprogramowania  DynaTrace (Umowa na realizację przez COI niektórych zadań Ministra Cyfryzacji - odsprzedaż)"/>
    <n v="506"/>
    <m/>
    <m/>
    <m/>
    <m/>
    <m/>
    <m/>
    <m/>
    <m/>
    <m/>
  </r>
  <r>
    <x v="0"/>
    <x v="0"/>
    <s v="DTC"/>
    <x v="0"/>
    <x v="0"/>
    <x v="0"/>
    <s v="16.5.1.2."/>
    <s v="budżet państwa (z wyjątkiem GDDKiA)"/>
    <s v="zapewnienie wsparcia technicznego dla systemu o monitorowania i analizowania przepływów_x000a_ sieciowych na okres 36 miesięcy "/>
    <s v="zapewnienie wsparcia technicznego dla systemu o monitorowania i analizowania przepływów sieciowych na okres 36 miesięcy (Umowa na realizację przez COI niektórych zadań Ministra Cyfryzacji - odsprzedaż)"/>
    <n v="1430"/>
    <m/>
    <m/>
    <m/>
    <m/>
    <m/>
    <m/>
    <m/>
    <m/>
    <m/>
  </r>
  <r>
    <x v="0"/>
    <x v="0"/>
    <s v="DTC"/>
    <x v="0"/>
    <x v="0"/>
    <x v="0"/>
    <s v="16.1.2.1"/>
    <s v="budżet państwa (z wyjątkiem GDDKiA)"/>
    <s v="zapewnienie wsparcia technicznego dla czterech routerów wraz z wyposażeniem na okres 36 miesięcy"/>
    <s v="zapewnienie wsparcia technicznego dla czterech routerów wraz z wyposażeniem na okres 36 miesięcy (Umowa na realizację przez COI niektórych zadań Ministra Cyfryzacji - odsprzedaż)"/>
    <n v="611"/>
    <m/>
    <m/>
    <m/>
    <m/>
    <m/>
    <m/>
    <m/>
    <m/>
    <m/>
  </r>
  <r>
    <x v="0"/>
    <x v="0"/>
    <s v="DTC"/>
    <x v="0"/>
    <x v="0"/>
    <x v="0"/>
    <s v="16.5.1.2."/>
    <s v="budżet państwa (z wyjątkiem GDDKiA)"/>
    <s v="zapewnienie wsparcia technicznego na  8 wirtualnych appliance (klasy NGFW), 2 konsoli _x000a_zarządzających na okres 36 miesięcy"/>
    <s v="zapewnienie wsparcia technicznego na  8 wirtualnych appliance (klasy NGFW), 2 konsoli zarządzających na okres 36 miesięcy (Umowa na realizację przez COI niektórych zadań Ministra Cyfryzacji - odsprzedaż)"/>
    <n v="1445"/>
    <m/>
    <m/>
    <m/>
    <m/>
    <m/>
    <m/>
    <m/>
    <m/>
    <m/>
  </r>
  <r>
    <x v="0"/>
    <x v="0"/>
    <s v="DTC"/>
    <x v="0"/>
    <x v="0"/>
    <x v="0"/>
    <s v="16.1.2.1"/>
    <s v="budżet państwa (z wyjątkiem GDDKiA)"/>
    <s v="zapewnienie wsparcia technicznego dla subskrypcji Oprogramowania Xray (Data Center)"/>
    <s v="zapewnienie wsparcia technicznego dla subskrypcji Oprogramowania Xray (Data Center) (Umowa na realizację przez COI niektórych zadań Ministra Cyfryzacji - odsprzedaż)"/>
    <n v="183"/>
    <m/>
    <m/>
    <m/>
    <m/>
    <m/>
    <m/>
    <m/>
    <m/>
    <m/>
  </r>
  <r>
    <x v="0"/>
    <x v="0"/>
    <s v="DTC"/>
    <x v="0"/>
    <x v="0"/>
    <x v="0"/>
    <s v="16.5.1.2."/>
    <s v="budżet państwa (z wyjątkiem GDDKiA)"/>
    <s v="Świadczenie usługi dostępu do Internetu i usługi antyDDoS dla_x000a_ jednej lokalizacji przez okres 36 miesięcy."/>
    <s v="Świadczenie usługi dostępu do Internetu i usługi antyDDoS dla_x000a_ jednej lokalizacji przez okres 36 miesięcy. (Umowa na realizację przez COI niektórych zadań Ministra Cyfryzacji - odsprzedaż)"/>
    <n v="320"/>
    <m/>
    <m/>
    <m/>
    <m/>
    <m/>
    <m/>
    <m/>
    <m/>
    <m/>
  </r>
  <r>
    <x v="0"/>
    <x v="0"/>
    <s v="DTC"/>
    <x v="0"/>
    <x v="0"/>
    <x v="0"/>
    <s v="16.5.1.2."/>
    <s v="budżet państwa (z wyjątkiem GDDKiA)"/>
    <s v="zapewnienie wsparcia technicznego na oprogramowanie i licencje dla Wirtualizatora C- część III"/>
    <s v="zapewnienie wsparcia technicznego na oprogramowanie i licencje dla Wirtualizatora C- część III (Umowa na realizację przez COI niektórych zadań Ministra Cyfryzacji - odsprzedaż)"/>
    <n v="3955"/>
    <m/>
    <m/>
    <m/>
    <m/>
    <m/>
    <m/>
    <m/>
    <m/>
    <m/>
  </r>
  <r>
    <x v="0"/>
    <x v="0"/>
    <s v="DTC"/>
    <x v="0"/>
    <x v="0"/>
    <x v="0"/>
    <s v="16.5.1.2."/>
    <s v="budżet państwa (z wyjątkiem GDDKiA)"/>
    <s v="zapewnienie _x000a_36-miesięcznego wsparcia technicznego świadczonego przez producenta _x000a_Oprogramowania wraz z licencjami dla Wirtualizatora "/>
    <s v="zapewnienie 36-miesięcznego wsparcia technicznego świadczonego przez producenta Oprogramowania wraz z licencjami dla Wirtualizatora (Umowa na realizację przez COI niektórych zadań Ministra Cyfryzacji - odsprzedaż)"/>
    <n v="944"/>
    <m/>
    <m/>
    <m/>
    <m/>
    <m/>
    <m/>
    <m/>
    <m/>
    <m/>
  </r>
  <r>
    <x v="0"/>
    <x v="0"/>
    <s v="DTC"/>
    <x v="0"/>
    <x v="0"/>
    <x v="0"/>
    <s v="16.5.1.2."/>
    <s v="budżet państwa (z wyjątkiem GDDKiA)"/>
    <s v="zapewnienie usługi wsparcia technicznego dla urządzeń  firewall (ang. Next Generation Firewall) oraz _x000a_ licencji "/>
    <s v="zapewnienie usługi wsparcia technicznego dla urządzeń  firewall (ang. Next Generation Firewall) oraz licencji (Umowa na realizację przez COI niektórych zadań Ministra Cyfryzacji - odsprzedaż) "/>
    <n v="1556"/>
    <m/>
    <m/>
    <m/>
    <m/>
    <m/>
    <m/>
    <m/>
    <m/>
    <m/>
  </r>
  <r>
    <x v="0"/>
    <x v="0"/>
    <s v="DTC"/>
    <x v="0"/>
    <x v="0"/>
    <x v="0"/>
    <s v="16.1.2.1"/>
    <s v="budżet państwa (z wyjątkiem GDDKiA)"/>
    <s v="odnowienie usługi wsparcia technicznego dla dziesięciu sprzętowych modułów_x000a_ kryptograficznych HSM na okres 36 miesięcy"/>
    <s v="odnowienie usługi wsparcia technicznego dla dziesięciu sprzętowych modułów kryptograficznych HSM na okres 36 miesięcy (Umowa na realizację przez COI niektórych zadań Ministra Cyfryzacji - odsprzedaż)"/>
    <n v="1647"/>
    <m/>
    <m/>
    <m/>
    <m/>
    <m/>
    <m/>
    <m/>
    <m/>
    <m/>
  </r>
  <r>
    <x v="0"/>
    <x v="0"/>
    <s v="DTC"/>
    <x v="0"/>
    <x v="0"/>
    <x v="0"/>
    <s v="16.1.2.1"/>
    <s v="budżet państwa (z wyjątkiem GDDKiA)"/>
    <s v="zapewnienie wsparcia technicznego dla platformy konteneryzacyjnej "/>
    <s v="zapewnienie wsparcia technicznego dla platformy konteneryzacyjnej (Umowa na realizację przez COI niektórych zadań Ministra Cyfryzacji - odsprzedaż)"/>
    <n v="3335"/>
    <m/>
    <m/>
    <m/>
    <m/>
    <m/>
    <m/>
    <m/>
    <m/>
    <m/>
  </r>
  <r>
    <x v="0"/>
    <x v="0"/>
    <s v="DTC"/>
    <x v="0"/>
    <x v="0"/>
    <x v="0"/>
    <s v="16.5.1.2."/>
    <s v="budżet państwa (z wyjątkiem GDDKiA)"/>
    <s v="zapewnienie usługi wsparcia dla  8 wirtualnych appliance (klasy Load Balancer z funkcjonalnością_x000a_ terminacji SSL/TLS i WAF) na okres 36 m-cy"/>
    <s v="zapewnienie usługi wsparcia dla  8 wirtualnych appliance (klasy Load Balancer z funkcjonalnością terminacji SSL/TLS i WAF) na okres 36 m-cy (Umowa na realizację przez COI niektórych zadań Ministra Cyfryzacji - odsprzedaż)"/>
    <n v="2235"/>
    <m/>
    <m/>
    <m/>
    <m/>
    <m/>
    <m/>
    <m/>
    <m/>
    <m/>
  </r>
  <r>
    <x v="0"/>
    <x v="0"/>
    <s v="DTC"/>
    <x v="0"/>
    <x v="0"/>
    <x v="0"/>
    <s v="16.1.2.1"/>
    <s v="budżet państwa (z wyjątkiem GDDKiA)"/>
    <s v="Świadczenie usług wsparcia w ramach systemów_x000a_ Security Resilient oraz QRadar SIEM firmy IBM (2 części) - cześć I: _x000a_'zapewnienie profesjonalnych usług wsparcia technicznego w ramach systemu Qradar SIEM_x000a_"/>
    <s v="Świadczenie usług wsparcia w ramach systemów  Security Resilient oraz QRadar SIEM firmy IBM (2 części) - cześć I: 'zapewnienie profesjonalnych usług wsparcia technicznego w ramach systemu Qradar SIEM (Umowa na realizację przez COI niektórych zadań Ministra Cyfryzacji - odsprzedaż)_x000a_"/>
    <n v="190"/>
    <m/>
    <m/>
    <m/>
    <m/>
    <m/>
    <m/>
    <m/>
    <m/>
    <m/>
  </r>
  <r>
    <x v="0"/>
    <x v="0"/>
    <s v="DTC"/>
    <x v="0"/>
    <x v="0"/>
    <x v="0"/>
    <s v="16.1.2.1"/>
    <s v="budżet państwa (z wyjątkiem GDDKiA)"/>
    <s v="zapewnienie usługi wsparcia technicznego dla systemu do monitorowania i analizowania przepływów_x000a_ sieciowych na okres 36 m-cy"/>
    <s v="zapewnienie usługi wsparcia technicznego dla systemu do monitorowania i analizowania przepływów sieciowych na okres 36 m-cy (Umowa na realizację przez COI niektórych zadań Ministra Cyfryzacji - odsprzedaż)"/>
    <n v="822"/>
    <m/>
    <m/>
    <m/>
    <m/>
    <m/>
    <m/>
    <m/>
    <m/>
    <m/>
  </r>
  <r>
    <x v="0"/>
    <x v="0"/>
    <s v="DTC"/>
    <x v="0"/>
    <x v="0"/>
    <x v="0"/>
    <s v="16.1.2.1"/>
    <s v="budżet państwa (z wyjątkiem GDDKiA)"/>
    <s v="Dostawa sprzętu serwerowego i oprogramowania IBM lub równoważnego"/>
    <s v="Dostawa sprzętu serwerowego i oprogramowania IBM lub równoważnego (Umowa na realizację przez COI niektórych zadań Ministra Cyfryzacji - odsprzedaż)"/>
    <n v="4269"/>
    <m/>
    <m/>
    <m/>
    <m/>
    <m/>
    <m/>
    <m/>
    <m/>
    <m/>
  </r>
  <r>
    <x v="0"/>
    <x v="0"/>
    <s v="DTC"/>
    <x v="0"/>
    <x v="0"/>
    <x v="0"/>
    <s v="16.1.2.1"/>
    <s v="budżet państwa (z wyjątkiem GDDKiA)"/>
    <s v="zapewnienie usługi wsparcia technicznego dla urządzeń infrastruktury węzłów telekomunikacyjnych wraz z Oprogramowaniem - cz. I Usługi serwisu i wsparcia technicznego dla urządzeń infrastruktury węzłów telekomunikacyjnych marki CISCO wraz z Oprogramowaniem"/>
    <s v="zapewnienie usługi wsparcia technicznego dla urządzeń infrastruktury węzłów telekomunikacyjnych wraz z Oprogramowaniem - cz. I Usługi serwisu i wsparcia technicznego dla urządzeń infrastruktury węzłów telekomunikacyjnych marki CISCO wraz z Oprogramowaniem (Umowa na realizację przez COI niektórych zadań Ministra Cyfryzacji - odsprzedaż)"/>
    <n v="78"/>
    <m/>
    <m/>
    <m/>
    <m/>
    <m/>
    <m/>
    <m/>
    <m/>
    <m/>
  </r>
  <r>
    <x v="0"/>
    <x v="0"/>
    <s v="DTC"/>
    <x v="0"/>
    <x v="0"/>
    <x v="0"/>
    <s v="16.5.1.2."/>
    <s v="budżet państwa (z wyjątkiem GDDKiA)"/>
    <s v="zapewnienie wsparcia technicznego dla oprogramowania wraz z licencjami na rozbudowę _x000a_funkcjonalności serwerów IBM POWER"/>
    <s v="zapewnienie wsparcia technicznego dla oprogramowania wraz z licencjami na rozbudowę funkcjonalności serwerów IBM POWER (Umowa na realizację przez COI niektórych zadań Ministra Cyfryzacji - odsprzedaż)"/>
    <n v="907"/>
    <m/>
    <m/>
    <m/>
    <m/>
    <m/>
    <m/>
    <m/>
    <m/>
    <m/>
  </r>
  <r>
    <x v="0"/>
    <x v="0"/>
    <s v="DTC"/>
    <x v="0"/>
    <x v="0"/>
    <x v="0"/>
    <s v="16.1.2.1"/>
    <s v="budżet państwa (z wyjątkiem GDDKiA)"/>
    <s v="zapewnienie usług wsparcia technicznego dla  oprogramowania_x000a_ Oracle w okresie: marzec 2023 - październik 2025"/>
    <s v="zapewnienie usług wsparcia technicznego dla  oprogramowania_x000a_ Oracle w okresie: marzec 2023 - październik 2025 (Umowa na realizację przez COI niektórych zadań Ministra Cyfryzacji - odsprzedaż)"/>
    <n v="1206"/>
    <m/>
    <m/>
    <m/>
    <m/>
    <m/>
    <m/>
    <m/>
    <m/>
    <m/>
  </r>
  <r>
    <x v="0"/>
    <x v="0"/>
    <s v="DTC"/>
    <x v="0"/>
    <x v="0"/>
    <x v="0"/>
    <s v="16.1.2.1"/>
    <s v="budżet państwa (z wyjątkiem GDDKiA)"/>
    <s v="zapewnienie usług wsparcia technicznego dla oprogramowania wraz z licencjami na rozbudowę_x000a_ funkcjonalności serwerów IBM POWER"/>
    <s v="zapewnienie usług wsparcia technicznego dla oprogramowania wraz z licencjami na rozbudowę funkcjonalności serwerów IBM POWER (Umowa na realizację przez COI niektórych zadań Ministra Cyfryzacji - odsprzedaż)"/>
    <n v="5096"/>
    <m/>
    <m/>
    <m/>
    <m/>
    <m/>
    <m/>
    <m/>
    <m/>
    <m/>
  </r>
  <r>
    <x v="0"/>
    <x v="0"/>
    <s v="DTC"/>
    <x v="0"/>
    <x v="0"/>
    <x v="0"/>
    <s v="16.1.2.1"/>
    <s v="budżet państwa (z wyjątkiem GDDKiA)"/>
    <s v="zapewnienie wsparcia technicznego dla oprogramowania- część nr 2"/>
    <s v="zapewnienie wsparcia technicznego dla oprogramowania- część nr 2 (Umowa na realizację przez COI niektórych zadań Ministra Cyfryzacji - odsprzedaż)"/>
    <n v="4525"/>
    <m/>
    <m/>
    <m/>
    <m/>
    <m/>
    <m/>
    <m/>
    <m/>
    <m/>
  </r>
  <r>
    <x v="0"/>
    <x v="0"/>
    <s v="DTC"/>
    <x v="0"/>
    <x v="0"/>
    <x v="0"/>
    <s v="16.1.2.1"/>
    <s v="budżet państwa (z wyjątkiem GDDKiA)"/>
    <s v="zapewnienie wsparcia technicznego dla serwerów- część 1"/>
    <s v="zapewnienie wsparcia technicznego dla serwerów- część 1 (Umowa na realizację przez COI niektórych zadań Ministra Cyfryzacji - odsprzedaż)"/>
    <n v="510"/>
    <m/>
    <m/>
    <m/>
    <m/>
    <m/>
    <m/>
    <m/>
    <m/>
    <m/>
  </r>
  <r>
    <x v="0"/>
    <x v="0"/>
    <s v="DTC"/>
    <x v="0"/>
    <x v="0"/>
    <x v="0"/>
    <s v="16.1.2.1"/>
    <s v="budżet państwa (z wyjątkiem GDDKiA)"/>
    <s v="zapewnienie wsparcia technicznego dla oprogramowania do zdalnego wsparcia użytkowników"/>
    <s v="zapewnienie wsparcia technicznego dla oprogramowania do zdalnego wsparcia użytkowników (Umowa na realizację przez COI niektórych zadań Ministra Cyfryzacji - odsprzedaż)"/>
    <n v="177"/>
    <m/>
    <m/>
    <m/>
    <m/>
    <m/>
    <m/>
    <m/>
    <m/>
    <m/>
  </r>
  <r>
    <x v="0"/>
    <x v="0"/>
    <s v="DTC"/>
    <x v="0"/>
    <x v="0"/>
    <x v="0"/>
    <s v="16.1.2.1"/>
    <s v="budżet państwa (z wyjątkiem GDDKiA)"/>
    <s v="przedłużenie  wsparcia technincznego dla sprzętu serwerowego"/>
    <s v="przedłużenie  wsparcia technincznego dla sprzętu serwerowego (Umowa na realizację przez COI niektórych zadań Ministra Cyfryzacji - odsprzedaż)"/>
    <n v="3075"/>
    <m/>
    <m/>
    <m/>
    <m/>
    <m/>
    <m/>
    <m/>
    <m/>
    <m/>
  </r>
  <r>
    <x v="0"/>
    <x v="0"/>
    <s v="DTC"/>
    <x v="0"/>
    <x v="0"/>
    <x v="0"/>
    <s v="16.1.2.1"/>
    <s v="budżet państwa (z wyjątkiem GDDKiA)"/>
    <s v="Przedłużenie wsparcia technicznego dla urządzeń sieciowych"/>
    <s v="Przedłużenie wsparcia technicznego dla urządzeń sieciowych (Umowa na realizację przez COI niektórych zadań Ministra Cyfryzacji - odsprzedaż)"/>
    <n v="2035"/>
    <m/>
    <m/>
    <m/>
    <m/>
    <m/>
    <m/>
    <m/>
    <m/>
    <m/>
  </r>
  <r>
    <x v="0"/>
    <x v="0"/>
    <s v="DTC"/>
    <x v="0"/>
    <x v="0"/>
    <x v="0"/>
    <s v="16.1.2.1"/>
    <s v="budżet państwa (z wyjątkiem GDDKiA)"/>
    <s v="Przedłużenie wsparcia technicznego i gwarancję dla  serwerów "/>
    <s v="Przedłużenie wsparcia technicznego i gwarancję dla  serwerów (Umowa na realizację przez COI niektórych zadań Ministra Cyfryzacji - odsprzedaż)"/>
    <n v="4551"/>
    <m/>
    <m/>
    <m/>
    <m/>
    <m/>
    <m/>
    <m/>
    <m/>
    <m/>
  </r>
  <r>
    <x v="0"/>
    <x v="0"/>
    <s v="DTC"/>
    <x v="0"/>
    <x v="0"/>
    <x v="0"/>
    <s v="16.1.2.1"/>
    <s v="budżet państwa (z wyjątkiem GDDKiA)"/>
    <s v="Wymiana sprzętu i wsparcie  na potrzeby realizacji Umowy"/>
    <s v="Wymiana sprzętu i wsparcie  na potrzeby realizacji Umowy (Umowa na realizację przez COI niektórych zadań Ministra Cyfryzacji - odsprzedaż)"/>
    <n v="1092"/>
    <m/>
    <m/>
    <m/>
    <m/>
    <m/>
    <m/>
    <m/>
    <m/>
    <m/>
  </r>
  <r>
    <x v="0"/>
    <x v="0"/>
    <s v="DTC"/>
    <x v="0"/>
    <x v="0"/>
    <x v="0"/>
    <s v="16.5.1.2."/>
    <s v="budżet państwa (z wyjątkiem GDDKiA)"/>
    <s v="Zapewnienie dostępu do narzędzi on-line Webankieta na potrzeby PORTAL-u RP  umożliwiającego tworzenie ankiet."/>
    <s v="Zapewnienie dostępu do narzędzi on-line Webankieta na potrzeby PORTAL-u RP  umożliwiającego tworzenie ankiet. (Umowa na realizację przez COI niektórych zadań Ministra Cyfryzacji - odsprzedaż)"/>
    <n v="160"/>
    <m/>
    <m/>
    <m/>
    <m/>
    <m/>
    <m/>
    <m/>
    <m/>
    <m/>
  </r>
  <r>
    <x v="0"/>
    <x v="0"/>
    <s v="DTC"/>
    <x v="0"/>
    <x v="0"/>
    <x v="0"/>
    <s v="16.5.1.2."/>
    <s v="budżet państwa (z wyjątkiem GDDKiA)"/>
    <s v="Licencja Cookiebot CMP – premium large (1 year)"/>
    <s v="Licencja Cookiebot CMP – premium large (1 year) (Umowa na realizację przez COI niektórych zadań Ministra Cyfryzacji - odsprzedaż)"/>
    <n v="7"/>
    <m/>
    <m/>
    <m/>
    <m/>
    <m/>
    <m/>
    <m/>
    <m/>
    <m/>
  </r>
  <r>
    <x v="0"/>
    <x v="0"/>
    <s v="DTC"/>
    <x v="0"/>
    <x v="0"/>
    <x v="0"/>
    <s v="16.5.1.2."/>
    <s v="budżet państwa (z wyjątkiem GDDKiA)"/>
    <s v="Zakup certyfikatów i domen na potrzeby Portalu RP"/>
    <s v="Zakup certyfikatów i domen na potrzeby Portalu RP (Umowa na realizację przez COI niektórych zadań Ministra Cyfryzacji - odsprzedaż)"/>
    <n v="5"/>
    <m/>
    <m/>
    <m/>
    <m/>
    <m/>
    <m/>
    <m/>
    <m/>
    <m/>
  </r>
  <r>
    <x v="0"/>
    <x v="0"/>
    <s v="DTC"/>
    <x v="0"/>
    <x v="0"/>
    <x v="0"/>
    <s v="16.5.1.2."/>
    <s v="budżet państwa (z wyjątkiem GDDKiA)"/>
    <s v="Badania użyteczności (koszt rekrutacji zewnętrznych i wynagrodzenia respondentów)"/>
    <s v="Badania użyteczności (koszt rekrutacji zewnętrznych i wynagrodzenia respondentów) (Umowa na realizację przez COI niektórych zadań Ministra Cyfryzacji - odsprzedaż)"/>
    <n v="16"/>
    <m/>
    <m/>
    <m/>
    <m/>
    <m/>
    <m/>
    <m/>
    <m/>
    <m/>
  </r>
  <r>
    <x v="0"/>
    <x v="0"/>
    <s v="DTC"/>
    <x v="0"/>
    <x v="0"/>
    <x v="0"/>
    <s v="16.5.1.2."/>
    <s v="budżet państwa (z wyjątkiem GDDKiA)"/>
    <s v="Zakup usługi tłumacza polskiego języka migowego (PJM) online na Portal RP"/>
    <s v="Zakup usługi tłumacza polskiego języka migowego (PJM) online na Portal RP (Umowa na realizację przez COI niektórych zadań Ministra Cyfryzacji - odsprzedaż)"/>
    <n v="50"/>
    <m/>
    <m/>
    <m/>
    <m/>
    <m/>
    <m/>
    <m/>
    <m/>
    <m/>
  </r>
  <r>
    <x v="0"/>
    <x v="0"/>
    <s v="DTC"/>
    <x v="0"/>
    <x v="0"/>
    <x v="0"/>
    <s v="16.5.1.2."/>
    <s v="budżet państwa (z wyjątkiem GDDKiA)"/>
    <s v="Zakup usługi eksperckiej"/>
    <s v="Zakup usługi eksperckiej (Umowa na realizację przez COI niektórych zadań Ministra Cyfryzacji - odsprzedaż)"/>
    <n v="24"/>
    <m/>
    <m/>
    <m/>
    <m/>
    <m/>
    <m/>
    <m/>
    <m/>
    <m/>
  </r>
  <r>
    <x v="0"/>
    <x v="0"/>
    <s v="DTC"/>
    <x v="3"/>
    <x v="1"/>
    <x v="0"/>
    <s v="16.5.1.2."/>
    <s v="budżet państwa (z wyjątkiem GDDKiA)"/>
    <s v="Rozwój serwisu mObywatel.gov.pl"/>
    <s v="Rozwój serwisu mObywatel.gov.pl (Umowa na realizację przez COI niektórych zadań Ministra Cyfryzacji)"/>
    <n v="7774"/>
    <m/>
    <m/>
    <m/>
    <m/>
    <m/>
    <m/>
    <m/>
    <m/>
    <m/>
  </r>
  <r>
    <x v="0"/>
    <x v="0"/>
    <s v="DTC"/>
    <x v="3"/>
    <x v="1"/>
    <x v="0"/>
    <s v="16.5.1.2."/>
    <s v="budżet państwa (z wyjątkiem GDDKiA)"/>
    <s v="Captcha - budowa zabezpieczenia na stronach www przed niechcianym ruchem generowanym przez roboty"/>
    <s v="Captcha - budowa zabezpieczenia na stronach www przed niechcianym ruchem generowanym przez roboty (Umowa na realizację przez COI niektórych zadań Ministra Cyfryzacji)"/>
    <n v="2460"/>
    <m/>
    <m/>
    <m/>
    <m/>
    <m/>
    <m/>
    <m/>
    <m/>
    <m/>
  </r>
  <r>
    <x v="0"/>
    <x v="0"/>
    <s v="DTC"/>
    <x v="3"/>
    <x v="1"/>
    <x v="0"/>
    <s v="16.5.1.2."/>
    <s v="budżet państwa (z wyjątkiem GDDKiA)"/>
    <s v="Rozwój Generatora Formularzy - budowa Ekosystemu 2.0 do wytwarzania eUsług"/>
    <s v="Rozwój Generatora Formularzy - budowa Ekosystemu 2.0 do wytwarzania eUsług (Umowa na realizację przez COI niektórych zadań Ministra Cyfryzacji)"/>
    <n v="6000"/>
    <m/>
    <m/>
    <m/>
    <m/>
    <m/>
    <m/>
    <m/>
    <m/>
    <m/>
  </r>
  <r>
    <x v="0"/>
    <x v="0"/>
    <s v="DTC"/>
    <x v="3"/>
    <x v="1"/>
    <x v="0"/>
    <s v="16.5.1.2."/>
    <s v="budżet państwa (z wyjątkiem GDDKiA)"/>
    <s v="Budowa Portalu Sztucznej Inteligencji AI Act"/>
    <s v="Budowa Portalu Sztucznej Inteligencji AI Act (Umowa na realizację przez COI niektórych zadań Ministra Cyfryzacji)"/>
    <n v="600"/>
    <m/>
    <m/>
    <m/>
    <m/>
    <m/>
    <m/>
    <m/>
    <m/>
    <m/>
  </r>
  <r>
    <x v="0"/>
    <x v="0"/>
    <s v="DTC"/>
    <x v="3"/>
    <x v="1"/>
    <x v="0"/>
    <s v="16.5.1.2."/>
    <s v="budżet państwa (z wyjątkiem GDDKiA)"/>
    <s v="Rozwój e-usług publicznych - Realizacja prac w zakresie ekosystemu e-usług obejmującego budowę nowych rozwiązań IT, w tym systemów informatycznych i aplikacji związanych z udostępnianiem e-usług"/>
    <s v="Rozwój e-usług publicznych - Realizacja prac w zakresie ekosystemu e-usług obejmującego budowę nowych rozwiązań IT, w tym systemów informatycznych i aplikacji związanych z udostępnianiem e-usług (Umowa na realizację przez COI niektórych zadań Ministra Cyfryzacji)"/>
    <n v="15000"/>
    <m/>
    <m/>
    <m/>
    <m/>
    <m/>
    <m/>
    <m/>
    <m/>
    <m/>
  </r>
  <r>
    <x v="0"/>
    <x v="0"/>
    <s v="DTC"/>
    <x v="3"/>
    <x v="1"/>
    <x v="0"/>
    <s v="16.5.1.2."/>
    <s v="budżet państwa (z wyjątkiem GDDKiA)"/>
    <s v="Zakup infrastruktury - Platfroma ePłatności"/>
    <s v="Zakup infrastruktury - Platfroma ePłatności (Umowa na realizację przez COI niektórych zadań Ministra Cyfryzacji)"/>
    <n v="9829"/>
    <m/>
    <m/>
    <m/>
    <m/>
    <m/>
    <m/>
    <m/>
    <m/>
    <m/>
  </r>
  <r>
    <x v="0"/>
    <x v="0"/>
    <s v="DTC"/>
    <x v="3"/>
    <x v="1"/>
    <x v="0"/>
    <s v="16.1.2.1"/>
    <s v="budżet państwa (z wyjątkiem GDDKiA)"/>
    <s v="Rozwój systemu Profil Zaufany związany z budową środka identyfikacji dla osób prawnych"/>
    <s v="Rozwój systemu Profil Zaufany związany z budową środka identyfikacji dla osób prawnych (Umowa na realizację przez COI niektórych zadań Ministra Cyfryzacji)"/>
    <n v="22632"/>
    <m/>
    <m/>
    <m/>
    <m/>
    <m/>
    <m/>
    <m/>
    <m/>
    <m/>
  </r>
  <r>
    <x v="0"/>
    <x v="0"/>
    <s v="DTC"/>
    <x v="3"/>
    <x v="1"/>
    <x v="0"/>
    <s v="16.5.1.2."/>
    <s v="budżet państwa (z wyjątkiem GDDKiA)"/>
    <s v="Rozwój systemu e-Doręczeń"/>
    <s v="Rozwój systemu e-Doręczeń (Umowa na realizację przez COI niektórych zadań Ministra Cyfryzacji)"/>
    <n v="18245"/>
    <m/>
    <m/>
    <m/>
    <m/>
    <m/>
    <m/>
    <m/>
    <m/>
    <m/>
  </r>
  <r>
    <x v="0"/>
    <x v="0"/>
    <s v="DTC"/>
    <x v="3"/>
    <x v="1"/>
    <x v="0"/>
    <s v="16.5.1.2."/>
    <s v="budżet państwa (z wyjątkiem GDDKiA)"/>
    <s v="Rozwój Katalogu Podmiotów Publicznych"/>
    <s v="Rozwój Katalogu Podmiotów Publicznych (Umowa na realizację przez COI niektórych zadań Ministra Cyfryzacji)"/>
    <n v="1693"/>
    <m/>
    <m/>
    <m/>
    <m/>
    <m/>
    <m/>
    <m/>
    <m/>
    <m/>
  </r>
  <r>
    <x v="0"/>
    <x v="0"/>
    <s v="DTC"/>
    <x v="3"/>
    <x v="1"/>
    <x v="0"/>
    <s v="16.5.1.2."/>
    <s v="budżet państwa (z wyjątkiem GDDKiA)"/>
    <s v="Rozwój ePUAP"/>
    <s v="Rozwój ePUAP (Umowa na realizację przez COI niektórych zadań Ministra Cyfryzacji)"/>
    <n v="7084"/>
    <m/>
    <m/>
    <m/>
    <m/>
    <m/>
    <m/>
    <m/>
    <m/>
    <m/>
  </r>
  <r>
    <x v="0"/>
    <x v="0"/>
    <s v="DTC"/>
    <x v="3"/>
    <x v="1"/>
    <x v="0"/>
    <s v="16.1.2.1"/>
    <s v="budżet państwa (z wyjątkiem GDDKiA)"/>
    <s v="Rozwój Centralnego Rejestru Wyborców (CRW)"/>
    <s v="Rozwój Centralnego Rejestru Wyborców (CRW) (Umowa na realizację przez COI niektórych zadań Ministra Cyfryzacji)"/>
    <n v="8000"/>
    <m/>
    <m/>
    <m/>
    <m/>
    <m/>
    <m/>
    <m/>
    <m/>
    <m/>
  </r>
  <r>
    <x v="0"/>
    <x v="0"/>
    <s v="DTC"/>
    <x v="3"/>
    <x v="1"/>
    <x v="0"/>
    <s v="16.1.2.1"/>
    <s v="budżet państwa (z wyjątkiem GDDKiA)"/>
    <s v="System Rejestrów Państwowych - rozwój i wdrażanie zmian wynikajacych ze zmian przepisów prawa, w tym realizacja Programu refaktoringu"/>
    <s v="System Rejestrów Państwowych - rozwój i wdrażanie zmian wynikajacych ze zmian przepisów prawa, w tym realizacja Programu refaktoringu (Umowa na realizację przez COI niektórych zadań Ministra Cyfryzacji)"/>
    <n v="14250"/>
    <m/>
    <m/>
    <m/>
    <m/>
    <m/>
    <m/>
    <m/>
    <m/>
    <m/>
  </r>
  <r>
    <x v="0"/>
    <x v="0"/>
    <s v="DTC"/>
    <x v="3"/>
    <x v="1"/>
    <x v="0"/>
    <s v="16.5.1.2."/>
    <s v="budżet państwa (z wyjątkiem GDDKiA)"/>
    <s v="Zakup sprzętu komputerowego (odtworzenie) Rządowej Chmury Obliczeniowej"/>
    <s v="Zakup sprzętu komputerowego (odtworzenie) Rządowej Chmury Obliczeniowej (Umowa na realizację przez COI niektórych zadań Ministra Cyfryzacji - odsprzedaż)"/>
    <n v="15000"/>
    <m/>
    <m/>
    <m/>
    <m/>
    <m/>
    <m/>
    <m/>
    <m/>
    <m/>
  </r>
  <r>
    <x v="0"/>
    <x v="0"/>
    <s v="DTC"/>
    <x v="3"/>
    <x v="1"/>
    <x v="0"/>
    <s v="16.5.1.2."/>
    <s v="budżet państwa (z wyjątkiem GDDKiA)"/>
    <s v="Zakup oprogramowania (licencje) Rządowej Chmury Obliczeniowej"/>
    <s v="Zakup oprogramowania (licencje) Rządowej Chmury Obliczeniowej (Umowa na realizację przez COI niektórych zadań Ministra Cyfryzacji - odsprzedaż)"/>
    <n v="12400"/>
    <m/>
    <m/>
    <m/>
    <m/>
    <m/>
    <m/>
    <m/>
    <m/>
    <m/>
  </r>
  <r>
    <x v="0"/>
    <x v="0"/>
    <s v="DTC"/>
    <x v="3"/>
    <x v="1"/>
    <x v="0"/>
    <s v="16.5.1.2."/>
    <s v="budżet państwa (z wyjątkiem GDDKiA)"/>
    <s v="Zakup urządzeń sieciowych (odtworzenie) Rządowego Klastra Bezpieczeństwa"/>
    <s v="Zakup urządzeń sieciowych (odtworzenie) Rządowego Klastra Bezpieczeństwa (Umowa na realizację przez COI niektórych zadań Ministra Cyfryzacji - odsprzedaż)"/>
    <n v="10213"/>
    <m/>
    <m/>
    <m/>
    <m/>
    <m/>
    <m/>
    <m/>
    <m/>
    <m/>
  </r>
  <r>
    <x v="0"/>
    <x v="0"/>
    <s v="DTC"/>
    <x v="3"/>
    <x v="1"/>
    <x v="0"/>
    <s v="16.5.1.2."/>
    <s v="budżet państwa (z wyjątkiem GDDKiA)"/>
    <s v="Zakup oprogramowania (licencje) Rządowego Klastra Bezpieczeństwa"/>
    <s v="Zakup oprogramowania (licencje) Rządowego Klastra Bezpieczeństwa (Umowa na realizację przez COI niektórych zadań Ministra Cyfryzacji - odsprzedaż)"/>
    <n v="5000"/>
    <m/>
    <m/>
    <m/>
    <m/>
    <m/>
    <m/>
    <m/>
    <m/>
    <m/>
  </r>
  <r>
    <x v="0"/>
    <x v="0"/>
    <s v="DTC"/>
    <x v="3"/>
    <x v="1"/>
    <x v="0"/>
    <s v="16.5.1.2."/>
    <s v="budżet państwa (z wyjątkiem GDDKiA)"/>
    <s v="Zakup sprzętu komputerowego i oprogramowania (licencje) na potrzeby rozwoju Systemu Zapewniania Usług Chmurowych"/>
    <s v="Zakup sprzętu komputerowego i oprogramowania (licencje) na potrzeby rozwoju Systemu Zapewniania Usług Chmurowych (Umowa na realizację przez COI niektórych zadań Ministra Cyfryzacji - odsprzedaż)"/>
    <n v="2500"/>
    <m/>
    <m/>
    <m/>
    <m/>
    <m/>
    <m/>
    <m/>
    <m/>
    <m/>
  </r>
  <r>
    <x v="0"/>
    <x v="0"/>
    <s v="DTC"/>
    <x v="3"/>
    <x v="1"/>
    <x v="0"/>
    <s v="16.1.2.1"/>
    <s v="budżet państwa (z wyjątkiem GDDKiA)"/>
    <s v="Rozwój systemu Kronik@ oraz migracja do infrastruktury utrzymywanej przez COI"/>
    <s v="Rozwój systemu Kronik@ oraz migracja do infrastruktury utrzymywanej przez COI (Umowa na realizację przez COI niektórych zadań Ministra Cyfryzacji)"/>
    <n v="16000"/>
    <m/>
    <m/>
    <m/>
    <m/>
    <m/>
    <m/>
    <m/>
    <m/>
    <m/>
  </r>
  <r>
    <x v="0"/>
    <x v="0"/>
    <s v="DTC"/>
    <x v="3"/>
    <x v="1"/>
    <x v="0"/>
    <s v="16.1.2.1"/>
    <s v="budżet państwa (z wyjątkiem GDDKiA)"/>
    <s v="Zakup infrastruktury do migracji systemu Kronik@ oraz Zakup infrastruktury systemu Kronik@ 2.0 (nowy projekt)"/>
    <s v="Zakup infrastruktury do migracji systemu Kronik@ oraz Zakup infrastruktury systemu Kronik@ 2.0 (nowy projekt) (Umowa na realizację przez COI niektórych zadań Ministra Cyfryzacji - odsprzedaż)"/>
    <n v="33944"/>
    <m/>
    <m/>
    <m/>
    <m/>
    <m/>
    <m/>
    <m/>
    <m/>
    <m/>
  </r>
  <r>
    <x v="0"/>
    <x v="0"/>
    <s v="DTC"/>
    <x v="3"/>
    <x v="1"/>
    <x v="0"/>
    <s v="16.1.2.1"/>
    <s v="budżet państwa (z wyjątkiem GDDKiA)"/>
    <s v="Rozwój systemu LSI oraz migracja do infrastruktury utrzymywanej przez COI"/>
    <s v="Rozwój systemu LSI oraz migracja do infrastruktury utrzymywanej przez COI (Umowa na realizację przez COI niektórych zadań Ministra Cyfryzacji)"/>
    <n v="7583"/>
    <m/>
    <m/>
    <m/>
    <m/>
    <m/>
    <m/>
    <m/>
    <m/>
    <m/>
  </r>
  <r>
    <x v="0"/>
    <x v="0"/>
    <s v="DTC"/>
    <x v="3"/>
    <x v="1"/>
    <x v="0"/>
    <s v="16.1.2.1"/>
    <s v="budżet państwa (z wyjątkiem GDDKiA)"/>
    <s v="Dostawa sprzętu i oprogramowania do monitoringu wydajności"/>
    <s v="Dostawa sprzętu i oprogramowania do monitoringu wydajności (Umowa na realizację przez COI niektórych zadań Ministra Cyfryzacji - odsprzedaż)"/>
    <n v="1750"/>
    <m/>
    <m/>
    <m/>
    <m/>
    <m/>
    <m/>
    <m/>
    <m/>
    <m/>
  </r>
  <r>
    <x v="0"/>
    <x v="0"/>
    <s v="DTC"/>
    <x v="3"/>
    <x v="1"/>
    <x v="0"/>
    <s v="16.1.2.1"/>
    <s v="budżet państwa (z wyjątkiem GDDKiA)"/>
    <s v="Zakup sprzętu, konwersja licencji IBM"/>
    <s v="Zakup sprzętu, konwersja licencji IBM (Umowa na realizację przez COI niektórych zadań Ministra Cyfryzacji - odsprzedaż)"/>
    <n v="10194"/>
    <m/>
    <m/>
    <m/>
    <m/>
    <m/>
    <m/>
    <m/>
    <m/>
    <m/>
  </r>
  <r>
    <x v="0"/>
    <x v="0"/>
    <s v="DTC"/>
    <x v="3"/>
    <x v="1"/>
    <x v="0"/>
    <s v="16.1.2.1"/>
    <s v="budżet państwa (z wyjątkiem GDDKiA)"/>
    <s v="Rozbudowa istniejącej infrastruktury Fortinet poprzez zakup _x000a_oprogramowania FortiMail lub oprogramowania równoważnego"/>
    <s v="Rozbudowa istniejącej infrastruktury Fortinet poprzez zakup _x000a_oprogramowania FortiMail lub oprogramowania równoważnego (Umowa na realizację przez COI niektórych zadań Ministra Cyfryzacji - odsprzedaż)"/>
    <n v="194"/>
    <m/>
    <m/>
    <m/>
    <m/>
    <m/>
    <m/>
    <m/>
    <m/>
    <m/>
  </r>
  <r>
    <x v="0"/>
    <x v="0"/>
    <s v="DTC"/>
    <x v="3"/>
    <x v="1"/>
    <x v="0"/>
    <s v="16.1.2.1"/>
    <s v="budżet państwa (z wyjątkiem GDDKiA)"/>
    <s v="Dostawa i rozbudowa systemu backup wraz z montażem"/>
    <s v="Dostawa i rozbudowa systemu backup wraz z montażem (Umowa na realizację przez COI niektórych zadań Ministra Cyfryzacji - odsprzedaż)"/>
    <n v="83"/>
    <m/>
    <m/>
    <m/>
    <m/>
    <m/>
    <m/>
    <m/>
    <m/>
    <m/>
  </r>
  <r>
    <x v="0"/>
    <x v="0"/>
    <s v="DTC"/>
    <x v="3"/>
    <x v="1"/>
    <x v="0"/>
    <s v="16.1.2.1"/>
    <s v="budżet państwa (z wyjątkiem GDDKiA)"/>
    <s v="Rozbudowa platformy_x000a_ wirtualizacyjnej"/>
    <s v="Rozbudowa platformy wirtualizacyjnej (Umowa na realizację przez COI niektórych zadań Ministra Cyfryzacji - odsprzedaż)"/>
    <n v="2654"/>
    <m/>
    <m/>
    <m/>
    <m/>
    <m/>
    <m/>
    <m/>
    <m/>
    <m/>
  </r>
  <r>
    <x v="0"/>
    <x v="0"/>
    <s v="DTC"/>
    <x v="3"/>
    <x v="1"/>
    <x v="0"/>
    <s v="16.1.2.1"/>
    <s v="budżet państwa (z wyjątkiem GDDKiA)"/>
    <s v="Zakup oprogramowania dla urządzeń infrastruktury węzłów telekomunikacyjnych marki F5 _x000a_"/>
    <s v="Zakup oprogramowania dla urządzeń infrastruktury węzłów telekomunikacyjnych marki F5 (Umowa na realizację przez COI niektórych zadań Ministra Cyfryzacji - odsprzedaż)_x000a_"/>
    <n v="153"/>
    <m/>
    <m/>
    <m/>
    <m/>
    <m/>
    <m/>
    <m/>
    <m/>
    <m/>
  </r>
  <r>
    <x v="0"/>
    <x v="0"/>
    <s v="DTC"/>
    <x v="3"/>
    <x v="1"/>
    <x v="0"/>
    <s v="16.1.2.1"/>
    <s v="budżet państwa (z wyjątkiem GDDKiA)"/>
    <s v="Zakup Network Access Control (NAC)"/>
    <s v="Zakup Network Access Control (NAC) (Umowa na realizację przez COI niektórych zadań Ministra Cyfryzacji - odsprzedaż)"/>
    <n v="1353"/>
    <m/>
    <m/>
    <m/>
    <m/>
    <m/>
    <m/>
    <m/>
    <m/>
    <m/>
  </r>
  <r>
    <x v="0"/>
    <x v="0"/>
    <s v="DTC"/>
    <x v="3"/>
    <x v="1"/>
    <x v="0"/>
    <s v="16.1.2.1"/>
    <s v="budżet państwa (z wyjątkiem GDDKiA)"/>
    <s v="Zakup Identity Management (IdM) – Zarządzanie Tożsamością"/>
    <s v="Zakup Identity Management (IdM) – Zarządzanie Tożsamością (Umowa na realizację przez COI niektórych zadań Ministra Cyfryzacji - odsprzedaż)"/>
    <n v="3690"/>
    <m/>
    <m/>
    <m/>
    <m/>
    <m/>
    <m/>
    <m/>
    <m/>
    <m/>
  </r>
  <r>
    <x v="0"/>
    <x v="0"/>
    <s v="DTC"/>
    <x v="3"/>
    <x v="1"/>
    <x v="0"/>
    <s v="16.1.2.1"/>
    <s v="budżet państwa (z wyjątkiem GDDKiA)"/>
    <s v="Rozbudowa systemu SIEM o sprzęt i licencje"/>
    <s v="Rozbudowa systemu SIEM o sprzęt i licencje (Umowa na realizację przez COI niektórych zadań Ministra Cyfryzacji - odsprzedaż)"/>
    <n v="2214"/>
    <m/>
    <m/>
    <m/>
    <m/>
    <m/>
    <m/>
    <m/>
    <m/>
    <m/>
  </r>
  <r>
    <x v="0"/>
    <x v="0"/>
    <s v="DTC"/>
    <x v="3"/>
    <x v="1"/>
    <x v="0"/>
    <s v="16.1.2.1"/>
    <s v="budżet państwa (z wyjątkiem GDDKiA)"/>
    <s v="Terminowanie VPN, rozbudowanie infrastruktury"/>
    <s v="Terminowanie VPN, rozbudowanie infrastruktury (Umowa na realizację przez COI niektórych zadań Ministra Cyfryzacji - odsprzedaż)"/>
    <n v="1697"/>
    <m/>
    <m/>
    <m/>
    <m/>
    <m/>
    <m/>
    <m/>
    <m/>
    <m/>
  </r>
  <r>
    <x v="0"/>
    <x v="0"/>
    <s v="DTC"/>
    <x v="3"/>
    <x v="1"/>
    <x v="0"/>
    <s v="16.1.2.1"/>
    <s v="budżet państwa (z wyjątkiem GDDKiA)"/>
    <s v="Zakup infrastruktury Centralnego Serwera Logów"/>
    <s v="Zakup infrastruktury Centralnego Serwera Logów (Umowa na realizację przez COI niektórych zadań Ministra Cyfryzacji - odsprzedaż)"/>
    <n v="1181"/>
    <m/>
    <m/>
    <m/>
    <m/>
    <m/>
    <m/>
    <m/>
    <m/>
    <m/>
  </r>
  <r>
    <x v="0"/>
    <x v="0"/>
    <s v="DTC"/>
    <x v="3"/>
    <x v="1"/>
    <x v="0"/>
    <s v="16.1.2.1"/>
    <s v="budżet państwa (z wyjątkiem GDDKiA)"/>
    <s v="Zakup oprogramowania do ochrony warstwy aplikacyjnej"/>
    <s v="Zakup oprogramowania do ochrony warstwy aplikacyjnej (Umowa na realizację przez COI niektórych zadań Ministra Cyfryzacji - odsprzedaż)"/>
    <n v="959"/>
    <m/>
    <m/>
    <m/>
    <m/>
    <m/>
    <m/>
    <m/>
    <m/>
    <m/>
  </r>
  <r>
    <x v="0"/>
    <x v="0"/>
    <s v="DTC"/>
    <x v="3"/>
    <x v="1"/>
    <x v="0"/>
    <s v="16.1.2.1"/>
    <s v="budżet państwa (z wyjątkiem GDDKiA)"/>
    <s v=" Rozbudowa systemu do analizy kodu (DAST, IAST) oraz platform mobilnych"/>
    <s v=" Rozbudowa systemu do analizy kodu (DAST, IAST) oraz platform mobilnych (Umowa na realizację przez COI niektórych zadań Ministra Cyfryzacji - odsprzedaż)"/>
    <n v="1107"/>
    <m/>
    <m/>
    <m/>
    <m/>
    <m/>
    <m/>
    <m/>
    <m/>
    <m/>
  </r>
  <r>
    <x v="0"/>
    <x v="0"/>
    <s v="DTC"/>
    <x v="3"/>
    <x v="1"/>
    <x v="0"/>
    <s v="16.1.2.1"/>
    <s v="budżet państwa (z wyjątkiem GDDKiA)"/>
    <s v="Dostawa dwóch urządzeń typu DefensePro wraz z niezbędnymi licencjami i ochroną zasobów Zamawiającego przed atakami typu DDoS, dla ataków przekraczających limity dla urządzeń DefensePro"/>
    <s v="Dostawa dwóch urządzeń typu DefensePro wraz z niezbędnymi licencjami i ochroną zasobów Zamawiającego przed atakami typu DDoS, dla ataków przekraczających limity dla urządzeń DefensePro (Umowa na realizację przez COI niektórych zadań Ministra Cyfryzacji - odsprzedaż)"/>
    <n v="8904"/>
    <m/>
    <m/>
    <m/>
    <m/>
    <m/>
    <m/>
    <m/>
    <m/>
    <m/>
  </r>
  <r>
    <x v="0"/>
    <x v="0"/>
    <s v="DTC"/>
    <x v="3"/>
    <x v="1"/>
    <x v="0"/>
    <s v="16.1.2.1"/>
    <s v="budżet państwa (z wyjątkiem GDDKiA)"/>
    <s v="Wymiana sprzętu (serwery) i oprogramowania wykorzystywanego w procesie wytwórczym SRP "/>
    <s v="Wymiana sprzętu (serwery) i oprogramowania wykorzystywanego w procesie wytwórczym SRP (Umowa na realizację przez COI niektórych zadań Ministra Cyfryzacji - odsprzedaż) "/>
    <n v="15146"/>
    <m/>
    <m/>
    <m/>
    <m/>
    <m/>
    <m/>
    <m/>
    <m/>
    <m/>
  </r>
  <r>
    <x v="0"/>
    <x v="0"/>
    <s v="DTC"/>
    <x v="3"/>
    <x v="1"/>
    <x v="0"/>
    <s v="16.1.2.1"/>
    <s v="budżet państwa (z wyjątkiem GDDKiA)"/>
    <s v="Zakup niezbędnego oprogramowania wspierającego proces wytwórczy dla systemów będących we właściwości MC"/>
    <s v="Zakup niezbędnego oprogramowania wspierającego proces wytwórczy dla systemów będących we właściwości MC (Umowa na realizację przez COI niektórych zadań Ministra Cyfryzacji - odsprzedaż)"/>
    <n v="947"/>
    <m/>
    <m/>
    <m/>
    <m/>
    <m/>
    <m/>
    <m/>
    <m/>
    <m/>
  </r>
  <r>
    <x v="0"/>
    <x v="0"/>
    <s v="DTC"/>
    <x v="3"/>
    <x v="1"/>
    <x v="0"/>
    <s v="16.1.2.1"/>
    <s v="budżet państwa (z wyjątkiem GDDKiA)"/>
    <s v="Rozbudowa systemu Dane.gov.pl"/>
    <s v="Rozbudowa systemu Dane.gov.pl (Umowa na realizację przez COI niektórych zadań Ministra Cyfryzacji)"/>
    <n v="3090"/>
    <m/>
    <m/>
    <m/>
    <m/>
    <m/>
    <m/>
    <m/>
    <m/>
    <m/>
  </r>
  <r>
    <x v="0"/>
    <x v="0"/>
    <s v="DTC"/>
    <x v="3"/>
    <x v="1"/>
    <x v="0"/>
    <s v="16.1.2.1"/>
    <s v="budżet państwa (z wyjątkiem GDDKiA)"/>
    <s v=" Budowa systemu dokumentacji prawnej"/>
    <s v=" Budowa systemu dokumentacji prawnej (Umowa na realizację przez COI niektórych zadań Ministra Cyfryzacji)"/>
    <n v="11933"/>
    <m/>
    <m/>
    <m/>
    <m/>
    <m/>
    <m/>
    <m/>
    <m/>
    <m/>
  </r>
  <r>
    <x v="0"/>
    <x v="0"/>
    <s v="DTC"/>
    <x v="3"/>
    <x v="1"/>
    <x v="0"/>
    <s v="16.5.1.2."/>
    <s v="budżet państwa (z wyjątkiem GDDKiA)"/>
    <s v="Prace rozwojowe systemu ZUCH w zakresie obslugi klienta chmurowego"/>
    <s v="Prace rozwojowe systemu ZUCH w zakresie obslugi klienta chmurowego (Umowa na realizację przez COI niektórych zadań Ministra Cyfryzacji)"/>
    <n v="7165"/>
    <m/>
    <m/>
    <m/>
    <m/>
    <m/>
    <m/>
    <m/>
    <m/>
    <m/>
  </r>
  <r>
    <x v="0"/>
    <x v="0"/>
    <s v="DTC"/>
    <x v="24"/>
    <x v="3"/>
    <x v="0"/>
    <s v="16.1.2.1"/>
    <s v="budżet państwa (z wyjątkiem GDDKiA)"/>
    <s v="Budowa i wdrożenie systemu elektronicznego zarządzania dokumentacją "/>
    <s v="Budowa i wdrożenie systemu elektronicznego zarządzania dokumentacją "/>
    <n v="15000"/>
    <n v="15000"/>
    <n v="30000"/>
    <n v="9985"/>
    <m/>
    <m/>
    <m/>
    <m/>
    <m/>
    <m/>
  </r>
  <r>
    <x v="0"/>
    <x v="0"/>
    <s v="DTC"/>
    <x v="25"/>
    <x v="1"/>
    <x v="0"/>
    <s v="16.1.2.1"/>
    <s v="budżet państwa (z wyjątkiem GDDKiA)"/>
    <s v="Budowa i wdrożenie systemu elektronicznego zarządzania dokumentacją "/>
    <s v="Budowa i wdrożenie systemu elektronicznego zarządzania dokumentacją "/>
    <n v="10000"/>
    <n v="10000"/>
    <n v="12000"/>
    <m/>
    <m/>
    <m/>
    <m/>
    <m/>
    <m/>
    <m/>
  </r>
  <r>
    <x v="0"/>
    <x v="0"/>
    <s v="DTC"/>
    <x v="24"/>
    <x v="3"/>
    <x v="0"/>
    <s v="16.5.1.2."/>
    <s v="budżet państwa (z wyjątkiem GDDKiA)"/>
    <s v="Człowiek w kryzysie – platforma wiedzy i komunikacji- kontynuacja i rozwój"/>
    <s v="Człowiek w kryzysie – platforma wiedzy i komunikacji- kontynuacja i rozwój"/>
    <n v="3490"/>
    <m/>
    <m/>
    <m/>
    <m/>
    <m/>
    <m/>
    <m/>
    <m/>
    <m/>
  </r>
  <r>
    <x v="0"/>
    <x v="0"/>
    <s v="DTC"/>
    <x v="0"/>
    <x v="0"/>
    <x v="0"/>
    <s v="16.5.1.2."/>
    <s v="Budżet państwa"/>
    <s v="Usługi ekspercie w zakresie wsparcia wdrożenia rozporządzenia eIDAS2"/>
    <s v="Celem zadania jest znalezienie ekspertów rynku aby w jak efektywniejszy sposób dostosować systemy MC do rozporządzenia eIDAS2"/>
    <n v="80"/>
    <n v="80"/>
    <m/>
    <m/>
    <m/>
    <m/>
    <m/>
    <m/>
    <m/>
    <s v="NA ETAPIE PLANOWANIA NIE MOŻNA WSKAZAĆ BZ - nowe zadanie"/>
  </r>
  <r>
    <x v="0"/>
    <x v="0"/>
    <s v="DTC"/>
    <x v="3"/>
    <x v="1"/>
    <x v="0"/>
    <s v="16.5.1.2."/>
    <s v="Budżet państwa"/>
    <s v="Wdrożenie rozporządzenie eIDAS2"/>
    <s v="Wdrożenie rozporządzenie eIDAS2"/>
    <n v="13000"/>
    <n v="10000"/>
    <n v="10434"/>
    <m/>
    <m/>
    <m/>
    <m/>
    <m/>
    <m/>
    <s v="NA ETAPIE PLANOWANIA NIE MOŻNA WSKAZAĆ BZ - nowe zadanie"/>
  </r>
  <r>
    <x v="0"/>
    <x v="0"/>
    <s v="DTC"/>
    <x v="0"/>
    <x v="0"/>
    <x v="0"/>
    <s v="16.5.1.2."/>
    <s v="budżet państwa (z wyjątkiem GDDKiA)"/>
    <s v="Opłata roczna za używanie licencji Systemu BotSense Mobile dla klienta GOV dla  aplikacji mObywatel (platformy Android i IOS) "/>
    <s v="Opłata roczna za używanie licencji Systemu BotSense Mobile dla klienta GOV dla  aplikacji mObywatel (platformy Android i IOS) (Botsense)"/>
    <n v="406"/>
    <n v="406"/>
    <n v="406"/>
    <m/>
    <m/>
    <s v="planowane"/>
    <m/>
    <s v="Aneksy do obecnego projektu umowy Botsense (MC)"/>
    <s v="NASK PIB"/>
    <m/>
  </r>
  <r>
    <x v="0"/>
    <x v="0"/>
    <s v="DTC"/>
    <x v="30"/>
    <x v="0"/>
    <x v="0"/>
    <s v="16.5.1.2."/>
    <s v="budżet państwa (z wyjątkiem GDDKiA)"/>
    <s v="Rozbudowa ekosystemu aplikacji mObywatel- VAT koszty niekwalifikowane"/>
    <s v="Szczegółowe uzasadnienie w KPO (Ralizacja budowy  KPO - środkie niekwalifikowane VAT)"/>
    <m/>
    <m/>
    <n v="0"/>
    <n v="0"/>
    <n v="0"/>
    <s v="KPO"/>
    <s v="planowane"/>
    <m/>
    <s v="brak"/>
    <m/>
  </r>
  <r>
    <x v="0"/>
    <x v="0"/>
    <s v="DTC"/>
    <x v="0"/>
    <x v="0"/>
    <x v="0"/>
    <s v="16.5.1.2."/>
    <s v="budżet państwa (z wyjątkiem GDDKiA)"/>
    <s v="Bankowi Gospodarstwa Krajowego przysługuje wynagrodzenie z tytułu obsługi przyjmowania elektronicznych transakcji płatniczych finansowane z budżetu państwa z części, której dysponentem jest minister właściwy do spraw informatyzacji, przy czym wysokość wynagrodzenia nie może przekroczyć 0,05 zł od pojedyńczej transakcji"/>
    <s v="Bankowi Gospodarstwa Krajowego przysługuje wynagrodzenie z tytułu obsługi przyjmowania elektronicznych transakcji płatniczych finansowane z budżetu państwa z części, której dysponentem jest minister właściwy do spraw informatyzacji, przy czym wysokość wynagrodzenia nie może przekroczyć 0,05 zł od pojedyńczej transakcji (System ePłatności)"/>
    <n v="100"/>
    <n v="140"/>
    <n v="180"/>
    <n v="0"/>
    <n v="0"/>
    <s v="planowane"/>
    <s v="umowa"/>
    <s v="Umowa do podpisania po zakończeniu pilotażu czyli powinna być ważna od 1.01.2025r."/>
    <s v="z BGK"/>
    <m/>
  </r>
  <r>
    <x v="0"/>
    <x v="0"/>
    <s v="DTC"/>
    <x v="30"/>
    <x v="0"/>
    <x v="0"/>
    <s v="16.1.2.1"/>
    <s v="budżet państwa (z wyjątkiem GDDKiA)"/>
    <s v="Krajowe Centrum Przetwarzania Danych Etap 2 - VAT - koszty niekwalifikowane"/>
    <s v="Szczegółowe uzasadnienie w KPO (Ralizacja budowy 3 DC z KPO - środkie niekwalifikowane VAT)"/>
    <m/>
    <m/>
    <n v="0"/>
    <n v="0"/>
    <n v="0"/>
    <s v="KPO"/>
    <s v="planowane"/>
    <m/>
    <s v="brak"/>
    <s v="BBF - VAT w KPO"/>
  </r>
  <r>
    <x v="0"/>
    <x v="0"/>
    <s v="DTC"/>
    <x v="0"/>
    <x v="0"/>
    <x v="0"/>
    <s v="16.5.1.2."/>
    <s v="budżet państwa (z wyjątkiem GDDKiA)"/>
    <s v="Zestaw usług przetwarzania w chmurze PChO - Centralny Zamawiający"/>
    <s v="Zestaw usług przetwarzania w chmurze PChO - Centralny Zamawiający"/>
    <n v="775"/>
    <m/>
    <m/>
    <m/>
    <m/>
    <m/>
    <m/>
    <m/>
    <m/>
    <m/>
  </r>
  <r>
    <x v="0"/>
    <x v="0"/>
    <s v="DTC"/>
    <x v="24"/>
    <x v="3"/>
    <x v="0"/>
    <s v="16.5.1.2."/>
    <s v="budżet państwa (z wyjątkiem GDDKiA)"/>
    <s v="Zadanie dot. zapewnienia prawidłowego i niezawodnego funkcjonowania węzła eIDAS. Zadanie będzie realizowane w ramach dotacji celowych przez NASK PIB"/>
    <s v="Zadanie dot. zapewnienia prawidłowego i niezawodnego funkcjonowania węzła eIDAS. Zadanie będzie realizowane w ramach dotacji celowych przez NASK PIB (Dotacja celowa dla NASK PIB dot. pełnienia roli operatora węzła eIDAS)"/>
    <n v="3000"/>
    <n v="0"/>
    <n v="0"/>
    <m/>
    <m/>
    <m/>
    <m/>
    <m/>
    <m/>
    <m/>
  </r>
  <r>
    <x v="0"/>
    <x v="0"/>
    <s v="DTC"/>
    <x v="24"/>
    <x v="3"/>
    <x v="0"/>
    <s v="16.5.1.3"/>
    <s v="budżet państwa (z wyjątkiem GDDKiA)"/>
    <s v="Zadania dot. wsparcia w działaniach Organu ds. Cyfrowej Tożsamości. Zadanie będzie realizowane w ramach dotacji celowych przez NASK PIB"/>
    <s v="Zadania dot. wsparcia w działaniach Organu ds. Cyfrowej Tożsamości. Zadanie będzie realizowane w ramach dotacji celowych przez NASK PIB (Dotacja celowa dla NASK PIB dot. wsparcia w funkcjonowaniu Organu ds. Cyfrowej Tożsamości)"/>
    <n v="513"/>
    <n v="564"/>
    <n v="621"/>
    <m/>
    <m/>
    <m/>
    <m/>
    <m/>
    <m/>
    <m/>
  </r>
  <r>
    <x v="0"/>
    <x v="0"/>
    <s v="DTC"/>
    <x v="0"/>
    <x v="0"/>
    <x v="0"/>
    <s v="16.1.2.1"/>
    <s v="budżet państwa (z wyjątkiem GDDKiA)"/>
    <s v="Wynajem powierzchni DC Bielany, ul. Barcicka 52/56 Warszawa"/>
    <s v="Wynajem powierzchni DC Bielany, ul. Barcicka 52/56 Warszawa (Utrzymanie DC Bielany)"/>
    <n v="2960"/>
    <n v="3166"/>
    <n v="3387"/>
    <n v="3624"/>
    <n v="3878"/>
    <s v="porozumienie"/>
    <s v="umowa"/>
    <s v="1/22 z 15.03.2022"/>
    <s v="KGP porozumienie"/>
    <s v="Porozumienie nr 1/22 z dnia 15 marca 2022 roku "/>
  </r>
  <r>
    <x v="0"/>
    <x v="0"/>
    <s v="DTC"/>
    <x v="1"/>
    <x v="0"/>
    <x v="0"/>
    <s v="16.1.2.1"/>
    <s v="budżet państwa (z wyjątkiem GDDKiA)"/>
    <s v="Wynajem powierzchni DC Bielany, ul. Barcicka 52/56 Warszawa"/>
    <s v="Wynajem powierzchni DC Bielany, ul. Barcicka 52/56 Warszawa (Utrzymanie DC Bielany)"/>
    <n v="3"/>
    <n v="3"/>
    <n v="3"/>
    <m/>
    <m/>
    <m/>
    <m/>
    <m/>
    <m/>
    <s v="Porozumienie nr 1/22 z dnia 15 marca 2022 roku "/>
  </r>
  <r>
    <x v="0"/>
    <x v="0"/>
    <s v="DTC"/>
    <x v="4"/>
    <x v="0"/>
    <x v="0"/>
    <s v="16.1.2.1"/>
    <s v="budżet państwa (z wyjątkiem GDDKiA)"/>
    <s v="Wynajem powierzchni DC Bielany, ul. Barcicka 52/56 Warszawa"/>
    <s v="Wynajem powierzchni DC Bielany, ul. Barcicka 52/56 Warszawa (Utrzymanie DC Bielany)"/>
    <n v="2"/>
    <n v="2"/>
    <n v="2"/>
    <m/>
    <m/>
    <m/>
    <m/>
    <m/>
    <m/>
    <s v="Porozumienie nr 1/22 z dnia 15 marca 2022 roku "/>
  </r>
  <r>
    <x v="0"/>
    <x v="0"/>
    <s v="DTC"/>
    <x v="0"/>
    <x v="0"/>
    <x v="0"/>
    <s v="16.1.2.1"/>
    <s v="budżet państwa (z wyjątkiem GDDKiA)"/>
    <s v="Wynajem powierzchni DC Ochota, ul. Pawińskiego 17/21 Warszawa"/>
    <s v="Wynajem powierzchni DC Ochota, ul. Pawińskiego 17/21 Warszawa (Utrzymanie DC Ochota)"/>
    <n v="1796"/>
    <n v="1922"/>
    <n v="2056"/>
    <n v="1763"/>
    <n v="1917"/>
    <s v="umowa"/>
    <s v="umowa"/>
    <s v="3/U/BDG/2018"/>
    <s v="MSWiA umowa użyczenia"/>
    <s v="Umowa Użyczenia Nr 3/U/BDG/2018 z dnia 22 lutego 2018 roku wraz z Aneksami."/>
  </r>
  <r>
    <x v="0"/>
    <x v="0"/>
    <s v="DTC"/>
    <x v="1"/>
    <x v="0"/>
    <x v="0"/>
    <s v="16.1.2.1"/>
    <s v="budżet państwa (z wyjątkiem GDDKiA)"/>
    <s v="Wynajem powierzchni DC Ochota, ul. Pawińskiego 17/21 Warszawa"/>
    <s v="Wynajem powierzchni DC Ochota, ul. Pawińskiego 17/21 Warszawa (Utrzymanie DC Ochota)"/>
    <n v="28"/>
    <n v="28"/>
    <n v="28"/>
    <m/>
    <m/>
    <m/>
    <m/>
    <m/>
    <m/>
    <s v="Umowa Użyczenia Nr 3/U/BDG/2018 z dnia 22 lutego 2018 roku wraz z Aneksami."/>
  </r>
  <r>
    <x v="0"/>
    <x v="0"/>
    <s v="DTC"/>
    <x v="4"/>
    <x v="0"/>
    <x v="0"/>
    <s v="16.1.2.1"/>
    <s v="budżet państwa (z wyjątkiem GDDKiA)"/>
    <s v="Wynajem powierzchni DC Ochota, ul. Pawińskiego 17/21 Warszawa"/>
    <s v="Wynajem powierzchni DC Ochota, ul. Pawińskiego 17/21 Warszawa (Utrzymanie DC Ochota)"/>
    <n v="288"/>
    <n v="288"/>
    <n v="288"/>
    <m/>
    <m/>
    <m/>
    <m/>
    <m/>
    <m/>
    <s v="Umowa Użyczenia Nr 3/U/BDG/2018 z dnia 22 lutego 2018 roku wraz z Aneksami."/>
  </r>
  <r>
    <x v="0"/>
    <x v="0"/>
    <s v="DTC"/>
    <x v="0"/>
    <x v="0"/>
    <x v="0"/>
    <s v="16.1.2.1"/>
    <s v="budżet państwa (z wyjątkiem GDDKiA)"/>
    <s v="Odpłatne świadczenie usług udostępnienia systemu dla infolinii w celu zapewnienia funkcjonowania systemu telefonów informacyjnych „Informacja dla obywatela” uzupełniającego funkcjonalność www.gov.pl oraz narzędzi klasy CRM"/>
    <s v="Zapewnienie systemu do realizacji połączeń informacyjnych we wszystkich ministerstwach, urzędach wojewódzkich, KPRM i GUNB (Odpłatne świadczenie usług udostępnienia systemu dla infolinii w celu zapewnienia funkcjonowania systemu telefonów informacyjnych „Informacja dla obywatela” uzupełniającego funkcjonalność www.gov.pl oraz narzędzi klasy CRM)"/>
    <n v="106"/>
    <n v="0"/>
    <n v="0"/>
    <n v="0"/>
    <n v="0"/>
    <s v="umowa"/>
    <s v="umowa"/>
    <s v="1180/DZS/22"/>
    <s v="Alfavox sp. z o.o. "/>
    <s v="Koszty MC - koordynacja po stronie COI PUC"/>
  </r>
  <r>
    <x v="0"/>
    <x v="0"/>
    <s v="DTC"/>
    <x v="0"/>
    <x v="0"/>
    <x v="0"/>
    <s v="16.1.2.1"/>
    <s v="budżet państwa (z wyjątkiem GDDKiA)"/>
    <s v="Odpłatne świadczenie usług udostępnienia systemu dla infolinii w celu zapewnienia funkcjonowania systemu telefonów informacyjnych „Informacja dla obywatela” uzupełniającego funkcjonalność www.gov.pl oraz narzędzi klasy CRM"/>
    <s v="Zapewnienie systemu do realizacji połączeń informacyjnych we wszystkich ministerstwach, urzędach wojewódzkich, KPRM i GUNB (Odpłatne świadczenie usług udostępnienia systemu dla infolinii w celu zapewnienia funkcjonowania systemu telefonów informacyjnych „Informacja dla obywatela” uzupełniającego funkcjonalność www.gov.pl oraz narzędzi klasy CRM)"/>
    <n v="625"/>
    <n v="750"/>
    <n v="125"/>
    <n v="0"/>
    <n v="0"/>
    <s v="postępowanie "/>
    <s v="-"/>
    <m/>
    <m/>
    <s v="wszczęcie postępowania zależne od decyzji MC"/>
  </r>
  <r>
    <x v="0"/>
    <x v="0"/>
    <s v="DTC"/>
    <x v="0"/>
    <x v="0"/>
    <x v="0"/>
    <s v="16.1.2.1"/>
    <s v="budżet państwa (z wyjątkiem GDDKiA)"/>
    <s v="Przedłużenie wsparcia technicznego dla posiadanego oprogramowania i sprzętu IBM do 31.12.2024 r."/>
    <s v="Konieczność zapewnienia ciągłości i prawidłowego funkcjonowania Zintegrowanej Infrastruktury Rejestrów (ZIR). Wniosek nr 281/DZS/22 do wniosku 1528/DZS/21 - Założenie, że FV za grudzień 2024 r. płatna w styczniu 2025 r. (Zintegrowana Infrastruktura Rejestrów Utrzymanie)"/>
    <n v="386"/>
    <n v="0"/>
    <n v="0"/>
    <n v="0"/>
    <n v="0"/>
    <s v="umowa"/>
    <s v="umowa"/>
    <s v="1/DIT/U/COI/2016"/>
    <s v="COI"/>
    <s v="281/DZS/22 do wniosku 1528/DZS/21. FV za grudzień 2024 r. płatna w styczniu"/>
  </r>
  <r>
    <x v="0"/>
    <x v="0"/>
    <s v="DTC"/>
    <x v="0"/>
    <x v="0"/>
    <x v="0"/>
    <s v="16.1.2.1"/>
    <s v="budżet państwa (z wyjątkiem GDDKiA)"/>
    <s v="Aneks nr 11 - ochrona kwalifikowana serwerowni od 1 kwietnia 2022 r. do listopada 2026 r."/>
    <s v="Konieczność zapewnienia ciągłości i prawidłowego funkcjonowania Zintegrowanej Infrastruktury Rejestrów (ZIR). Wniosek nr 962/DZS/22 - płatności miesięczne do 1 listopada 2026 r. (Zintegrowana Infrastruktura Rejestrów Utrzymanie)"/>
    <n v="124"/>
    <n v="113"/>
    <n v="0"/>
    <n v="0"/>
    <n v="0"/>
    <s v="umowa"/>
    <s v="umowa"/>
    <s v="1/DIT/U/COI/2016"/>
    <s v="COI"/>
    <s v="962/DZS/22"/>
  </r>
  <r>
    <x v="0"/>
    <x v="0"/>
    <s v="DTC"/>
    <x v="0"/>
    <x v="0"/>
    <x v="0"/>
    <s v="16.1.2.1"/>
    <s v="budżet państwa (z wyjątkiem GDDKiA)"/>
    <s v="Dostawa oprogramowania do statycznej analizy kodu źródłowego (ang. SAST) i aplikacji mobilnych wraz z usługami wsparcia na okres 36 miesięcy. Wniosek nr 1178/DZS/22."/>
    <s v="Konieczność zapewnienia oprogramowania do statycznej analizy kodu źródłowego pod kątem bezpieczeństwa dla aplikacji wytwarzanych w Centralnym Ośrodku Informatyki.  (Zintegrowana Infrastruktura Rejestrów Utrzymanie)"/>
    <n v="53"/>
    <n v="0"/>
    <n v="0"/>
    <n v="0"/>
    <n v="0"/>
    <s v="umowa"/>
    <s v="umowa"/>
    <s v="1/DIT/U/COI/2016"/>
    <s v="COI"/>
    <s v="1178/DZS/22"/>
  </r>
  <r>
    <x v="0"/>
    <x v="0"/>
    <s v="DTC"/>
    <x v="0"/>
    <x v="0"/>
    <x v="0"/>
    <s v="16.1.2.1"/>
    <s v="budżet państwa (z wyjątkiem GDDKiA)"/>
    <s v="NASK - najem powierzchni serwerowej - Aneks nr 9 do Umowy ZIR . Wniosek 1670/DZS/21; 1700/DZS/21, płatności miesięczne do dnia1 listopada 2026 r."/>
    <s v="Konieczność zapewnienia ciągłości i prawidłowego funkcjonowania Zintegrowanej Infrastruktury Rejestrów (ZIR)  (Zintegrowana Infrastruktura Rejestrów Utrzymanie)"/>
    <n v="3482"/>
    <n v="3192"/>
    <n v="0"/>
    <n v="0"/>
    <n v="0"/>
    <s v="umowa"/>
    <s v="umowa"/>
    <s v="1/DIT/U/COI/2016"/>
    <s v="COI"/>
    <s v="1670/DZS/21; 1700/DZS/21 "/>
  </r>
  <r>
    <x v="0"/>
    <x v="0"/>
    <s v="DTC"/>
    <x v="0"/>
    <x v="0"/>
    <x v="0"/>
    <s v="16.1.2.1"/>
    <s v="budżet państwa (z wyjątkiem GDDKiA)"/>
    <s v="Zakup asysty technicznej przy pracach rozwojowych (MD) dot. SOAR Resilient firmy IBM na okres 36 miesięcy. Wniosek nr 2422/DZS/22; 1272/DZS/21."/>
    <s v="Konieczność zapewnienia ciągłości i prawidłowego funkcjonowania Zintegrowanej Infrastruktury Rejestrów (ZIR)  (Zintegrowana Infrastruktura Rejestrów Utrzymanie)"/>
    <n v="33"/>
    <n v="0"/>
    <n v="0"/>
    <n v="0"/>
    <n v="0"/>
    <s v="umowa"/>
    <s v="umowa"/>
    <s v="1/DIT/U/COI/2016"/>
    <s v="COI"/>
    <s v="2422/DZS/22; 1272/DZS/21"/>
  </r>
  <r>
    <x v="0"/>
    <x v="0"/>
    <s v="DTC"/>
    <x v="0"/>
    <x v="0"/>
    <x v="0"/>
    <s v="16.1.2.1"/>
    <s v="budżet państwa (z wyjątkiem GDDKiA)"/>
    <s v="Zakup usług wsparcia tech. na oprogramowanie ORACLE oraz zakup usług wsparcia tech. na opcje bazodanowe ORACLE Enterprise, wykorzystywane w SRP w okresie: 30 listopada 2023 – październik 2025 roku.Wniosek nr 17/C/DUC/2023, płatności miesięczne do października 2025 r."/>
    <s v="Konieczność zapewnienia ciągłości i prawidłowego funkcjonowania Zintegrowanej Infrastruktury Rejestrów (ZIR)  (Zintegrowana Infrastruktura Rejestrów Utrzymanie)"/>
    <n v="4416"/>
    <n v="0"/>
    <n v="0"/>
    <n v="0"/>
    <n v="0"/>
    <s v="umowa"/>
    <s v="umowa"/>
    <s v="1/DIT/U/COI/2016"/>
    <s v="COI"/>
    <s v="17/C/DUC/2023"/>
  </r>
  <r>
    <x v="0"/>
    <x v="0"/>
    <s v="DTC"/>
    <x v="0"/>
    <x v="0"/>
    <x v="0"/>
    <s v="16.1.2.1"/>
    <s v="budżet państwa (z wyjątkiem GDDKiA)"/>
    <s v="Świadczenie usługi dostępu do Internetu oraz usługi antyDDos w lokalizacji I (Warszawa, ul. Barcicka 52/56) oraz lokalizacji II (Warszawa, ul. Pawińskiego 17/21) od dnia 27.08.2023 do dnia 28.08.2026 r.do dnia 28.08.2026 r.Wniosek nr 477/DZS/23, płatności miesięczne do dnia 26 sierpnia 2025 r."/>
    <s v="Konieczność zapewnienia ciągłości i prawidłowego funkcjonowania Zintegrowanej Infrastruktury Rejestrów (ZIR)  (Zintegrowana Infrastruktura Rejestrów Utrzymanie)"/>
    <n v="64"/>
    <n v="0"/>
    <n v="0"/>
    <n v="0"/>
    <n v="0"/>
    <s v="umowa"/>
    <s v="umowa"/>
    <s v="1/DIT/U/COI/2016"/>
    <s v="COI"/>
    <s v="477/DZS/23"/>
  </r>
  <r>
    <x v="0"/>
    <x v="0"/>
    <s v="DTC"/>
    <x v="0"/>
    <x v="0"/>
    <x v="0"/>
    <s v="16.1.2.1"/>
    <s v="budżet państwa (z wyjątkiem GDDKiA)"/>
    <s v=" Zakup usług wsparcia technicznego Software Assurance w okresie od 1 października 2023 do 30 września 2026 roku (na 36 miesięcy) na oprogramowanie Microsoft. Wniosek nr 37/C/DUC/23, płatności co 12 miesięcy do października 2025 r. Pismem kierowanym do BBF nr DTC.MC.WNS.3111.12.2023 zwalniano środki z roku 2024 i 2025 do wysokości wskazanej w kolumnie N i O."/>
    <s v="Konieczność zapewnienia ciągłości i prawidłowego funkcjonowania Zintegrowanej Infrastruktury Rejestrów (ZIR)  (Zintegrowana Infrastruktura Rejestrów Utrzymanie)"/>
    <n v="130"/>
    <n v="0"/>
    <n v="0"/>
    <n v="0"/>
    <n v="0"/>
    <s v="umowa"/>
    <s v="umowa"/>
    <s v="1/DIT/U/COI/2016"/>
    <s v="COI"/>
    <s v="37/C/DUC/23"/>
  </r>
  <r>
    <x v="0"/>
    <x v="0"/>
    <s v="DTC"/>
    <x v="28"/>
    <x v="0"/>
    <x v="0"/>
    <s v="16.1.2.1"/>
    <m/>
    <s v="Opłata roczna  za utrzymanie adresacji IP (RIPE NCC)."/>
    <s v="Opłata roczna  za utrzymanie adresacji IP (RIPE NCC)."/>
    <n v="10"/>
    <n v="10"/>
    <n v="10"/>
    <n v="10"/>
    <n v="10"/>
    <m/>
    <m/>
    <m/>
    <m/>
    <s v="BBF - pozyzja dodana w oparciu o mail z dnia 17.07.2024 r. "/>
  </r>
  <r>
    <x v="0"/>
    <x v="0"/>
    <s v="DTC"/>
    <x v="33"/>
    <x v="0"/>
    <x v="0"/>
    <s v="16.5.2.2"/>
    <m/>
    <s v="Koszty w zakresie spraw sądowych."/>
    <s v="szacunkowe koszty w zakresie spraw sądowych administracyjnych na lata 2025-2027 (sprawy nowe - w oparciu o ilość spraw z lat ubiegłych)"/>
    <n v="23"/>
    <n v="17"/>
    <m/>
    <m/>
    <m/>
    <m/>
    <m/>
    <m/>
    <m/>
    <s v="NA ETAPIE PLANOWANIA NIE MOŻNA WSKAZAĆ BZ - zalezy od realizacji zadania w danym obszarze._x000a_BBF - proponuję nie uwzględniać potrzeby z uwagi, iż k.o. planuje na sprawy nowe - w oparciu o ilość spraw z lat ubiegłych i niemożność wskazania również budżetu zadaniowego"/>
  </r>
  <r>
    <x v="0"/>
    <x v="0"/>
    <s v="DWM"/>
    <x v="0"/>
    <x v="0"/>
    <x v="0"/>
    <s v="16.5.2.2"/>
    <s v="budżet państwa (z wyjątkiem GDDKiA)"/>
    <s v="Organizacja krajowej edycji konferencji Forum Zarządzania Internetem IGF POLSKA 2025"/>
    <s v="Organizacja krajowej edycji konferencji Forum Zarządzania Internetem IGF POLSKA 2025"/>
    <n v="400"/>
    <n v="400"/>
    <n v="400"/>
    <m/>
    <m/>
    <s v="planowanie"/>
    <s v="umowa"/>
    <s v="b.d."/>
    <s v="b.d."/>
    <m/>
  </r>
  <r>
    <x v="0"/>
    <x v="0"/>
    <s v="DWM"/>
    <x v="0"/>
    <x v="0"/>
    <x v="0"/>
    <s v="16.5.2.2"/>
    <s v="budżet państwa (z wyjątkiem GDDKiA)"/>
    <s v="Dodatkowe koszty związane z obsługą eventową w celu organizacji Szczytu Cyfrowego (Digital Summit) oraz innych wydażeń dot. kwestii międzynarodowych w 2025 r."/>
    <s v="Organizacja Szczytu Cyfrowego (Digital Summit) w ramach Przewodnictwa Polski w Radzie Unii Europejskiej w I połowie 2025 r. - dodatkowe koszty eventowe"/>
    <n v="900"/>
    <m/>
    <n v="0"/>
    <m/>
    <m/>
    <s v="planowane"/>
    <s v="umowa/y"/>
    <s v="b.d."/>
    <s v="b.d."/>
    <m/>
  </r>
  <r>
    <x v="0"/>
    <x v="0"/>
    <s v="DWM"/>
    <x v="0"/>
    <x v="0"/>
    <x v="0"/>
    <s v="16.5.2.2"/>
    <s v="budżet państwa (z wyjątkiem GDDKiA)"/>
    <s v="Koszt kolacji dla uczestników Szczytu Cyfrowego (Digital Summit) I oraz II dnia konferencji"/>
    <s v="Koszt kolacji dla uczestników Szczytu Cyfrowego (Digital Summit) I oraz II dnia konferencji"/>
    <n v="358"/>
    <m/>
    <n v="0"/>
    <m/>
    <m/>
    <s v="planowane"/>
    <s v="umowa/y"/>
    <s v="b.d."/>
    <s v="b.d."/>
    <m/>
  </r>
  <r>
    <x v="0"/>
    <x v="0"/>
    <s v="DWM"/>
    <x v="0"/>
    <x v="0"/>
    <x v="0"/>
    <s v="16.5.2.2"/>
    <s v="budżet państwa (z wyjątkiem GDDKiA)"/>
    <s v="Konferencja dot. dyplomacji cyfrowa - dodatkowe koszty eventowe"/>
    <s v="Konferencja dot. dyplomacji cyfrowa - dodatkowe koszty eventowe, w tym kolacja i hotel dla uczestników konferencji"/>
    <n v="173"/>
    <n v="0"/>
    <n v="0"/>
    <m/>
    <m/>
    <s v="planowanie"/>
    <s v="umowa"/>
    <s v="b.d."/>
    <s v="b.d."/>
    <m/>
  </r>
  <r>
    <x v="0"/>
    <x v="0"/>
    <s v="DWM"/>
    <x v="0"/>
    <x v="0"/>
    <x v="0"/>
    <s v="16.5.2.2"/>
    <s v="budżet państwa (z wyjątkiem GDDKiA)"/>
    <s v="Kolacja dla uczestników konferencji dot. dyplomacji cyfrowej oraz zakwaterowanie dla panelistów"/>
    <s v="Kolacja dla uczestników konferencji dot. dyplomacji cyfrowej oraz zakwaterowanie dla panelistów"/>
    <n v="87"/>
    <n v="0"/>
    <n v="0"/>
    <n v="0"/>
    <n v="0"/>
    <s v="planowanie"/>
    <s v="umowa"/>
    <s v="b.d."/>
    <s v="b.d."/>
    <m/>
  </r>
  <r>
    <x v="0"/>
    <x v="0"/>
    <s v="DWM"/>
    <x v="0"/>
    <x v="0"/>
    <x v="0"/>
    <s v="16.5.2.2"/>
    <s v="budżet państwa (z wyjątkiem GDDKiA)"/>
    <s v="Spotkanie ambasadorów UE ds. cyfrowych - dodatkowe koszty eventowe_x000a_ "/>
    <s v="Spotkanie ambasadorów UE ds. cyfrowych - dodatkowe koszty eventowe, w tym kolacja dla uczestnków spotkania_x000a_ "/>
    <n v="71"/>
    <n v="0"/>
    <n v="0"/>
    <m/>
    <m/>
    <s v="planowanie"/>
    <s v="umowa"/>
    <s v="b.d."/>
    <s v="b.d."/>
    <m/>
  </r>
  <r>
    <x v="0"/>
    <x v="0"/>
    <s v="DWM"/>
    <x v="0"/>
    <x v="0"/>
    <x v="0"/>
    <s v="16.5.2.2"/>
    <s v="budżet państwa (z wyjątkiem GDDKiA)"/>
    <s v="Kolacja dla uczestników spotkania ambasadorów UE ds..cyfrowych"/>
    <s v="Kolacja dla uczestników spotkania ambasadorów UE ds. cyfrowych"/>
    <n v="19"/>
    <n v="0"/>
    <n v="0"/>
    <n v="0"/>
    <m/>
    <s v="planowanie"/>
    <s v="umowa"/>
    <s v="b.d."/>
    <s v="b.d."/>
    <m/>
  </r>
  <r>
    <x v="0"/>
    <x v="0"/>
    <s v="DWM"/>
    <x v="0"/>
    <x v="0"/>
    <x v="0"/>
    <s v="16.5.2.2"/>
    <s v="budżet państwa (z wyjątkiem GDDKiA)"/>
    <s v="Organizacja śniadania DDN oraz koktajlu dla uczestników konferencji Wirtualne Światy."/>
    <s v="Organizacja śniadania DDN oraz koktajlu dla uczestników konferencji Wirtualne Światy"/>
    <n v="85"/>
    <n v="0"/>
    <n v="0"/>
    <n v="0"/>
    <n v="0"/>
    <s v="planowanie"/>
    <s v="umowa"/>
    <s v="b.d."/>
    <s v="b.d."/>
    <m/>
  </r>
  <r>
    <x v="0"/>
    <x v="0"/>
    <s v="DWM"/>
    <x v="23"/>
    <x v="0"/>
    <x v="0"/>
    <s v="22.1.1.1"/>
    <s v="budżet państwa (z wyjątkiem GDDKiA)"/>
    <s v="Usługa rezerwacji i dostarczania biletów lotniczych i kolejowych na zagraniczne i krajowe przewozy pasażerskie oraz dodatkowe usługi powiązane na potrzeby całego MC."/>
    <s v="Usługa rezerwacji i dostarczania biletów lotniczych i kolejowych na zagraniczne i krajowe przewozy pasażerskie oraz dodatkowe usługi powiązane na potrzeby całego MC."/>
    <n v="1600"/>
    <n v="330"/>
    <n v="0"/>
    <m/>
    <m/>
    <s v="w realizacji"/>
    <s v="umowa"/>
    <s v="nr wniosku a_x0009__x000a_173/DWM/24"/>
    <s v="b.d."/>
    <m/>
  </r>
  <r>
    <x v="0"/>
    <x v="0"/>
    <s v="DWM"/>
    <x v="22"/>
    <x v="0"/>
    <x v="0"/>
    <s v="22.1.1.1"/>
    <m/>
    <s v="Usługa rezerwacji i dostarczania biletów lotniczych i kolejowych na zagraniczne i krajowe przewozy pasażerskie oraz dodatkowe usługi powiązane na potrzeby całego MC."/>
    <s v="Usługa rezerwacji i dostarczania biletów lotniczych i kolejowych na zagraniczne i krajowe przewozy pasażerskie oraz dodatkowe usługi powiązane na potrzeby całego MC."/>
    <n v="50"/>
    <n v="20"/>
    <m/>
    <m/>
    <m/>
    <m/>
    <m/>
    <m/>
    <m/>
    <m/>
  </r>
  <r>
    <x v="0"/>
    <x v="0"/>
    <s v="DWM"/>
    <x v="23"/>
    <x v="0"/>
    <x v="0"/>
    <s v="22.1.1.1"/>
    <s v="budżet państwa (z wyjątkiem GDDKiA)"/>
    <s v="Usługa rezerwacji i dostarczania biletów lotniczych i kolejowych na zagraniczne i krajowe przewozy pasażerskie oraz dodatkowe usługi powiązane na potrzeby całego MC."/>
    <s v="Usługa rezerwacji i dostarczania biletów lotniczych i kolejowych na zagraniczne i krajowe przewozy pasażerskie oraz dodatkowe usługi powiązane na potrzeby całego MC."/>
    <n v="0"/>
    <n v="1450"/>
    <n v="1450"/>
    <n v="1450"/>
    <n v="1450"/>
    <s v="planowane (zamówienie centralne)"/>
    <s v="umowa"/>
    <s v="b.d."/>
    <s v="b.d."/>
    <m/>
  </r>
  <r>
    <x v="0"/>
    <x v="0"/>
    <s v="DWM"/>
    <x v="22"/>
    <x v="0"/>
    <x v="0"/>
    <s v="22.1.1.1"/>
    <m/>
    <s v="Usługa rezerwacji i dostarczania biletów lotniczych i kolejowych na zagraniczne i krajowe przewozy pasażerskie oraz dodatkowe usługi powiązane na potrzeby całego MC."/>
    <s v="Usługa rezerwacji i dostarczania biletów lotniczych i kolejowych na zagraniczne i krajowe przewozy pasażerskie oraz dodatkowe usługi powiązane na potrzeby całego MC."/>
    <m/>
    <n v="50"/>
    <n v="50"/>
    <n v="50"/>
    <n v="50"/>
    <m/>
    <m/>
    <m/>
    <m/>
    <m/>
  </r>
  <r>
    <x v="0"/>
    <x v="0"/>
    <s v="DWM"/>
    <x v="0"/>
    <x v="0"/>
    <x v="0"/>
    <s v="22.1.1.1"/>
    <s v="budżet państwa (z wyjątkiem GDDKiA)"/>
    <s v="Usługa tłumaczeń specjalistycznych pisemnych i ustnych oraz weryfikacja tłumaczeń specjalistycznych pisemnych na potrzeby MC."/>
    <s v="Usługa tłumaczeń specjalistycznych pisemnych i ustnych oraz weryfikacja tłumaczeń specjalistycznych pisemnych na potrzeby MC."/>
    <n v="300"/>
    <n v="200"/>
    <n v="200"/>
    <m/>
    <m/>
    <s v="planowanie"/>
    <s v="umowa"/>
    <s v="b.d."/>
    <s v="b.d."/>
    <m/>
  </r>
  <r>
    <x v="0"/>
    <x v="0"/>
    <s v="DWM"/>
    <x v="23"/>
    <x v="0"/>
    <x v="0"/>
    <s v="22.1.1.1"/>
    <s v="budżet państwa (z wyjątkiem GDDKiA)"/>
    <s v="Usługa korzystania z saloników VIP oraz inne dodatkowe usługi ułatwiające odprawę w portach lotniczych na terytorium RP na potrzeby MC. "/>
    <s v="Usługa korzystania z saloników VIP oraz inne dodatkowe usługi ułatwiające odprawę w portach lotniczych na terytorium RP na potrzeby MC. "/>
    <n v="10"/>
    <n v="8"/>
    <n v="8"/>
    <m/>
    <m/>
    <s v="planowanie"/>
    <s v="umowa"/>
    <s v="b.d."/>
    <s v="b.d."/>
    <m/>
  </r>
  <r>
    <x v="0"/>
    <x v="0"/>
    <s v="DWM"/>
    <x v="22"/>
    <x v="0"/>
    <x v="0"/>
    <s v="22.1.1.1"/>
    <m/>
    <s v="Usługa korzystania z saloników VIP oraz inne dodatkowe usługi ułatwiające odprawę w portach lotniczych na terytorium RP na potrzeby MC. "/>
    <s v="Usługa korzystania z saloników VIP oraz inne dodatkowe usługi ułatwiające odprawę w portach lotniczych na terytorium RP na potrzeby MC. "/>
    <n v="5"/>
    <n v="2"/>
    <n v="2"/>
    <m/>
    <m/>
    <m/>
    <m/>
    <m/>
    <m/>
    <m/>
  </r>
  <r>
    <x v="0"/>
    <x v="0"/>
    <s v="DWM"/>
    <x v="23"/>
    <x v="0"/>
    <x v="0"/>
    <s v="16.5.2.2"/>
    <s v="budżet państwa (z wyjątkiem GDDKiA)"/>
    <s v="Koszty związane z organizacją spotkań i delegacji zagranicznych kierownictwa MC (w tym np. koszty do refundacji placówek dyplomatycznych)."/>
    <s v="Koszty związane z organizacją spotkań i delegacji zagranicznych kierownictwa MC (w tym np. koszty do refundacji placówek dyplomatycznych)."/>
    <n v="1400"/>
    <n v="1000"/>
    <n v="1000"/>
    <m/>
    <m/>
    <s v="n.d."/>
    <s v="n.d."/>
    <s v="n.d."/>
    <s v="n.d."/>
    <m/>
  </r>
  <r>
    <x v="0"/>
    <x v="0"/>
    <s v="DWM"/>
    <x v="0"/>
    <x v="0"/>
    <x v="0"/>
    <s v="16.5.2.2"/>
    <s v="budżet państwa (z wyjątkiem GDDKiA)"/>
    <s v="Koszty związane z ew. wykorzystaniem specjalnego transportu lotniczego"/>
    <s v="Koszty związane z ew. wykorzystaniem specjalnego transportu lotniczego"/>
    <n v="80"/>
    <n v="50"/>
    <n v="50"/>
    <m/>
    <m/>
    <s v="n.d."/>
    <s v="n.d."/>
    <s v="n.d."/>
    <s v="n.d."/>
    <m/>
  </r>
  <r>
    <x v="0"/>
    <x v="0"/>
    <s v="DWM"/>
    <x v="0"/>
    <x v="0"/>
    <x v="0"/>
    <s v="16.5.2.2"/>
    <s v="budżet państwa (z wyjątkiem GDDKiA)"/>
    <s v="Ekspertyzy (nie dotyczy ekspertyz na potrzeby PREZ)"/>
    <s v="Ekspertyzy (nie dotyczy ekspertyz na potrzeby PREZ)"/>
    <n v="20"/>
    <n v="20"/>
    <n v="20"/>
    <m/>
    <m/>
    <s v="planowanie"/>
    <s v="umowa"/>
    <s v="b.d."/>
    <m/>
    <m/>
  </r>
  <r>
    <x v="0"/>
    <x v="0"/>
    <s v="DWM"/>
    <x v="23"/>
    <x v="0"/>
    <x v="0"/>
    <s v="16.5.2.2"/>
    <s v="budżet państwa (z wyjątkiem GDDKiA)"/>
    <s v="Delegacje zagraniczne MC"/>
    <s v="Delegacje zagraniczne MC"/>
    <n v="1456"/>
    <n v="4276"/>
    <n v="4276"/>
    <m/>
    <m/>
    <s v="planowanie"/>
    <s v="n.d."/>
    <s v="n.d."/>
    <s v="n.d."/>
    <m/>
  </r>
  <r>
    <x v="0"/>
    <x v="0"/>
    <s v="DWM"/>
    <x v="0"/>
    <x v="0"/>
    <x v="0"/>
    <s v="16.5.2.2"/>
    <s v="budżet państwa (z wyjątkiem GDDKiA)"/>
    <s v=" Gry symulacyjne"/>
    <s v=" Gry symulacyjne"/>
    <n v="150"/>
    <n v="0"/>
    <n v="0"/>
    <m/>
    <m/>
    <s v="planowanie"/>
    <s v="umowa"/>
    <s v="b.d."/>
    <s v="b.d."/>
    <m/>
  </r>
  <r>
    <x v="0"/>
    <x v="0"/>
    <s v="DWM"/>
    <x v="15"/>
    <x v="0"/>
    <x v="0"/>
    <s v="16.5.2.2"/>
    <s v="budżet państwa (z wyjątkiem GDDKiA)"/>
    <s v="Zapewnienie udziału panelistów w wydażeniach międzynarodowych wymagających zapłaty wynagrodzenia oraz innych kosztów  (diety, noclegi, transport, itp.)"/>
    <s v="Zapewnienie udziału panelistów w wydażeniach międzynarodowych wymagających zapłaty wynagrodzenia oraz innych kosztów  (diety, noclegi, transport, itp.)"/>
    <n v="150"/>
    <n v="0"/>
    <n v="0"/>
    <m/>
    <m/>
    <s v="planowanie"/>
    <s v="umowa"/>
    <s v="b.d."/>
    <s v="b.d."/>
    <s v="BBF - konieczność rozbicia kwot na poszczególne paragrafy "/>
  </r>
  <r>
    <x v="0"/>
    <x v="0"/>
    <s v="DWM"/>
    <x v="15"/>
    <x v="0"/>
    <x v="0"/>
    <s v="16.5.2.2"/>
    <s v="budżet państwa (z wyjątkiem GDDKiA)"/>
    <s v="Umowy zleceń (dodatkowi pracownicy)"/>
    <s v="Umowy zleceń (dodatkowi pracownicy)"/>
    <n v="300"/>
    <n v="0"/>
    <n v="0"/>
    <m/>
    <m/>
    <s v="planowanie"/>
    <s v="umowa"/>
    <s v="b.d."/>
    <s v="b.d."/>
    <m/>
  </r>
  <r>
    <x v="0"/>
    <x v="0"/>
    <s v="DWM"/>
    <x v="15"/>
    <x v="0"/>
    <x v="0"/>
    <s v="16.5.2.2"/>
    <s v="budżet państwa (z wyjątkiem GDDKiA)"/>
    <s v="Umowy zleceń (tłumacze podczas delegacji zagranicznych)"/>
    <s v="Umowy zleceń (tłumacze podczas delegacji zagranicznych)"/>
    <n v="150"/>
    <n v="0"/>
    <n v="0"/>
    <m/>
    <m/>
    <s v="planowanie"/>
    <s v="umowa"/>
    <s v="b.d."/>
    <s v="b.d."/>
    <m/>
  </r>
  <r>
    <x v="0"/>
    <x v="0"/>
    <s v="DZD"/>
    <x v="0"/>
    <x v="0"/>
    <x v="0"/>
    <s v="16.5.2.1."/>
    <s v="budżet państwa (z wyjątkiem GDDKiA)"/>
    <s v="Studia Wykonalności"/>
    <s v="Studia wykonalności dla nowych projektów FERC"/>
    <n v="100"/>
    <n v="0"/>
    <n v="0"/>
    <n v="0"/>
    <n v="0"/>
    <s v="procedowana umowa/porozumienie"/>
    <s v="Wniosek "/>
    <s v="158/C/DZD/23"/>
    <s v="w toku"/>
    <s v="część już zrealizowana dotycząca Dane 3.0, zakładamy, że SW dla Kronik@2.0 również będzie w 2024, ale zabezpieczamy kwotę do ew. zapłaty w 2025"/>
  </r>
  <r>
    <x v="0"/>
    <x v="0"/>
    <s v="DZD"/>
    <x v="0"/>
    <x v="0"/>
    <x v="0"/>
    <s v="16.5.2.1."/>
    <s v="budżet państwa (z wyjątkiem GDDKiA)"/>
    <s v="Dzień Ochrony Danych Osobowych SPRP"/>
    <s v="cykliczne wydarzenie, raz w roku"/>
    <n v="80"/>
    <n v="50"/>
    <n v="50"/>
    <n v="0"/>
    <n v="0"/>
    <s v="planowane"/>
    <s v="nie dotyczy"/>
    <m/>
    <s v="nie dotyczy"/>
    <m/>
  </r>
  <r>
    <x v="0"/>
    <x v="0"/>
    <s v="DZD"/>
    <x v="0"/>
    <x v="0"/>
    <x v="0"/>
    <s v="16.5.2.1."/>
    <s v="budżet państwa (z wyjątkiem GDDKiA)"/>
    <s v="ewaluacja POD"/>
    <m/>
    <n v="0"/>
    <n v="0"/>
    <n v="0"/>
    <n v="0"/>
    <n v="0"/>
    <s v="umowa"/>
    <s v="umowa "/>
    <s v="483/DZD/23"/>
    <s v="z firmą  ASM RESEARCH SOLUTIONS STRATEGY Sp. z o.o."/>
    <s v="zrealizowane"/>
  </r>
  <r>
    <x v="0"/>
    <x v="0"/>
    <s v="DZD"/>
    <x v="0"/>
    <x v="0"/>
    <x v="0"/>
    <s v="16.5.2.1."/>
    <s v="budżet państwa (z wyjątkiem GDDKiA)"/>
    <s v="Kampania informacyjno-promocyjna w Internecie zachęcająca do wykorzystywania otwartych zasobów cyfrowych kultury i nauki z portalu kronika.gov.pl ."/>
    <m/>
    <n v="0"/>
    <n v="0"/>
    <n v="0"/>
    <n v="0"/>
    <n v="0"/>
    <s v="umowa"/>
    <s v="umowa "/>
    <s v="196/DZD/2023 "/>
    <s v="z firmą Fabryka Marketingu Sp. z o.o."/>
    <s v="zrealizowane"/>
  </r>
  <r>
    <x v="0"/>
    <x v="0"/>
    <s v="DZD"/>
    <x v="2"/>
    <x v="0"/>
    <x v="0"/>
    <s v="16.5.2.1."/>
    <s v="budżet państwa (z wyjątkiem GDDKiA)"/>
    <s v="mediacje Polcom"/>
    <m/>
    <n v="0"/>
    <n v="0"/>
    <n v="0"/>
    <n v="0"/>
    <n v="0"/>
    <s v="umowa"/>
    <s v="wniosek pn. &quot;Mediacje do umowy 743/DZD/20&quot;"/>
    <m/>
    <s v="Prokuratoria Generalna"/>
    <s v="do zrealiowania w 2024"/>
  </r>
  <r>
    <x v="0"/>
    <x v="0"/>
    <s v="DZD"/>
    <x v="0"/>
    <x v="0"/>
    <x v="0"/>
    <s v="16.5.2.1."/>
    <s v="budżet państwa (z wyjątkiem GDDKiA)"/>
    <s v="Partnerstwo w wydarzeniach promujących lub/i wykorzystujących dane z portalu dane.gov.pl"/>
    <m/>
    <n v="40"/>
    <n v="40"/>
    <n v="40"/>
    <n v="0"/>
    <n v="0"/>
    <s v="planowane"/>
    <s v="nie dotyczy"/>
    <m/>
    <s v="nie dotyczy"/>
    <m/>
  </r>
  <r>
    <x v="0"/>
    <x v="0"/>
    <s v="DZD"/>
    <x v="0"/>
    <x v="0"/>
    <x v="0"/>
    <s v="16.5.2.1."/>
    <s v="budżet państwa (z wyjątkiem GDDKiA)"/>
    <s v="Materiały informacyjno-promocyjne"/>
    <m/>
    <n v="0"/>
    <n v="35"/>
    <n v="0"/>
    <n v="0"/>
    <n v="0"/>
    <s v="planowane"/>
    <s v="nie dotyczy"/>
    <m/>
    <s v="nie dotyczy"/>
    <m/>
  </r>
  <r>
    <x v="0"/>
    <x v="0"/>
    <s v="DZD"/>
    <x v="0"/>
    <x v="0"/>
    <x v="0"/>
    <s v="16.5.2.1."/>
    <s v="budżet państwa (z wyjątkiem GDDKiA)"/>
    <s v="Przeprowadzenie warsztatów z zakresu otwierania danych dla pracowników jst"/>
    <m/>
    <n v="230"/>
    <n v="0"/>
    <n v="0"/>
    <n v="0"/>
    <n v="0"/>
    <s v="planowane"/>
    <s v="nie dotyczy"/>
    <m/>
    <s v="nie dotyczy"/>
    <s v="przetarg w trakcie"/>
  </r>
  <r>
    <x v="0"/>
    <x v="0"/>
    <s v="DZD"/>
    <x v="0"/>
    <x v="0"/>
    <x v="0"/>
    <s v="16.5.2.1."/>
    <s v="budżet państwa (z wyjątkiem GDDKiA)"/>
    <s v="Utrzymanie i obsługa domen internetowych niezbędnych do zapewnienia realizacji zadań Departamentu: w tym dane.gov.pl; data.gov.pl; kronika.gov.pl/certyfikaty"/>
    <m/>
    <n v="2"/>
    <n v="2"/>
    <n v="0"/>
    <n v="0"/>
    <n v="0"/>
    <s v="planowane"/>
    <s v="nie dotyczy"/>
    <m/>
    <s v="nie dotyczy"/>
    <s v="przejęte przez NASK, już od 2023 nie płacimy za domeny"/>
  </r>
  <r>
    <x v="0"/>
    <x v="0"/>
    <s v="DZD"/>
    <x v="0"/>
    <x v="0"/>
    <x v="0"/>
    <s v="16.5.2.1."/>
    <s v="budżet państwa (z wyjątkiem GDDKiA)"/>
    <s v="Funkcjonowanie portalu danych (dane.gov.pl). Rozwój oprogramowania."/>
    <m/>
    <n v="0"/>
    <n v="0"/>
    <n v="0"/>
    <n v="0"/>
    <n v="0"/>
    <s v="planowane"/>
    <s v="nie dotyczy"/>
    <m/>
    <s v="nie dotyczy"/>
    <m/>
  </r>
  <r>
    <x v="0"/>
    <x v="0"/>
    <s v="DZD"/>
    <x v="0"/>
    <x v="0"/>
    <x v="0"/>
    <s v="16.5.2.1."/>
    <s v="budżet państwa (z wyjątkiem GDDKiA)"/>
    <s v="Ewaluacja Programu otwierania danych na lata 2021-2027"/>
    <m/>
    <n v="150"/>
    <n v="0"/>
    <n v="150"/>
    <n v="0"/>
    <n v="0"/>
    <s v="planowane"/>
    <s v="nie dotyczy"/>
    <m/>
    <s v="nie dotyczy"/>
    <m/>
  </r>
  <r>
    <x v="0"/>
    <x v="0"/>
    <s v="DZD"/>
    <x v="0"/>
    <x v="0"/>
    <x v="0"/>
    <s v="16.5.2.1."/>
    <s v="budżet państwa (z wyjątkiem GDDKiA)"/>
    <s v="Realizacja programu otwierania danych na lata 2021-2027"/>
    <m/>
    <n v="150"/>
    <n v="150"/>
    <n v="150"/>
    <n v="0"/>
    <n v="0"/>
    <s v="planowane"/>
    <s v="nie dotyczy"/>
    <m/>
    <s v="nie dotyczy"/>
    <m/>
  </r>
  <r>
    <x v="0"/>
    <x v="0"/>
    <s v="DZD"/>
    <x v="0"/>
    <x v="0"/>
    <x v="0"/>
    <s v="16.5.2.1."/>
    <s v="budżet państwa (z wyjątkiem GDDKiA)"/>
    <s v="Badania rynku otwartych danych, ponownego wykorzystywania i zarządzania danymi"/>
    <m/>
    <n v="0"/>
    <n v="0"/>
    <n v="0"/>
    <n v="0"/>
    <n v="0"/>
    <s v="planowane"/>
    <s v="nie dotyczy"/>
    <m/>
    <s v="nie dotyczy"/>
    <m/>
  </r>
  <r>
    <x v="0"/>
    <x v="0"/>
    <s v="DZD"/>
    <x v="0"/>
    <x v="0"/>
    <x v="0"/>
    <s v="16.5.2.1."/>
    <s v="budżet państwa (z wyjątkiem GDDKiA)"/>
    <s v="Ekspertyzy na potrzeby realizacji polityki otwartości i zarządzania danymi."/>
    <m/>
    <n v="150"/>
    <n v="0"/>
    <n v="0"/>
    <n v="0"/>
    <n v="0"/>
    <s v="planowane"/>
    <s v="nie dotyczy"/>
    <m/>
    <s v="nie dotyczy"/>
    <m/>
  </r>
  <r>
    <x v="0"/>
    <x v="0"/>
    <s v="DZD"/>
    <x v="0"/>
    <x v="0"/>
    <x v="0"/>
    <s v="15.1.2.3."/>
    <s v="budżet państwa (z wyjątkiem GDDKiA)"/>
    <s v="Koszty organizacji i obsługi  konferencji The Future is Data"/>
    <m/>
    <n v="483"/>
    <n v="0"/>
    <n v="0"/>
    <n v="0"/>
    <n v="0"/>
    <s v="Prezydencja"/>
    <s v="nie dotyczy"/>
    <m/>
    <s v="nie dotyczy"/>
    <m/>
  </r>
  <r>
    <x v="0"/>
    <x v="0"/>
    <s v="DZD"/>
    <x v="0"/>
    <x v="0"/>
    <x v="0"/>
    <s v="15.1.2.3."/>
    <s v="budżet państwa (z wyjątkiem GDDKiA)"/>
    <s v="Koszty organizacji i obsługi spotkań eksperckich i innych wydarzeń związanych z Prezydencją - dodatkowe koszty eventowe"/>
    <m/>
    <n v="100"/>
    <m/>
    <m/>
    <m/>
    <m/>
    <m/>
    <m/>
    <m/>
    <m/>
    <m/>
  </r>
  <r>
    <x v="0"/>
    <x v="0"/>
    <s v="DZD"/>
    <x v="18"/>
    <x v="2"/>
    <x v="0"/>
    <s v="16.5.2.1."/>
    <s v="budżet państwa (z wyjątkiem GDDKiA)"/>
    <s v="Program staży dla młodzieży w obszarze zarządzania danymi"/>
    <m/>
    <n v="50"/>
    <n v="50"/>
    <n v="0"/>
    <n v="0"/>
    <n v="0"/>
    <s v="planowane"/>
    <s v="nie dotyczy"/>
    <m/>
    <s v="nie dotyczy"/>
    <m/>
  </r>
  <r>
    <x v="0"/>
    <x v="0"/>
    <s v="DZD"/>
    <x v="0"/>
    <x v="0"/>
    <x v="0"/>
    <s v="16.5.2.1."/>
    <s v="budżet państwa (z wyjątkiem GDDKiA)"/>
    <s v="Funkcjonowanie Krajowego Repozytorium Obiektów Nauki i Kultury(kronika.gov.pl). Utrzymanie (rozwój) oprogramowania."/>
    <m/>
    <n v="7082"/>
    <n v="5497"/>
    <n v="3256"/>
    <n v="0"/>
    <n v="0"/>
    <s v="procedowana umowa/porozumienie"/>
    <s v=" umowa "/>
    <s v="743/DZD/20"/>
    <s v="z POLCOM ITS SPÓŁKA Z OGRANICZONĄ ODPOWIEDZIALNOŚCIĄ I WSPÓLNICY - SPÓŁKA KOMANDYTOWA"/>
    <s v="umowa trwa do września 2024"/>
  </r>
  <r>
    <x v="0"/>
    <x v="0"/>
    <s v="DZD"/>
    <x v="0"/>
    <x v="0"/>
    <x v="0"/>
    <s v="16.5.2.1."/>
    <s v="budżet państwa (z wyjątkiem GDDKiA)"/>
    <s v="Oprogramowanie "/>
    <s v="Oprogramowanie graficzne typu Adobe do opracowań info-promo dotyczących portali dane.gov.pl i kronika.gov.pl"/>
    <n v="5"/>
    <n v="5"/>
    <n v="5"/>
    <n v="0"/>
    <n v="0"/>
    <s v="planowane"/>
    <s v="nie dotyczy"/>
    <m/>
    <s v="nie dotyczy"/>
    <m/>
  </r>
  <r>
    <x v="0"/>
    <x v="0"/>
    <s v="DZD"/>
    <x v="0"/>
    <x v="0"/>
    <x v="0"/>
    <s v="16.5.2.1."/>
    <s v="budżet państwa (z wyjątkiem GDDKiA)"/>
    <s v="Prezydencja- organizacja wydarzeń"/>
    <s v="Koszty organizacji i obsługi spotkań eksperckich (nieformalne posiedzenia grup i komitetów roboczych) "/>
    <n v="0"/>
    <n v="0"/>
    <n v="0"/>
    <n v="0"/>
    <n v="0"/>
    <s v="Prezydencja"/>
    <s v="nie dotyczy"/>
    <m/>
    <s v="nie dotyczy"/>
    <m/>
  </r>
  <r>
    <x v="0"/>
    <x v="0"/>
    <s v="DZD"/>
    <x v="0"/>
    <x v="0"/>
    <x v="0"/>
    <s v="16.5.2.1."/>
    <s v="budżet państwa (z wyjątkiem GDDKiA)"/>
    <s v="Prezydencja- organizacja wydarzeń wg wyliczeń KPRM"/>
    <s v="Koszty organizacji i obsługi innych wydarzeń związanych z prezydencją"/>
    <n v="424"/>
    <n v="0"/>
    <n v="0"/>
    <n v="0"/>
    <n v="0"/>
    <s v="Prezydencja"/>
    <s v="nie dotyczy"/>
    <m/>
    <s v="nie dotyczy"/>
    <m/>
  </r>
  <r>
    <x v="0"/>
    <x v="0"/>
    <s v="DZD"/>
    <x v="23"/>
    <x v="0"/>
    <x v="0"/>
    <s v="16.5.2.1."/>
    <s v="budżet państwa (z wyjątkiem GDDKiA)"/>
    <s v="Prezydencja- oddelegowanie na wsparcie SP RP"/>
    <s v="pochodne wynagrodzenie"/>
    <n v="94"/>
    <n v="0"/>
    <n v="0"/>
    <n v="0"/>
    <n v="0"/>
    <s v="Prezydencja"/>
    <s v="nie dotyczy"/>
    <m/>
    <s v="nie dotyczy"/>
    <m/>
  </r>
  <r>
    <x v="0"/>
    <x v="0"/>
    <s v="DZD"/>
    <x v="2"/>
    <x v="0"/>
    <x v="0"/>
    <s v="16.5.2.1."/>
    <s v="budżet państwa (z wyjątkiem GDDKiA)"/>
    <s v="Pozew o zapłatę kar umownych nałożonych w związku z nieprawidłowościami w realizacji umowy z dnia 6 maja 2019 r. nr 10/DODiRK/KRONIK@/2019"/>
    <m/>
    <n v="25"/>
    <n v="25"/>
    <n v="0"/>
    <n v="0"/>
    <n v="0"/>
    <s v="planowane"/>
    <s v="nie dotyczy"/>
    <m/>
    <s v="nie dotyczy"/>
    <s v="powodem w sprawie jest MC przeciwko Softblue S.A. wartość przedmiotu sporu wraz z odetkami: 363.665,58 złotych. Radca prowadząccy : Dorota Paliga. Kwota minimalna wskazana przez Depart. Prawny to kwota nie mniejsza niż 25 tyś, która może ulec zmianie, koszty mogą okazać się wyższe."/>
  </r>
  <r>
    <x v="0"/>
    <x v="0"/>
    <s v="DZD"/>
    <x v="2"/>
    <x v="0"/>
    <x v="0"/>
    <s v="16.5.2.1."/>
    <s v="budżet państwa (z wyjątkiem GDDKiA)"/>
    <s v="Pozew o zapłatę w związku ze świadczonymi usługami ponad umowę z dnia 6 maja 2019 r. nr 10/DODiRK/KRONIK@/2019"/>
    <m/>
    <n v="25"/>
    <n v="1900"/>
    <n v="0"/>
    <n v="0"/>
    <n v="0"/>
    <s v="planowane"/>
    <s v="nie dotyczy"/>
    <m/>
    <s v="nie dotyczy"/>
    <s v="powodem w sprawie jest Softblue przeciwko MC S.A. wartość przedmiotu sporu wraz z odetkami: 1 889 706 złotych.  Radca prowadząccy : Dorota Paliga. Kwota minimalna wskazana przez Depart. Prawny to kwota nie mniejsza niż 25 tyś, która może ulec zmianie, koszty mogą okazać się wyższe."/>
  </r>
  <r>
    <x v="0"/>
    <x v="0"/>
    <s v="DZD"/>
    <x v="2"/>
    <x v="0"/>
    <x v="0"/>
    <s v="16.5.2.1."/>
    <s v="budżet państwa (z wyjątkiem GDDKiA)"/>
    <s v="Postępowania admistracyjnosądowe przed WSA i NSA "/>
    <m/>
    <n v="2"/>
    <n v="2"/>
    <n v="2"/>
    <n v="0"/>
    <m/>
    <s v="planowane"/>
    <s v="nie dotyczy"/>
    <s v="nie dotyczy"/>
    <s v="nie dotyczy"/>
    <s v="Koszty postępowań administracyjnosądowych MC jako organu odwoławczego w sprawach ponownego wykorzystywania informacji sektora publicznego jak np. opłaty sądowe, zwrot zasądzonych stronie przeciwnej kosztów sądowych"/>
  </r>
  <r>
    <x v="0"/>
    <x v="1"/>
    <s v="DC"/>
    <x v="34"/>
    <x v="3"/>
    <x v="0"/>
    <s v="16.5.3.4."/>
    <s v="budżet państwa (z wyjątkiem GDDKiA)"/>
    <s v="dotacja z budżetu państwa"/>
    <s v="Dotacja z budżetu państwa do Funduszu Cyberbezpieczeństwa"/>
    <n v="250000"/>
    <n v="250000"/>
    <n v="250000"/>
    <n v="250000"/>
    <n v="0"/>
    <s v="Fundusz Cyberbezpieczeństwa"/>
    <s v="n/d"/>
    <m/>
    <s v="n/d"/>
    <m/>
  </r>
  <r>
    <x v="0"/>
    <x v="2"/>
    <s v="DC"/>
    <x v="0"/>
    <x v="0"/>
    <x v="0"/>
    <s v="11.4.2.2."/>
    <s v="budżet państwa (z wyjątkiem GDDKiA)"/>
    <s v="zadania obronne (Zaspokojenie potrzeb Sił Zbrojnych RP i wojsk sojuszniczych przez sektor pozamilitarny) Działanie 11.4.2.2"/>
    <s v="Podstawa prawna: art. 7 ustawy z dnia 11 marca 2022 r. o Obronie Ojczyzny (Dz.U. z 2022 r. poz. 2305 z późn. zm.). Realizacja zadań w zakresie m.in. przygotowania systemu kierowania bezpieczeństwem narodowym, warunków funkcjonowania organów władzy publicznej na stanowiskach kierowania oraz organizacji szkoleń obronnych. Zadania realizowane w oparciu o Program Pozamilitarnych Przygotowań Obronnych Działu Administracji Rządowej Informatyzacja w latach 2021-2035."/>
    <n v="190"/>
    <n v="0"/>
    <n v="0"/>
    <n v="0"/>
    <n v="0"/>
    <s v="obronność"/>
    <s v="n/d"/>
    <m/>
    <s v="n/d"/>
    <m/>
  </r>
  <r>
    <x v="0"/>
    <x v="2"/>
    <s v="DC"/>
    <x v="20"/>
    <x v="0"/>
    <x v="0"/>
    <s v="11.4.2.4."/>
    <s v="budżet państwa (z wyjątkiem GDDKiA)"/>
    <s v="zadania obronne (szkolenia/ćwiczenia obronne) Działanie 11.4.2.4"/>
    <s v="Podstawa prawna: art. 7 ustawy z dnia 11 marca 2022 r. o Obronie Ojczyzny (Dz.U. z 2022 r. poz. 2305 z późn. zm.). Realizacja zadań w zakresie m.in. przygotowania systemu kierowania bezpieczeństwem narodowym, warunków funkcjonowania organów władzy publicznej na stanowiskach kierowania oraz organizacji szkoleń obronnych. Zadania realizowane w oparciu o Program Pozamilitarnych Przygotowań Obronnych Działu Administracji Rządowej Informatyzacja w latach 2021-2035."/>
    <n v="55"/>
    <n v="40"/>
    <n v="40"/>
    <n v="42"/>
    <n v="0"/>
    <s v="obronność"/>
    <s v="n/d"/>
    <m/>
    <s v="n/d"/>
    <m/>
  </r>
  <r>
    <x v="0"/>
    <x v="2"/>
    <s v="DC"/>
    <x v="0"/>
    <x v="0"/>
    <x v="0"/>
    <s v="11.4.2.1."/>
    <s v="budżet państwa (z wyjątkiem GDDKiA)"/>
    <s v="zadania obronne (Przygotowanie systemu kierowania bezpieczeństwem narodowym, działanie 11.4.2.1,"/>
    <m/>
    <n v="427"/>
    <n v="100"/>
    <n v="40"/>
    <n v="60"/>
    <n v="0"/>
    <s v="obronność"/>
    <s v="umowa"/>
    <m/>
    <m/>
    <m/>
  </r>
  <r>
    <x v="0"/>
    <x v="2"/>
    <s v="DC"/>
    <x v="0"/>
    <x v="0"/>
    <x v="0"/>
    <s v="11.4.2.5."/>
    <s v="budżet państwa (z wyjątkiem GDDKiA)"/>
    <s v="zadania obronne (Przygotowanie systemu kierowania bezpieczeństwem narodowym, działanie 11.4.2.1,"/>
    <m/>
    <n v="3"/>
    <n v="2"/>
    <n v="3"/>
    <n v="3"/>
    <n v="0"/>
    <s v="obronność"/>
    <s v="umowa"/>
    <m/>
    <m/>
    <m/>
  </r>
  <r>
    <x v="0"/>
    <x v="0"/>
    <s v="DC"/>
    <x v="35"/>
    <x v="0"/>
    <x v="1"/>
    <s v="16.5.3.2."/>
    <m/>
    <s v="DEP-NCC"/>
    <m/>
    <n v="825"/>
    <m/>
    <m/>
    <m/>
    <m/>
    <s v="DEP-NCC"/>
    <m/>
    <m/>
    <m/>
    <m/>
  </r>
  <r>
    <x v="0"/>
    <x v="0"/>
    <s v="DC"/>
    <x v="36"/>
    <x v="0"/>
    <x v="1"/>
    <s v="16.5.3.2."/>
    <m/>
    <s v="DEP-NCC"/>
    <m/>
    <n v="71"/>
    <m/>
    <m/>
    <m/>
    <m/>
    <s v="DEP-NCC"/>
    <m/>
    <m/>
    <m/>
    <m/>
  </r>
  <r>
    <x v="0"/>
    <x v="0"/>
    <s v="DC"/>
    <x v="37"/>
    <x v="0"/>
    <x v="1"/>
    <s v="16.5.3.2."/>
    <m/>
    <s v="DEP-NCC"/>
    <m/>
    <n v="156"/>
    <m/>
    <m/>
    <m/>
    <m/>
    <s v="DEP-NCC"/>
    <m/>
    <m/>
    <m/>
    <m/>
  </r>
  <r>
    <x v="0"/>
    <x v="0"/>
    <s v="DC"/>
    <x v="38"/>
    <x v="0"/>
    <x v="1"/>
    <s v="16.5.3.2."/>
    <m/>
    <s v="DEP-NCC"/>
    <m/>
    <n v="22"/>
    <m/>
    <m/>
    <m/>
    <m/>
    <s v="DEP-NCC"/>
    <m/>
    <m/>
    <m/>
    <m/>
  </r>
  <r>
    <x v="0"/>
    <x v="0"/>
    <s v="DC"/>
    <x v="39"/>
    <x v="0"/>
    <x v="1"/>
    <s v="16.5.3.2."/>
    <m/>
    <s v="DEP-NCC"/>
    <m/>
    <n v="14"/>
    <m/>
    <m/>
    <m/>
    <m/>
    <s v="DEP-NCC"/>
    <m/>
    <m/>
    <m/>
    <m/>
  </r>
  <r>
    <x v="0"/>
    <x v="0"/>
    <s v="DTC"/>
    <x v="35"/>
    <x v="0"/>
    <x v="1"/>
    <s v="16.5.1.2."/>
    <m/>
    <s v="DEP-Potential"/>
    <m/>
    <n v="41"/>
    <m/>
    <m/>
    <m/>
    <m/>
    <s v="DEP-Potential"/>
    <m/>
    <m/>
    <m/>
    <m/>
  </r>
  <r>
    <x v="0"/>
    <x v="0"/>
    <s v="DTC"/>
    <x v="36"/>
    <x v="0"/>
    <x v="1"/>
    <s v="16.5.1.2."/>
    <m/>
    <s v="DEP-Potential"/>
    <m/>
    <n v="4"/>
    <m/>
    <m/>
    <m/>
    <m/>
    <s v="DEP-Potential"/>
    <m/>
    <m/>
    <m/>
    <m/>
  </r>
  <r>
    <x v="0"/>
    <x v="0"/>
    <s v="DTC"/>
    <x v="37"/>
    <x v="0"/>
    <x v="1"/>
    <s v="16.5.1.2."/>
    <m/>
    <s v="DEP-Potential"/>
    <m/>
    <n v="7"/>
    <m/>
    <m/>
    <m/>
    <m/>
    <s v="DEP-Potential"/>
    <m/>
    <m/>
    <m/>
    <m/>
  </r>
  <r>
    <x v="0"/>
    <x v="0"/>
    <s v="DTC"/>
    <x v="38"/>
    <x v="0"/>
    <x v="1"/>
    <s v="16.5.1.2."/>
    <m/>
    <s v="DEP-Potential"/>
    <m/>
    <n v="1"/>
    <m/>
    <m/>
    <m/>
    <m/>
    <s v="DEP-Potential"/>
    <m/>
    <m/>
    <m/>
    <m/>
  </r>
  <r>
    <x v="1"/>
    <x v="3"/>
    <s v="BBF"/>
    <x v="7"/>
    <x v="0"/>
    <x v="0"/>
    <s v="22.1.1.1."/>
    <m/>
    <s v="środki na zadania zwiazane z informatyzacją z przeznaczeniem na wynagrodzenia"/>
    <s v="środki na zadania zwiazane z informatyzacją"/>
    <n v="4860"/>
    <m/>
    <m/>
    <m/>
    <m/>
    <m/>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49">
  <r>
    <x v="0"/>
    <x v="0"/>
    <x v="0"/>
    <n v="3030"/>
    <s v="n/d"/>
    <s v="D3"/>
    <s v="WB27.BP.PF"/>
    <s v="MC"/>
    <s v="3"/>
    <s v="0"/>
    <s v="2025.22.01.01.01."/>
    <s v="2025.22.01."/>
    <s v="Rada do Spraw Cyfryzacji - koszty dojazdu"/>
    <s v="Zwrot kosztów podróży dla członków Rady do Spraw Cyfryzacji reguluje art. 17 ust. 18 ustawy o informatyzacji działalności podmiotów realizujących zadania publiczne (Dz.U. 2017 poz. 570, z późn. zm.)_x000a_Rada ds. Cyfryzacji kadencji 2023-2025 spotyka się średnio na dwóch posiedzeniach miesięcznie. W połowie przyszłego roku nastąpi jednak zakończenie bieżącej kadencji RdC - nie ma możliwości przewidzenia, z jaką częstotliwością spotykać się będzie RdC kolejnej kadencji, kwoty na kolejne lata szacowane są więc na podstawie działań RdC obecnej kadencji."/>
    <n v="25"/>
    <m/>
    <n v="25"/>
    <n v="25"/>
    <n v="25"/>
    <n v="25"/>
    <s v="-"/>
    <s v="-"/>
    <s v="-"/>
    <m/>
    <x v="0"/>
  </r>
  <r>
    <x v="0"/>
    <x v="0"/>
    <x v="0"/>
    <n v="4170"/>
    <s v="n/d"/>
    <s v="D3"/>
    <s v="WB27.BP.PF"/>
    <s v="MC"/>
    <s v="4"/>
    <s v="0"/>
    <s v="2025.22.01.01.01."/>
    <s v="2025.22.01."/>
    <s v="Rada do Spraw Cyfryzacji - wynagrodzenia"/>
    <s v="Kwestie wynagrodzenia dla członków RdC reguluje aktualnie Rozporządzenie Ministra Administracji i Cyfryzacji z dnia 20 czerwca 2014 r. w sprawie wysokości wynagrodzenia członków Rady do Spraw Cyfryzacji (Dz.U. 2014 poz. 819).  _x000a_Rada ds. Cyfryzacji kadencji 2023-2025 spotyka się średnio na dwóch posiedzeniach miesięcznie. W połowie przyszłego roku nastąpi jednak zakończenie bieżącej kadencji RdC - nie ma możliwości przewidzenia, z jaką częstotliwością spotykać się będzie RdC kolejnej kadencji, kwoty na kolejne lata szacowane są więc na podstawie działań RdC obecnej kadencji."/>
    <n v="150"/>
    <m/>
    <n v="150"/>
    <n v="150"/>
    <n v="150"/>
    <n v="150"/>
    <s v="-"/>
    <s v="-"/>
    <s v="-"/>
    <m/>
    <x v="0"/>
  </r>
  <r>
    <x v="0"/>
    <x v="0"/>
    <x v="0"/>
    <n v="4000"/>
    <s v="n/d"/>
    <s v="D3"/>
    <s v="WB27.BP.PF"/>
    <s v="MC"/>
    <s v="4"/>
    <s v="0"/>
    <s v="2025.22.01.01.01."/>
    <s v="2025.22.01."/>
    <s v="Wydatki związane z obsługą organizacyjną Ministra Cyfryzacji"/>
    <s v="Np.organizacja spotkań Ministra Cyfryzacji, zakup kwiatów, kartek okolicznościowych, usług poligraficznych, zakup książek itp. Decyzja o ew.wydatkach zależna od bieżących potrzeb członków Kierownictwa "/>
    <n v="40"/>
    <m/>
    <n v="70"/>
    <n v="76"/>
    <n v="80"/>
    <n v="90"/>
    <s v="-"/>
    <s v="-"/>
    <s v="-"/>
    <m/>
    <x v="0"/>
  </r>
  <r>
    <x v="0"/>
    <x v="0"/>
    <x v="0"/>
    <n v="4000"/>
    <s v="n/d"/>
    <s v="D3"/>
    <s v="WB27.BP.PF"/>
    <s v="MC"/>
    <s v="4"/>
    <s v="0"/>
    <s v="2025.22.01.01.01."/>
    <s v="2025.22.01."/>
    <s v="Wydatki związane z funkcjonowaniem magazynku upominków"/>
    <s v="Zarządzenie nr 13 Dyrektora Generalnego Ministerstwa Cyfryzacji z dnia 06.12.2023 r. "/>
    <n v="50"/>
    <m/>
    <n v="100"/>
    <n v="100"/>
    <n v="105"/>
    <n v="105"/>
    <s v="-"/>
    <s v="-"/>
    <s v="-"/>
    <m/>
    <x v="0"/>
  </r>
  <r>
    <x v="0"/>
    <x v="0"/>
    <x v="0"/>
    <n v="4000"/>
    <s v="n/d"/>
    <s v="D3"/>
    <s v="WB27.BP.PF"/>
    <s v="MC"/>
    <s v="4"/>
    <s v="0"/>
    <s v="2025.22.01.01.01."/>
    <s v="2025.22.01."/>
    <s v="Organizacja wydarzeń wewnętrznych przez MC_BM MC"/>
    <s v="Organizacja wydarzeń wewnętrznych przez MC BM"/>
    <n v="250"/>
    <m/>
    <n v="170"/>
    <n v="170"/>
    <n v="170"/>
    <n v="170"/>
    <s v="-"/>
    <s v="-"/>
    <s v="-"/>
    <m/>
    <x v="0"/>
  </r>
  <r>
    <x v="0"/>
    <x v="0"/>
    <x v="0"/>
    <n v="4000"/>
    <s v="n/d"/>
    <s v="D3"/>
    <s v="WB27.BP.PF"/>
    <s v="MC"/>
    <s v="4"/>
    <s v="0"/>
    <s v="2025.22.01.01.01."/>
    <s v="2025.22.01."/>
    <s v="Pilne usługi cateringowe dla Kierownictwa MC, w przypadku braku możliwośći skorzystania z umowy BA na catering"/>
    <s v="Organizacja wydarzeń wewnętrznych przez MC BM"/>
    <m/>
    <m/>
    <n v="15"/>
    <n v="18"/>
    <n v="20"/>
    <n v="22"/>
    <s v="-"/>
    <s v="-"/>
    <s v="-"/>
    <m/>
    <x v="0"/>
  </r>
  <r>
    <x v="0"/>
    <x v="0"/>
    <x v="0"/>
    <n v="4610"/>
    <s v="n/d"/>
    <s v="D3"/>
    <s v="WB27.BP.PF"/>
    <s v="MC"/>
    <s v="4"/>
    <s v="0"/>
    <s v="2025.22.01.01.01."/>
    <s v="2025.22.01."/>
    <s v="Koszty sądowe związane ze skargami na bezczynność dot. wniosków o udostępnienie informacji publicznej (sprawy administracyjne)"/>
    <s v="Koszty sądowe związane ze skargami na bezczynność dot. wniosków o udostępnienie informacji publicznej (sprawy administracyjne)"/>
    <n v="1"/>
    <m/>
    <n v="2"/>
    <n v="2"/>
    <n v="2"/>
    <n v="2"/>
    <s v="-"/>
    <s v="-"/>
    <s v="-"/>
    <m/>
    <x v="0"/>
  </r>
  <r>
    <x v="0"/>
    <x v="0"/>
    <x v="0"/>
    <n v="4000"/>
    <s v="n/d"/>
    <s v="D3"/>
    <s v="WB27.BP.PF"/>
    <s v="MC"/>
    <s v="4"/>
    <s v="0"/>
    <s v="2025.22.01.01.01."/>
    <s v="2025.22.01."/>
    <s v="Zakup książek, e-booków, publikacji i pomocy dydaktycznych potrzebych do realizacji zadań i poszerzania wiedzy pracowników "/>
    <s v="Szybko zmieniające się przepisy, rozwój technologii informatycznych, pojawiające się nowe zagrożenia dotyczące bezpieczeństwa informacji wymuszają aktualizację wiedzy na powyższe zagadnienia."/>
    <n v="7"/>
    <m/>
    <n v="1"/>
    <n v="1"/>
    <n v="1"/>
    <n v="1"/>
    <s v="-"/>
    <s v="-"/>
    <s v="-"/>
    <m/>
    <x v="0"/>
  </r>
  <r>
    <x v="0"/>
    <x v="0"/>
    <x v="0"/>
    <n v="4170"/>
    <s v="n/d"/>
    <s v="D3"/>
    <s v="WB27.BP.PF"/>
    <s v="MC"/>
    <s v="4"/>
    <s v="0"/>
    <s v="2025.22.01.01.01."/>
    <s v="2025.22.01."/>
    <s v="Komitet Audytu - wynagrodzenia członków niezależnych"/>
    <s v="Na podstawie art. 288. ust. 1. ustawy o finansach publicznych Minister Cyfryzacji zobowiązany jest do powołania Komitetu Audytu. Zgodnie z przyjętym założeniem w skład KA powołanych będzie trzech członków niezależnych. Zgodnie z art. 290 ustawy członek niezależny komitetu audytu wykonuje swoje zadania za wynagrodzeniem. _x000a_Z uwagi na możliwą zmianę wysokości przeciętnego wynagrodzenia w gospodarce narodowej, wg którego naliczane jest wynagrodzenie członków KA, szacowana kwota została podana w zaokrągleniu. Przyjęto przy tym przeciętne wynagrodzenia w gospodarce narodowej z roku 2022 r. które wynisi 6 346,15 zł "/>
    <n v="31"/>
    <m/>
    <n v="30"/>
    <n v="32"/>
    <n v="34"/>
    <n v="36"/>
    <s v="-"/>
    <s v="-"/>
    <s v="-"/>
    <m/>
    <x v="0"/>
  </r>
  <r>
    <x v="0"/>
    <x v="0"/>
    <x v="0"/>
    <n v="4000"/>
    <s v="n/d"/>
    <s v="D3"/>
    <s v="WB27.BP.PF"/>
    <s v="MC"/>
    <s v="4"/>
    <s v="0"/>
    <s v="2025.22.01.01.01."/>
    <s v="2025.22.01."/>
    <s v="Ocena zewnętrzna audytu wewnętrznego"/>
    <s v="Obowiązek prowadzenia oceny zewnętrznej przynajmniej raz na pięć lat przez wykwalifikowaną, niezależną osobę lub zespół spoza organizacji - wynika z Międzynarodowych standardów praktyki zawodowej audytu wewnętrznego (standard 1312), wskazanych przez Ministra Finansów jako obowiązujące w Komunikacie Nr 4 Ministra Finansów z dnia 20 maja 2011 r. w sprawie standardów audytu wewnętrznego w jednostkach sektora finansów publicznych (Dz. Urz. Min. Fin. Nr 5, poz. 23)."/>
    <m/>
    <m/>
    <n v="0"/>
    <n v="0"/>
    <n v="40"/>
    <n v="0"/>
    <s v="-"/>
    <s v="-"/>
    <s v="-"/>
    <m/>
    <x v="1"/>
  </r>
  <r>
    <x v="0"/>
    <x v="0"/>
    <x v="0"/>
    <n v="4000"/>
    <s v="n/d"/>
    <s v="D3"/>
    <s v="WB27.BP.PF"/>
    <s v="MC"/>
    <s v="4"/>
    <s v="0"/>
    <s v="2025.22.01.01.01."/>
    <s v="2025.22.01."/>
    <s v="Opracowanie polityki zarządzania ciągłością działania i wdrożenie jej w MC. Przeprowadzenie audytu zgodności. Otrzymanie certyfikacji normy ISO 22301 dotyczącej systemu zarządzania ciągłością działania"/>
    <s v="Norma ISO 22301 skupia się na zapewnieniu, że organizacja może kontynuować swoje działanie nawet w przypadku kryzysu, takiego jak awaria systemu informatycznego, katastrofa naturalna lub inne zdarzenie, które może spowodować zakłócenia w działalności Ministerstwa. Otrzymanie certyfikatu ISO 22301 oznacza, że organizacja spełnia wymagania normy i posiada dobrze zorganizowany system zarządzania ciągłością działania. W celu otrzymania takiego certyfikatu niezbędne jest wykonanie wielu zadań m.in. szkolenia, opracowanie dokumentacji, przeprowadzenie audytów sprawdzających i audytu certyfikującego.  "/>
    <m/>
    <m/>
    <n v="150"/>
    <n v="40"/>
    <n v="0"/>
    <n v="0"/>
    <s v="-"/>
    <s v="-"/>
    <s v="-"/>
    <m/>
    <x v="0"/>
  </r>
  <r>
    <x v="0"/>
    <x v="0"/>
    <x v="0"/>
    <n v="4000"/>
    <s v="n/d"/>
    <s v="D3"/>
    <s v="WB27.BP.PF"/>
    <s v="MC"/>
    <s v="4"/>
    <s v="0"/>
    <s v="2025.16.05.03.03."/>
    <s v="2025.16.05."/>
    <s v="Audyt bezpieczeństwa informacji zgodnie z normą ISO 27001"/>
    <s v="Wdrożenie normy ISO 27001 w jednostce pozwala na zwiększenie zaufania społeczeństwa, spełnienie wymagań prawnych oraz poprawę wizerunku jednostki. Ponadto, ISO 27001 zapewnia lepsze zarządzanie ryzykiem, poprawę cyberodporności i doskonałość operacyjną. Audyt bezpieczeństwa informacji (dokumentacji SZBI) powinien być przeprowadzany co najmniej raz w roku. Audyt zewnętrzy (nadzoru) po otrzymaniu certyfikatu ISO 27001 należy przeprowadzić obowiązkowo co roku, aby potwierdzić, że system zarządzania bezpieczeństwem informacji nadal spełnia wymogi normy."/>
    <m/>
    <m/>
    <n v="0"/>
    <n v="20"/>
    <n v="40"/>
    <n v="40"/>
    <s v="-"/>
    <s v="-"/>
    <s v="-"/>
    <m/>
    <x v="0"/>
  </r>
  <r>
    <x v="0"/>
    <x v="0"/>
    <x v="0"/>
    <n v="4000"/>
    <s v="n/d"/>
    <s v="D3"/>
    <s v="WB27.BP.PF"/>
    <s v="MC"/>
    <s v="4"/>
    <s v="0"/>
    <s v="2025.16.05.01.02."/>
    <s v="2025.16.05."/>
    <s v="Tworzenie materiałów i sprawozdań dotyczących dialogu społecznego i społeczeństwa obywatelskiego"/>
    <s v="ekspertyzy, badania i analizy oczekiwań społeczeństwa obywatelskiego powiązane z działaniami w obszarze partycypacji społecznej w obrębie prac nad dokumentami legislacyjnymi i pozalegislacyjnymi"/>
    <m/>
    <m/>
    <n v="100"/>
    <n v="100"/>
    <n v="100"/>
    <n v="100"/>
    <s v="-"/>
    <s v="-"/>
    <s v="-"/>
    <s v="W związku z wejściem w życie nowego RO, zadanie do przeniesienia z DPiS do BM"/>
    <x v="0"/>
  </r>
  <r>
    <x v="0"/>
    <x v="0"/>
    <x v="0"/>
    <n v="4000"/>
    <s v="n/d"/>
    <s v="D3"/>
    <s v="WB27.BP.PF"/>
    <s v="MC"/>
    <s v="4"/>
    <s v="0"/>
    <s v="2025.16.05.01.02."/>
    <s v="2025.16.05."/>
    <s v="Działania informacyjno-promocyjne w obszarze dialogu społecznego"/>
    <s v="zakup materiałów informacyjnych, gadżetów związanych z promocją dialogu społecznego i konsultacji publicznych"/>
    <m/>
    <m/>
    <n v="20"/>
    <n v="20"/>
    <n v="20"/>
    <n v="20"/>
    <s v="-"/>
    <s v="-"/>
    <s v="-"/>
    <s v="W związku z wejściem w życie nowego RO, zadanie do przeniesienia z DPiS do BM"/>
    <x v="0"/>
  </r>
  <r>
    <x v="0"/>
    <x v="0"/>
    <x v="0"/>
    <n v="4000"/>
    <s v="n/d"/>
    <s v="D3"/>
    <s v="WB27.BP.PF"/>
    <s v="MC"/>
    <s v="4"/>
    <s v="0"/>
    <s v="2025.16.05.01.02."/>
    <s v="2025.16.05."/>
    <s v="Prowadzenie konsultacji społecznych w procesie stanowienia prawa oraz projektów działań pozalegislacyjnych zgodnie z zasadami partycypacji społecznej"/>
    <s v="Organizacja konferencji, seminariów oraz spotkań konsultacyjnych, w tym spotkań branżowych, tworzenie dobrych praktyk w obszarze dialogu społecznego i konsultacji publicznych"/>
    <n v="20"/>
    <m/>
    <n v="200"/>
    <n v="200"/>
    <n v="200"/>
    <n v="200"/>
    <s v="-"/>
    <s v="-"/>
    <s v="-"/>
    <s v="W związku z wejściem w życie nowego RO, zadanie do przeniesienia z DPiS do BM"/>
    <x v="0"/>
  </r>
  <r>
    <x v="0"/>
    <x v="0"/>
    <x v="0"/>
    <n v="4000"/>
    <s v="n/d"/>
    <s v="D3"/>
    <s v="WB27.BP.PF"/>
    <s v="MC"/>
    <s v="4"/>
    <s v="0"/>
    <s v="2025.16.05.01.02."/>
    <s v="2025.16.05."/>
    <s v="Wdrożenie narzędzi wspierających realizację procesów partycypacji społecznej w MC"/>
    <s v="Wdrożenie i utrzymanie wspomnianych narzędzi przyczyni się do usprawnienia procesu realizacji konsultacji społecznych w MC, w szczególności w ramach realizacji Polityki Partycypacji i Transparentności."/>
    <m/>
    <m/>
    <n v="200"/>
    <n v="200"/>
    <n v="100"/>
    <n v="100"/>
    <s v="-"/>
    <s v="-"/>
    <s v="-"/>
    <s v="W związku z wejściem w życie nowego RO, zadanie do przeniesienia z DPiS do BM"/>
    <x v="0"/>
  </r>
  <r>
    <x v="0"/>
    <x v="0"/>
    <x v="0"/>
    <m/>
    <m/>
    <m/>
    <m/>
    <m/>
    <m/>
    <m/>
    <m/>
    <m/>
    <m/>
    <s v="Pozostała kwota w limicie wydatków na 2025 rok"/>
    <n v="30"/>
    <m/>
    <m/>
    <m/>
    <m/>
    <m/>
    <m/>
    <m/>
    <m/>
    <m/>
    <x v="1"/>
  </r>
  <r>
    <x v="0"/>
    <x v="0"/>
    <x v="0"/>
    <m/>
    <m/>
    <m/>
    <m/>
    <m/>
    <m/>
    <m/>
    <m/>
    <m/>
    <m/>
    <s v="OGÓŁEM BM"/>
    <n v="604"/>
    <n v="213"/>
    <n v="1233"/>
    <n v="1154"/>
    <n v="1087"/>
    <n v="1061"/>
    <m/>
    <m/>
    <m/>
    <m/>
    <x v="1"/>
  </r>
  <r>
    <x v="0"/>
    <x v="0"/>
    <x v="1"/>
    <n v="2830"/>
    <s v="n/d"/>
    <s v="D1"/>
    <s v="DGW27.BP.PF"/>
    <s v="MC"/>
    <s v="2"/>
    <s v="0"/>
    <s v="2025.06.03.01.04."/>
    <s v="2025.06.03."/>
    <s v="finansowanie realizacji zadań ustawowych operatora Ogólnopolskiej Sieci Edukacyjnej w związku z wdrażaniem OSE - dotacja dla NASK -PIB, wydatki bieżące"/>
    <s v="Na podstawie art. 10 ust. 1 i art. 15 ust. 1 ustawy z dnia 27 października 2017 r. o Ogólnopolskiej Sieci Edukacyjnej (t.j. Dz. U. z 2022 r. poz. 2454), w związku z art. 150 ustawy z dnia 27 sierpnia 2009 r. o finansach publicznych (t.j. Dz. U. z 2024 r. poz. 1530 z późn. zm.), Minister Cyfryzacji planuje udzielić Naukowej i Akademickiej Sieci Komputerowej – Państwowemu Instytutowi Badawczemu dotacji celowej na finansowanie wykonywania przez NASK-PIB zadań operatora OSE. W 2025 r. przewiduje się m.in.:_x000a_1) wydatki na utrzymanie łączy telekomunikacyjnych, wykorzystywanych przez operatora OSE do świadczenia bezpłatnych usług szkołom ;_x000a_2) wydatki na utrzymanie i rozwój usług bezpieczeństwa sieciowego i teleinformatycznego świadczonych szkołom;_x000a_3) wydatki na działalność edukacyjną prowadzoną w ramach OSE;_x000a_4) wydatki własne operatora OSE, m.in.na utrzymanie personelu operatora OSE.                                                                                                                                                                                                                W tym wierszu są wskazane tylko potrzeby wynikające z obecnych limitów zapisanych w ustawie z dnia 27 października 2017 r. o Ogólnopolskiej Sieci Edukacyjnej."/>
    <n v="163500"/>
    <m/>
    <n v="164000"/>
    <n v="164000"/>
    <n v="164000"/>
    <n v="164000"/>
    <s v="-"/>
    <s v="NASK-PIB"/>
    <s v="art. 10 ust. 1 i art. 15 ust. 1 ustawy z dnia 27 października 2017 r. o Ogólnopolskiej Sieci Edukacyjnej (t.j. Dz. U. z 2022 r. poz. 2454), w związku z art. 150 ustawy z dnia 27 sierpnia 2009 r. o finansach publicznych (t.j. Dz. U. z 2024 r. poz. 1530 z późn. zm..)"/>
    <m/>
    <x v="0"/>
  </r>
  <r>
    <x v="0"/>
    <x v="0"/>
    <x v="1"/>
    <n v="2830"/>
    <s v="n/d"/>
    <s v="D1"/>
    <s v="DGW27.BP.PF"/>
    <s v="MC"/>
    <s v="2"/>
    <s v="0"/>
    <s v="2025.06.03.01.04."/>
    <s v="2025.06.03."/>
    <s v="finansowanie realizacji zadań ustawowych operatora Ogólnopolskiej Sieci Edukacyjnej w związku z wdrażaniem OSE - dotacja dla NASK -PIB, wydatki bieżące"/>
    <s v="Na podstawie art. 10 ust. 1 i art. 15 ust. 1 ustawy z dnia 27 października 2017 r. o Ogólnopolskiej Sieci Edukacyjnej (t.j. Dz. U. z 2022 r. poz. 2454), w związku z art. 150 ustawy z dnia 27 sierpnia 2009 r. o finansach publicznych (t.j. Dz. U. z 2024 r. poz. 1530 z późn. zm.), Minister Cyfryzacji planuje udzielić Naukowej i Akademickiej Sieci Komputerowej – Państwowemu Instytutowi Badawczemu dotacji celowej na finansowanie wykonywania przez NASK-PIB zadań operatora OSE. W 2025 r. przewiduje się m.in.:_x000a_1) wydatki na utrzymanie łączy telekomunikacyjnych, wykorzystywanych przez operatora OSE do świadczenia bezpłatnych usług szkołom ;_x000a_2) wydatki na utrzymanie i rozwój usług bezpieczeństwa sieciowego i teleinformatycznego świadczonych szkołom;_x000a_3) wydatki na działalność edukacyjną prowadzoną w ramach OSE;_x000a_4) wydatki własne operatora OSE, m.in.na utrzymanie personelu operatora OSE.                                                                                                                                                                                                                W tym wierszu są wskazane tylko dodatkowe potrzeby ponad obecne limity zapisane w ustawie z dnia 27 października 2017 r. o Ogólnopolskiej Sieci Edukacyjnej,  jednocześnie powyższe kwoty wymagają przeprowadzenia zmian legislacyjnych, nad którymi DT pracuje."/>
    <m/>
    <m/>
    <n v="94880"/>
    <n v="143697"/>
    <n v="83037"/>
    <n v="108006"/>
    <m/>
    <s v="NASK-PIB"/>
    <s v="art. 10 ust. 1 i art. 15 ust. 1 ustawy z dnia 27 października 2017 r. o Ogólnopolskiej Sieci Edukacyjnej (t.j. Dz. U. z 2022 r. poz. 2454), w związku z art. 150 ustawy z dnia 27 sierpnia 2009 r. o finansach publicznych (t.j. Dz. U. z 2024 r. poz. 1530 z późn. zm..)"/>
    <m/>
    <x v="0"/>
  </r>
  <r>
    <x v="0"/>
    <x v="0"/>
    <x v="1"/>
    <n v="6230"/>
    <m/>
    <s v="D1"/>
    <s v="DGW27.BP.PF"/>
    <s v="MC"/>
    <s v="6"/>
    <s v="0"/>
    <s v="2025.06.03.01.04."/>
    <s v="2025.06.03."/>
    <s v="dotacja celowa dla NASK -PIB - wydatki inwestycyjne w ramach utrzymania Ogólnopolskiej Sieci Edukacyjnej (finansowanie realizacji zadań operatora OSE)"/>
    <s v="Na podstawie art. 10 ust. 1 i art. 15 ust. 1 ustawy z dnia 27 października 2017 r. o Ogólnopolskiej Sieci Edukacyjnej (t.j. Dz. U. z 2022 r. poz. 2454), w związku z art. 150 ustawy z dnia 27 sierpnia 2009 r. o finansach publicznych (t.j. Dz. U. z 2024 r. poz. 1530 z późn. zm.), Minister Cyfryzacji planuje udzielić Naukowej i Akademickiej Sieci Komputerowej – Państwowemu Instytutowi Badawczemu dotacji celowej na finansowanie wykonywania przez NASK-PIB zadań operatora OSE. Cel realizacji zadania: prawidłowe funkcjonowanie Ogólnopolskiej Sieci Edukacyjnej. W ramach powyższej dotacji Minister planowane wydatki inwestycyjne mają zwiazek z tym, że OSE powstawało w latach 2018-2023, w związku z czym dla kolejnych elementów infrastruktury sieci OSE zaczyna upływać termin świadczenia przez producentów wsparcia serwisowego oraz rozwojowego, a dla części tych elementów producenci wycofują się z zapewniania wsparcia rozwojowego w związku ze skupianiem się na rozwoju innych, nowszych technologii. Oznacza to, że aby zapewnić prawidłowe funkcjonowanie sieci OSE, w miarę upływu czasu poszczególne elementy infrastruktury OSE muszą podlegać wymianie na nowe.                                                                                                                                                                                                                                                                                                                                                                             W tym wierszu są wskazane tylko potrzeby wynikające z obecnych limitów zapisanych w ustawie z dnia 27 października 2017 r. o Ogólnopolskiej Sieci Edukacyjnej. "/>
    <n v="500"/>
    <m/>
    <n v="0"/>
    <n v="0"/>
    <n v="0"/>
    <n v="0"/>
    <s v="-"/>
    <s v="NASK-PIB"/>
    <s v=" art. 10 ust. 1 i art. 15 ust. 1 ustawy z dnia 27 października 2017 r. o Ogólnopolskiej Sieci Edukacyjnej (t.j. Dz. U. z 2022 r. poz. 2454), w związku z art. 150 ustawy z dnia 27 sierpnia 2009 r. o finansach publicznych (t.j. Dz. U. z 2024 r. poz. 1530 z późn. zm.)"/>
    <m/>
    <x v="1"/>
  </r>
  <r>
    <x v="0"/>
    <x v="0"/>
    <x v="1"/>
    <n v="6230"/>
    <m/>
    <s v="D1"/>
    <s v="DGW27.BP.PF"/>
    <s v="MC"/>
    <s v="6"/>
    <s v="0"/>
    <s v="2025.06.03.01.04."/>
    <s v="2025.06.03."/>
    <s v="dotacja celowa dla NASK -PIB - wydatki inwestycyjne w ramach utrzymania Ogólnopolskiej Sieci Edukacyjnej (finansowanie realizacji zadań operatora OSE)"/>
    <s v="Na podstawie art. 10 ust. 1 i art. 15 ust. 1 ustawy z dnia 27 października 2017 r. o Ogólnopolskiej Sieci Edukacyjnej (t.j. Dz. U. z 2022 r. poz. 2454), w związku z art. 150 ustawy z dnia 27 sierpnia 2009 r. o finansach publicznych (t.j. Dz. U. z 2024 r. poz. 1530 z późn. zm.), Minister Cyfryzacji planuje udzielić Naukowej i Akademickiej Sieci Komputerowej – Państwowemu Instytutowi Badawczemu dotacji celowej na finansowanie wykonywania przez NASK-PIB zadań operatora OSE. Cel realizacji zadania: prawidłowe funkcjonowanie Ogólnopolskiej Sieci Edukacyjnej. W ramach powyższej dotacji Minister planowane wydatki inwestycyjne mają zwiazek z tym, że OSE powstawało w latach 2018-2023, w związku z czym dla kolejnych elementów infrastruktury sieci OSE zaczyna upływać termin świadczenia przez producentów wsparcia serwisowego oraz rozwojowego, a dla części tych elementów producenci wycofują się z zapewniania wsparcia rozwojowego w związku ze skupianiem się na rozwoju innych, nowszych technologii. Oznacza to, że aby zapewnić prawidłowe funkcjonowanie sieci OSE, w miarę upływu czasu poszczególne elementy infrastruktury OSE muszą podlegać wymianie na nowe.                                                                                                                                                                                                                                                                                                                                                                                            W tym wierszu są wskazane tylko dodatkowe potrzeby ponad obecne limity zapisane w ustawie z dnia 27 października 2017 r. o Ogólnopolskiej Sieci Edukacyjnej,  jednocześnie powyższe kwoty wymagają przeprowadzenia zmian legislacyjnych, nad którymi DT pracuje."/>
    <m/>
    <m/>
    <n v="91120"/>
    <n v="42303"/>
    <n v="102963"/>
    <n v="77994"/>
    <m/>
    <s v="NASK-PIB"/>
    <s v=" art. 10 ust. 1 i art. 15 ust. 1 ustawy z dnia 27 października 2017 r. o Ogólnopolskiej Sieci Edukacyjnej (t.j. Dz. U. z 2022 r. poz. 2454), w związku z art. 150 ustawy z dnia 27 sierpnia 2009 r. o finansach publicznych (t.j. Dz. U. z 2024 r. poz. 1530 z późn. zm.)"/>
    <m/>
    <x v="1"/>
  </r>
  <r>
    <x v="0"/>
    <x v="0"/>
    <x v="1"/>
    <n v="2830"/>
    <s v="n/d"/>
    <s v="D1"/>
    <s v="DGW27.BP.PF"/>
    <s v="MC"/>
    <s v="2"/>
    <s v="0"/>
    <s v="2025.06.03.01.04."/>
    <s v="2025.06.03."/>
    <s v="dotacja celowa dla IŁ-PIB - wydatki bieżące"/>
    <s v="Na podstawie art. 150 w zw. z art. 127 ust. 1 pkt 1 ustawy z dnia 27 sierpnia 2009 r. o  finansach publicznych (t.j. Dz. U. z 2024 r. poz. 1530 z późn. zm.) oraz art. 37 ust. 1 ustawy z dnia 30 kwietnia 2010 r. o instytutach badawczych (t.j. Dz. U. z 2024 r. poz. 534), Minister Cyfryzacji planuje udzielić dotacji celowej dla Instytutu Łączności – Państwowego Instytutu Badawczego na finansowanie realizacji zadania pn. „Zapewnienie łączności satelitarnej na potrzeby wsparcia jednostek sektora finansów publicznych i innych podmiotów w wykonywaniu ich zadań publicznych”"/>
    <n v="1866"/>
    <m/>
    <n v="1866"/>
    <n v="1866"/>
    <n v="1866"/>
    <n v="1866"/>
    <s v="-"/>
    <s v="IŁ-PIB"/>
    <s v="art. 150 w zw. z art. 127 ust. 1 pkt 1 ustawy z dnia 27 sierpnia 2009 r. o  finansach publicznych (t.j. Dz. U. z 2024 r. poz. 1530 z późn. zm.) oraz art. 37 ust. 1 ustawy z dnia 30 kwietnia 2010 r. o instytutach badawczych (t .j. Dz. U. z 2024 r. poz. 534)"/>
    <m/>
    <x v="0"/>
  </r>
  <r>
    <x v="0"/>
    <x v="0"/>
    <x v="1"/>
    <n v="2830"/>
    <s v="n/d"/>
    <s v="D1"/>
    <s v="DGW27.BP.PF"/>
    <s v="MC"/>
    <s v="2"/>
    <s v="0"/>
    <s v="2025.06.03.01.04."/>
    <s v="2025.06.03."/>
    <s v="dotacja celowa  dla Instytutu Łączności - Państwowego Instytutu Badawczego - wydatki bieżące"/>
    <s v="Na podstawie art. 150 w zw. z art. 127 ust. 1 pkt 1 ustawy z dnia 27 sierpnia 2009 r. o finansach publicznych (t.j. Dz. U. z 2024 r. poz. 530, z późn. zm.) oraz art. 21 ust. 6 ustawy z dnia 30 kwietnia 2010 r. o instytutach badawczych (t.j. Dz. U. z 2024 r. poz. 534, z późn. zm.), Minister Cyfryzacji planuje udzielić dotacji celowych dla Instytutu Łączności – Państwowego Instytutu Badawczego na finansowanie realizacji w sposób ciągły prac badawczych i rozwojowych w obszarze dotyczącym rozwoju telekomunikacji, zgodnie z zakresem merytorycznym zadań określonych w art. 22 ww. ustawy instytutach badawczych, planowany wstępny zakres pracy:_x000a_a)_x0009_pomiary poziomów pól elektromagnetycznych (PEM) wytwarzanych przez stacje bazowe telefonii komórkowej,_x000a_b)_x0009_organizacja międzynarodowej Konferencji naukowej na temat telekomunikacji,_x000a_c)_x0009_ wsparcie w zakresie współpracy krajowej i międzynarodowej dotyczącej gospodarki i  inżynierii widma radiowego w ramach CEPT, ITU i Administracji Polski,_x000a_d)_x0009_wsparcie merytoryczne, naukowe, badawcze i techniczne w zakresie satelitarnych systemów radionawigacyjnych i radiokomunikacyjnych, w tym przy analizie dokumentów technicznych będących przedmiotem prac grup/rad funkcjonujących w ramach ESA, EUSPA, UE zajmujących się ww. tematyką,_x000a_e)_x0009_prace badawczo-rozwojowe nad technologią szóstej generacji (6G) ─ analiza możliwości wykorzystania w Polsce\wsparcie merytoryczne, naukowe i badawcze dla administracji,_x000a_f)_x0009_wsparcie merytoryczne w zakresie nowelizacji aktów prawnych (rozporządzeń technicznych) z obszaru telekomunikacji,_x000a_g)_x0009_wsparcie w zakresie utrzymania systemu Systemu Informacyjnego o Instalacjach wytwarzających Promieniowanie ElektroMagnetyczne (SI2PEM),                                                        _x000a_h) utrzymanie Systemu Informatycznego do spraw Monitorowania, Badania i Analiz (SIMBA)."/>
    <n v="12950"/>
    <m/>
    <n v="12580"/>
    <n v="12540"/>
    <n v="12900"/>
    <n v="12900"/>
    <s v="-"/>
    <s v="IŁ-PIB"/>
    <s v="art. 150 w zw. z art. 127 ust. 1 pkt 1 ustawy z dnia 27 sierpnia 2009 r. o finansach publicznych (t.j. Dz. U. z 2024 r. poz. 530) oraz art. 21 ust. 6 ustawy z dnia 30 kwietnia 2010 r. o instytutach badawczych (t.j. Dz. U. 2024 poz. 534)"/>
    <m/>
    <x v="0"/>
  </r>
  <r>
    <x v="0"/>
    <x v="0"/>
    <x v="1"/>
    <n v="6230"/>
    <m/>
    <s v="D1"/>
    <s v="DGW27.BP.PF"/>
    <s v="MC"/>
    <s v="6"/>
    <s v="0"/>
    <s v="2025.06.03.01.04."/>
    <s v="2025.06.03."/>
    <s v="dotacja celowa  dla Instytutu Łączności - Państwowego Instytutu Badawczego - wydatki inwestycyjne na prace badawcze i rozwojowe w obszarze dotyczącym rozwoju telekomunikacji"/>
    <s v="Na podstawie art. 150 w zw. z art. 127 ust. 1 pkt 1 ustawy z dnia 27 sierpnia 2009 r. o finansach publicznych (t.j. Dz. U. z 2024 r. poz. 530, z późn. zm.) oraz art. 21 ust. 6 ustawy z dnia 30 kwietnia 2010 r. o instytutach badawczych (t.j. Dz. U. z 2024 r. poz. 534, z późn. zm.), Minister Cyfryzacji planuje udzielić dotacji celowej dla Instytutu Łączności – Państwowego Instytutu Badawczego na finansowanie realizacji w sposób ciągły prac badawczych i rozwojowych w obszarze dotyczącym rozwoju telekomunikacji, zgodnie z zakresem merytorycznym zadań określonych w art. 22 ww. ustawy instytutach badawczych. W ramach powyższych dotacji, planowane wydatki inwestycyjne będą przeznaczone na poniższe zadania:                                                                                                                                                                                                                                                                                                                                                                         1. Rozbudowa systemu monitoringu w ramach kampanii pomiarowej PEM,_x000a_2. Rozwój komponentów Polskiego Systemu Monitorowania Galileo - w szczególności systemu MSP2G  ,_x000a_3. Transfer czasu TWSTFT obsługiwanej w IŁ-PIB na potrzeby Państwowego Czasu Urzędowego UTC(PL) w ramach współpracy z GUM"/>
    <n v="1450"/>
    <m/>
    <n v="750"/>
    <n v="705"/>
    <n v="220"/>
    <n v="100"/>
    <s v="-"/>
    <s v="IŁ-PIB"/>
    <s v="art. 150 w zw. z art. 127 ust. 1 pkt 1 ustawy z dnia 27 sierpnia 2009 r. o finansach publicznych (t.j. Dz. U. z 2024 r. poz. 530) oraz art. 21 ust. 6 ustawy z dnia 30 kwietnia 2010 r. o instytutach badawczych (t.j. Dz. U. 2024 poz. 534)"/>
    <m/>
    <x v="0"/>
  </r>
  <r>
    <x v="0"/>
    <x v="0"/>
    <x v="1"/>
    <n v="4000"/>
    <s v="n/d"/>
    <s v="D3"/>
    <s v="WB27.BP.PF"/>
    <s v="MC"/>
    <s v="4"/>
    <s v="0"/>
    <s v="2025.06.03.01.01."/>
    <s v="2025.06.03."/>
    <s v="Polska recepcja w trakcie WSIS Forum"/>
    <s v="Polska recepcja w trakcie WSIS Forum. Ministerstwo Cyfryzacji (MC) wraz z Urzędem Komunikacji Elektronicznej (UKE), we współpracy ze Stałym Przedstawicielstwem RP przy Biurze Narodów Zjednoczonych w Genewie, corocznie współorganizuje Wydarzenie towarzyszące Forum Światowego Szczytu Społeczeństwa Informacyjnego (WSIS). Charakter wydarzenia wpisuje się w kompetencje i właściwość Ministra Cyfryzacji pod kątem współpracy międzynarodowej w obszarze telekomunikacji. Wydarzenie jest elementem promocji interesów Polski w sektorze telekomunikacji i przyczynia się do współtworzenia inicjatyw Międzynarodowego Związku Telekomunikacyjnego (ITU), jak i umożliwia zajmowanie stanowisk w gremiach wypracowujących globalne standardy telekomunikacyjne oraz wzmacnia prestiż kraju. Za kwestie organizacyjne każdorazowo odpowiada UKE. Zaproponowano, aby koszty wydarzenia ponosić naprzemiennie z uwagi na to, że wydarzenie to jest przedmiotem zainteresowania obu instytucji. Minister Cyfryzacji finansował ww. wydarzenie w 2023 r. na podstawie Porozumienia zawartego z UKE. W 2025 roku procedowane jest analogiczne porozumienie w celu finansowania powyzszego wydarzenia przez MC. Kolejny rok finansowania powyzszego wydarzenia to 2027 r. "/>
    <n v="250"/>
    <m/>
    <n v="0"/>
    <n v="250"/>
    <n v="0"/>
    <n v="250"/>
    <s v="-"/>
    <s v="-"/>
    <s v="-"/>
    <m/>
    <x v="0"/>
  </r>
  <r>
    <x v="0"/>
    <x v="0"/>
    <x v="1"/>
    <n v="4000"/>
    <s v="n/d"/>
    <m/>
    <s v="WB27.BP.PF"/>
    <s v="MC"/>
    <s v="4"/>
    <s v="0"/>
    <s v="2025.06.03.01.04."/>
    <s v="2025.06.03."/>
    <s v="Analizy efektów interwencji publicznych na rzecz rozwoju sieci szerokopasmowych podjętych w ramach inwestycji C1.1.1 Krajowego Planu Odbudowy i Zwiększenia Odporności oraz I Priorytetu Funduszy Europejskich na Rozwój Cyfrowy 2021–2027 "/>
    <s v="Analizy efektów interwencji publicznych na rzecz rozwoju sieci szerokopasmowych podjętych w ramach inwestycji C1.1.1 Krajowego Planu Odbudowy i Zwiększenia Odporności oraz I Priorytetu Funduszy Europejskich na Rozwój Cyfrowy 2021–2027 "/>
    <m/>
    <m/>
    <n v="10"/>
    <n v="0"/>
    <n v="0"/>
    <n v="0"/>
    <s v="umowa 85/DT/24_x000a_zawarta do dnia 2026.04.30"/>
    <s v="Polska Agencja Ewaluacji Sektora Publicznego S.A."/>
    <s v="-"/>
    <s v="zaangażowano środki w kwocie 9.817,07 zł"/>
    <x v="0"/>
  </r>
  <r>
    <x v="0"/>
    <x v="0"/>
    <x v="1"/>
    <n v="4540"/>
    <s v="n/d"/>
    <s v="D3"/>
    <s v="WB27.BP.PF"/>
    <s v="MC"/>
    <s v="4"/>
    <s v="0"/>
    <s v="2025.06.03.01.01."/>
    <s v="2025.06.03."/>
    <s v="Składki do organizacji międzynarodowych"/>
    <s v="Obowiązek uiszczania składek do organizacji międzynarodowych wynikający z członkostwa RP w tych organizacjach. Obowiązek uiszczania składek do organizacji międzynarodowych wynikający z członkostwa RP w tych organizacjach.                                                                                                                   _x000a_Szacunkowy koszt składek w 2026 r. do organizacji międzynarodowych wynosi 4 585 800 000 zł:_x000a_1) ITU (Międzynarodowy Związek Telekomunikacyjny) ─ 318 000 CHF;_x000a_2) ECO (Europejskie Biuro Komunikacji) ─ 66 722 DKK;_x000a_3) CEPT (Europejska Konfederacja Poczty i Telekomunikacji) ─ 971 DKK (wysokość składki jest zmienna, może się nieznacznie zmienić);_x000a_                                                                        "/>
    <n v="1650"/>
    <m/>
    <n v="1502"/>
    <n v="1502"/>
    <n v="1502"/>
    <n v="1502"/>
    <s v="-"/>
    <s v="-"/>
    <s v="-"/>
    <m/>
    <x v="0"/>
  </r>
  <r>
    <x v="0"/>
    <x v="0"/>
    <x v="1"/>
    <n v="4540"/>
    <s v="n/d"/>
    <s v="D3"/>
    <s v="WB27.BP.PF"/>
    <s v="MC"/>
    <s v="4"/>
    <s v="0"/>
    <s v="2025.06.03.01.01."/>
    <s v="2025.06.03."/>
    <s v="Składki do organizacji międzynarodowych"/>
    <s v="DCO (Digital Cooperation Organization) – 809 200 USD na 2026 r. (wysokość składki wyliczana jest na podstawie aktualnego PKB z Banku Światowego, więc może się zmienić, kwota została wskazana zgodnie z szacunkami DCO w oparciu o najnowsze dane z Banku Światowego za 2023 r. https://data.worldbank.org/indicator/NY.GDP.MKTP.CD?locations=PL, wysokość składki w 2026 r. będzie zależała też od terminu zakończenia procedury akcesyjnej), na kolejne lata zakładamy wzrost składki o 3% opierając się na szacunkowych wzrostach PKB (833 500 USD w 2027 r., 858 505 USD w 2028 r. , 884 260 USD w 2029 r.)._x000a_DT planuje zabezpieczyć kwotę w 2026 r.  5 050 000 zł, zakładając wzrost o 10% na wypadek zmian kursów oraz zmiany PKB (według Wieloletnich założeń makroekonomicznych MF https://www.gov.pl/web/finanse/zalozenia-wieloletnie , wzrost realnego PKB w 2024 r. o 2,9%, w 2025 r. o 3,7%, w 2026 r. o 3,5%, w 2027 r. o 3%, w 2028 r. o 2,7%, w 2029 r. o 2,6%).  _x000a_W kolejnych latach odpowiednio zabezpieczamy kwotę 2027 r. - 5 150 000 zł, 2028 r. – 5 250 000 zł, 2029 r. – 5 350 000 zł. Należy podkreślić, że Polska nie jest jeszcze członkiem DCO, dopiero zawarto w lutym 2025 r. List intencyjny o współpracy. Obecnie Polska przygotowuje się do rozpoczęcia procedury akcesyjnej, która może zakończyć się w 2026 roku, jednakże po otrzymaniu wszystkich informacji od organizacji, w tym planowanej wysokości rocznej składki, czekamy na ostateczne decyzje Kierownictwa MC w tym zakresie                                                                                          "/>
    <m/>
    <m/>
    <n v="3548"/>
    <n v="3548"/>
    <n v="3548"/>
    <n v="3548"/>
    <s v="-"/>
    <s v="-"/>
    <s v="-"/>
    <m/>
    <x v="0"/>
  </r>
  <r>
    <x v="0"/>
    <x v="0"/>
    <x v="1"/>
    <n v="4000"/>
    <s v="n/d"/>
    <s v="D3"/>
    <s v="WB27.BP.PF"/>
    <s v="MC"/>
    <s v="4"/>
    <s v="0"/>
    <s v="2025.06.03.01.04."/>
    <s v="2025.06.03."/>
    <s v="Organizacja spotkań informacyjnych, przygotowanie materiałów informacyjnych, usługi doradcze  w ramach pełnienia funkcji Broadband Competence Offices (BCO) i Krajowy Punkt Kontaktowy dla CEF Digital"/>
    <s v="W ramach wydatków związanych z pełnieniem funkcji Broadband Competence Office oraz Krajowego Punktu Kontaktowego dla CEF Digital przewiduje się finansowanie działalności informacyjno-promocyjnej w zakresie informowania obywateli, przedsiębiorców i jednostek samorządu terytorialnego o inwestycjach szerokopasmowych realizowanych na terenie Polski i finansowanych ze źródeł publicznych i prywatnych (np. w postaci informatorów, poradników itp.), jak również finansowanie ewentualnych konferencji itp. poświęconych inwestycjom w sieci szerokopasmowe"/>
    <n v="100"/>
    <m/>
    <n v="100"/>
    <n v="100"/>
    <n v="100"/>
    <n v="100"/>
    <s v="-"/>
    <s v="-"/>
    <s v="-"/>
    <m/>
    <x v="1"/>
  </r>
  <r>
    <x v="0"/>
    <x v="0"/>
    <x v="1"/>
    <n v="4000"/>
    <s v="n/d"/>
    <s v="D3"/>
    <s v="WB27.BP.PF"/>
    <s v="MC"/>
    <s v="4"/>
    <s v="0"/>
    <s v="2025.06.03.01.01."/>
    <s v="2025.06.03."/>
    <s v="Wykonanie ekspertyz i analiz"/>
    <s v="W związku z realizacją bieżących zadań istnieje konieczność zlecania wykonania ekspertyz (analiz)"/>
    <n v="500"/>
    <m/>
    <n v="300"/>
    <n v="300"/>
    <n v="300"/>
    <n v="300"/>
    <s v="-"/>
    <s v="-"/>
    <s v="-"/>
    <m/>
    <x v="1"/>
  </r>
  <r>
    <x v="0"/>
    <x v="0"/>
    <x v="1"/>
    <n v="4000"/>
    <s v="n/d"/>
    <s v="D3"/>
    <s v="WB27.BP.PF"/>
    <s v="MC"/>
    <s v="4"/>
    <s v="0"/>
    <s v="2025.06.03.01.01."/>
    <s v="2025.06.03."/>
    <s v="Działania informacyjne mające na celu zwiększania świadomości społecznej i wiedzy na temat numerów 116111 i 116123"/>
    <s v="W związku z tym, że zgodnie z art. 165 ust. 5  ustawy z dnia 12 lipca 2024 r. - Prawo komunikacji elektronicznej (Dz. U. z 2024 r. poz. 1221, z późn. zm.),  minister właściwy ds.  informatyzacji prowadzi działania w zakresie zwiększania świadomości społecznej i wiedzy na temat numerów 116111 i 116123, konieczne jest zabezpieczenie na ten cel odpowiednich środków"/>
    <n v="500"/>
    <m/>
    <n v="2400"/>
    <n v="2400"/>
    <n v="2400"/>
    <n v="2400"/>
    <s v="-"/>
    <s v="-"/>
    <s v="-"/>
    <m/>
    <x v="0"/>
  </r>
  <r>
    <x v="0"/>
    <x v="0"/>
    <x v="1"/>
    <n v="4000"/>
    <s v="n/d"/>
    <s v="D3"/>
    <s v="WB27.BP.PF"/>
    <s v="MC"/>
    <s v="4"/>
    <s v="0"/>
    <s v="2025.06.03.01.01."/>
    <s v="2025.06.03."/>
    <s v="Kampania promocyjna Polski do Rady ITU"/>
    <s v="Wybory do Rady ITU odbędą się podczas Konferencji Pełnomocników ITU (PP-26) w dniach 9-27 listopada 2026 r. w Katarze. Polska jest członkiem Rady ITU nieprzerwanie od 2010 roku (4 kadencje) i będzie po raz kolejny kandydować do Rady ITU. Wystawienie kandydatury wiąże się z koniecznością podjęcia szeregu działań dyplomatycznych i promocyjnych mających na celu przekonanie członków ITU do oddania głosu na Polskę. Działania te obejmują m.in. organizację recepcji w trakcie wydarzeń ITU (w tym na samym PP-26), opracowanie i zakup gadżetów i materiałów promocyjnych, banerów reklamowych._x000a_W związku z tym na potrzeby organizacji wydarzeń podczas PP-26 oraz innych wydarzeniach towarzyszących na rzecz Kampanii Polski do Rady ITU należy zabezpieczyć środki na rok 2026  w wysokości 250 000 zł"/>
    <m/>
    <m/>
    <n v="250"/>
    <n v="0"/>
    <n v="0"/>
    <n v="0"/>
    <s v="-"/>
    <s v="-"/>
    <s v="-"/>
    <m/>
    <x v="0"/>
  </r>
  <r>
    <x v="0"/>
    <x v="0"/>
    <x v="1"/>
    <m/>
    <m/>
    <m/>
    <m/>
    <m/>
    <m/>
    <m/>
    <m/>
    <m/>
    <m/>
    <s v="Pozostała kwota w limicie wydatków na 2025 rok"/>
    <n v="5518"/>
    <m/>
    <m/>
    <m/>
    <m/>
    <m/>
    <m/>
    <m/>
    <m/>
    <m/>
    <x v="1"/>
  </r>
  <r>
    <x v="0"/>
    <x v="0"/>
    <x v="1"/>
    <m/>
    <m/>
    <m/>
    <m/>
    <m/>
    <m/>
    <m/>
    <m/>
    <m/>
    <m/>
    <s v="OGÓŁEM DT"/>
    <n v="188784"/>
    <n v="88359"/>
    <n v="373306"/>
    <n v="373211"/>
    <n v="372836"/>
    <n v="372966"/>
    <m/>
    <m/>
    <m/>
    <m/>
    <x v="1"/>
  </r>
  <r>
    <x v="0"/>
    <x v="0"/>
    <x v="2"/>
    <n v="4000"/>
    <s v="n/d"/>
    <s v="D3"/>
    <s v="WB27.BP.PF"/>
    <s v="MC"/>
    <s v="4"/>
    <s v="0"/>
    <s v="2025.16.05.02.02."/>
    <s v="2025.16.05."/>
    <s v="Zakup materiałów promocyjnych "/>
    <s v="Gażdżety z logo MC "/>
    <n v="450"/>
    <m/>
    <n v="0"/>
    <n v="300"/>
    <n v="0"/>
    <n v="400"/>
    <s v="-"/>
    <s v="-"/>
    <s v="-"/>
    <m/>
    <x v="0"/>
  </r>
  <r>
    <x v="0"/>
    <x v="0"/>
    <x v="2"/>
    <n v="4000"/>
    <s v="n/d"/>
    <s v="D3"/>
    <s v="WB27.BP.PF"/>
    <s v="MC"/>
    <s v="4"/>
    <s v="0"/>
    <s v="2025.16.05.02.02."/>
    <s v="2025.16.05."/>
    <s v="Zakup materiałów i wyposażenia "/>
    <s v="Obrandowanie MC (ścianki, roll up'y z logo MC) "/>
    <n v="100"/>
    <m/>
    <n v="30"/>
    <n v="40"/>
    <n v="40"/>
    <n v="50"/>
    <s v="-"/>
    <s v="-"/>
    <s v="-"/>
    <m/>
    <x v="0"/>
  </r>
  <r>
    <x v="0"/>
    <x v="0"/>
    <x v="2"/>
    <n v="4000"/>
    <s v="n/d"/>
    <s v="D3"/>
    <s v="WB27.BP.PF"/>
    <s v="MC"/>
    <s v="4"/>
    <s v="0"/>
    <s v="2025.16.05.02.02."/>
    <s v="2025.16.05."/>
    <s v="Zakup materiałów promocyjnych "/>
    <s v="Usługi poligraficzne (druk ulotek, broszur)"/>
    <n v="70"/>
    <m/>
    <n v="10"/>
    <n v="15"/>
    <n v="15"/>
    <n v="20"/>
    <s v="-"/>
    <s v="-"/>
    <s v="-"/>
    <m/>
    <x v="0"/>
  </r>
  <r>
    <x v="0"/>
    <x v="0"/>
    <x v="2"/>
    <n v="4000"/>
    <s v="n/d"/>
    <s v="D3"/>
    <s v="WB27.BP.PF"/>
    <s v="MC"/>
    <s v="4"/>
    <s v="0"/>
    <s v="2025.16.05.02.02."/>
    <s v="2025.16.05."/>
    <s v="Monitoring mediów"/>
    <s v="Monitoring mediow "/>
    <n v="150"/>
    <m/>
    <n v="129"/>
    <n v="129"/>
    <n v="129"/>
    <n v="129"/>
    <s v="-"/>
    <s v="-"/>
    <s v="-"/>
    <m/>
    <x v="0"/>
  </r>
  <r>
    <x v="0"/>
    <x v="0"/>
    <x v="2"/>
    <n v="4170"/>
    <s v="n/d"/>
    <s v="D3"/>
    <s v="WB27.BP.PF"/>
    <s v="MC"/>
    <s v="4"/>
    <s v="0"/>
    <s v="2025.16.05.02.02."/>
    <s v="2025.16.05."/>
    <s v="Wynagrodzenia bezosobowe "/>
    <s v="Obsługa fotograficzna i video"/>
    <n v="300"/>
    <m/>
    <n v="129"/>
    <n v="129"/>
    <n v="129"/>
    <n v="129"/>
    <s v="-"/>
    <s v="-"/>
    <s v="-"/>
    <m/>
    <x v="0"/>
  </r>
  <r>
    <x v="0"/>
    <x v="0"/>
    <x v="2"/>
    <n v="4000"/>
    <s v="n/d"/>
    <s v="D3"/>
    <s v="WB27.BP.PF"/>
    <s v="MC"/>
    <s v="4"/>
    <s v="0"/>
    <s v="2025.16.05.02.02."/>
    <s v="2025.16.05."/>
    <s v="Zakup materiałów i wyposażenia "/>
    <s v="Sprzęt AV (gimbale, mikrofony do nagrań) "/>
    <n v="40"/>
    <m/>
    <n v="30"/>
    <n v="40"/>
    <n v="50"/>
    <n v="60"/>
    <s v="-"/>
    <s v="-"/>
    <s v="-"/>
    <m/>
    <x v="0"/>
  </r>
  <r>
    <x v="0"/>
    <x v="0"/>
    <x v="2"/>
    <n v="6060"/>
    <m/>
    <s v="D3"/>
    <s v="WB27.BP.PF"/>
    <s v="MC"/>
    <s v="6"/>
    <s v="0"/>
    <s v="2025.16.05.02.02."/>
    <s v="2025.16.05."/>
    <s v="ZAKUP SPRZĘTU SPECJALISTYCZNEGO: Zakup sprzętu konferencyjnego (2026: zakup kamery i  aparatu fotograficznego; 2027: zakup kostki dziennikarskiej, obiektywów)"/>
    <s v="Sprzęt konferencyjny (2026: zakup kamery i  aparatu fotograficznego; 2027: zakup kostki dziennikarskiej, obiektywów - każdy zakup powyżej 10 tys."/>
    <m/>
    <m/>
    <n v="20"/>
    <n v="30"/>
    <n v="0"/>
    <n v="0"/>
    <s v="-"/>
    <s v="-"/>
    <s v="-"/>
    <m/>
    <x v="0"/>
  </r>
  <r>
    <x v="0"/>
    <x v="0"/>
    <x v="2"/>
    <n v="6060"/>
    <m/>
    <s v="D3"/>
    <s v="WB27.BP.PF"/>
    <s v="MC"/>
    <s v="6"/>
    <s v="0"/>
    <s v="2025.16.05.02.02."/>
    <s v="2025.16.05."/>
    <s v="ZAKUP SPRZĘTU SPECJALISTYCZMEGO: Doposażenie i rozbudowa stoiska Ministerstwa Cyfryzacji"/>
    <s v="Doposażenie i rozbudowa stoiska MC (zakup dodatkowych ścianek modułowych -koszt powyżej 10 tys. zł)"/>
    <m/>
    <m/>
    <n v="0"/>
    <n v="30"/>
    <n v="0"/>
    <n v="0"/>
    <s v="-"/>
    <s v="-"/>
    <s v="-"/>
    <m/>
    <x v="1"/>
  </r>
  <r>
    <x v="0"/>
    <x v="0"/>
    <x v="2"/>
    <n v="4000"/>
    <s v="n/d"/>
    <s v="D3"/>
    <s v="WB27.BP.PF"/>
    <s v="MC"/>
    <s v="4"/>
    <s v="0"/>
    <s v="2025.16.05.02.02."/>
    <s v="2025.16.05."/>
    <s v="Zakup licencji, subskrypcji"/>
    <s v="Licencje, subskrypcje roczne (wersje Premium, programy graficzne) "/>
    <n v="60"/>
    <m/>
    <n v="15"/>
    <n v="20"/>
    <n v="30"/>
    <n v="30"/>
    <s v="-"/>
    <s v="-"/>
    <s v="-"/>
    <m/>
    <x v="0"/>
  </r>
  <r>
    <x v="0"/>
    <x v="0"/>
    <x v="2"/>
    <n v="4000"/>
    <s v="n/d"/>
    <s v="D3"/>
    <s v="WB27.BP.PF"/>
    <s v="MC"/>
    <s v="4"/>
    <s v="0"/>
    <s v="2025.16.05.02.02."/>
    <s v="2025.16.05."/>
    <s v="Organizacja wydarzeń"/>
    <s v="Kompleksowa usługa organizacji wydarzeń"/>
    <m/>
    <m/>
    <n v="700"/>
    <n v="800"/>
    <n v="900"/>
    <n v="1000"/>
    <s v="wniosek 227/BK/25"/>
    <s v="-"/>
    <s v="-"/>
    <s v="zaangażowano środki w 2026 r. w kwocie 49.200 zł, w 2027 r. - 49.200 zł, w 2028 r. 22.140 zł"/>
    <x v="0"/>
  </r>
  <r>
    <x v="0"/>
    <x v="0"/>
    <x v="2"/>
    <n v="4000"/>
    <s v="n/d"/>
    <s v="D3"/>
    <s v="WB27.BP.PF"/>
    <s v="MC"/>
    <s v="4"/>
    <s v="0"/>
    <s v="2025.16.05.02.02."/>
    <s v="2025.16.05."/>
    <s v="Emisja kampanii internetowej"/>
    <s v="Emisja kampanii internetowej nt. cyfryzacji - zamówienie dodatkowe"/>
    <n v="100"/>
    <m/>
    <n v="900"/>
    <n v="0"/>
    <n v="0"/>
    <n v="0"/>
    <s v="wniosek 136/BK/25"/>
    <s v="-"/>
    <s v="-"/>
    <s v="zaangażowano środki w kwocie 400.000 zł"/>
    <x v="0"/>
  </r>
  <r>
    <x v="0"/>
    <x v="0"/>
    <x v="2"/>
    <n v="4000"/>
    <s v="n/d"/>
    <s v="D3"/>
    <s v="WB27.BP.PF"/>
    <s v="MC"/>
    <s v="4"/>
    <s v="0"/>
    <s v="2025.16.05.02.02."/>
    <s v="2025.16.05."/>
    <s v="Działania informacyjno-promocyjne"/>
    <s v="Działania informacyjno-promocyjne dotyczące realizowanych działań przez MC"/>
    <n v="2000"/>
    <m/>
    <n v="2500"/>
    <n v="2700"/>
    <n v="2700"/>
    <n v="2800"/>
    <s v="-"/>
    <s v="-"/>
    <s v="-"/>
    <m/>
    <x v="0"/>
  </r>
  <r>
    <x v="0"/>
    <x v="0"/>
    <x v="2"/>
    <n v="4000"/>
    <s v="n/d"/>
    <s v="D3"/>
    <s v="WB27.BP.PF"/>
    <s v="MC"/>
    <s v="4"/>
    <s v="0"/>
    <s v="2025.16.05.02.02."/>
    <s v="2025.16.05."/>
    <s v="Dostęp do systemów"/>
    <s v="Dostępu do systemu SentiOne w Pakiecie Enterprise, umożliwiający nielimitowany dostęp do technologii SentiOne, a także dostęp do innych narzędzi i usług audytu mediowego"/>
    <m/>
    <m/>
    <n v="100"/>
    <n v="50"/>
    <n v="50"/>
    <n v="50"/>
    <s v="umowa 109/BK/25_x000a_zawarta do dnia 2026.04.29"/>
    <s v="SentiOne Sp. z o.o."/>
    <s v="-"/>
    <s v="zaangażowano środki w kwocie 9.225 zł"/>
    <x v="0"/>
  </r>
  <r>
    <x v="0"/>
    <x v="0"/>
    <x v="2"/>
    <n v="4000"/>
    <s v="n/d"/>
    <s v="D3"/>
    <s v="WB27.BP.PF"/>
    <s v="MC"/>
    <s v="4"/>
    <s v="0"/>
    <s v="2025.16.05.02.02."/>
    <s v="2025.16.05."/>
    <s v="Organizacja Dnia Dziecka"/>
    <s v="Dzień dziecka w kprm"/>
    <m/>
    <m/>
    <n v="129"/>
    <n v="129"/>
    <n v="129"/>
    <n v="129"/>
    <s v="-"/>
    <s v="-"/>
    <s v="-"/>
    <m/>
    <x v="0"/>
  </r>
  <r>
    <x v="0"/>
    <x v="0"/>
    <x v="2"/>
    <n v="4000"/>
    <s v="n/d"/>
    <s v="D3"/>
    <s v="WB27.BP.PF"/>
    <s v="MC"/>
    <n v="4"/>
    <s v="0"/>
    <s v="2025.16.05.02.02."/>
    <s v="2025.16.05."/>
    <s v="Zakup usług "/>
    <s v="Magazynowanie, transport i montaż stoiska targowego Ministerstwa Cyfryzacji na wydarzeniach z udziałem Kierownictwa i ekspertów MC"/>
    <m/>
    <m/>
    <n v="50"/>
    <n v="50"/>
    <n v="24"/>
    <m/>
    <s v="-"/>
    <s v="-"/>
    <s v="-"/>
    <m/>
    <x v="0"/>
  </r>
  <r>
    <x v="0"/>
    <x v="0"/>
    <x v="2"/>
    <n v="4000"/>
    <s v="n/d"/>
    <s v="D3"/>
    <s v="WB27.BP.PF"/>
    <s v="MC"/>
    <s v="4"/>
    <s v="0"/>
    <s v="2025.16.05.02.02."/>
    <s v="2025.16.05."/>
    <s v="Kampanie medialne"/>
    <s v="Dodatkowe kampanie medialne (poza KEI) i niezaplanowane potrzeby innych departamentów dot. działań komunikacyjnych"/>
    <n v="2000"/>
    <m/>
    <n v="7500"/>
    <n v="7500"/>
    <n v="8000"/>
    <n v="8000"/>
    <s v="-"/>
    <s v="-"/>
    <s v="-"/>
    <m/>
    <x v="0"/>
  </r>
  <r>
    <x v="0"/>
    <x v="0"/>
    <x v="2"/>
    <m/>
    <m/>
    <m/>
    <m/>
    <m/>
    <m/>
    <m/>
    <m/>
    <m/>
    <m/>
    <s v="Pozostała kwota w limicie wydatków na 2025 rok"/>
    <n v="220"/>
    <m/>
    <m/>
    <m/>
    <m/>
    <m/>
    <m/>
    <m/>
    <m/>
    <m/>
    <x v="1"/>
  </r>
  <r>
    <x v="0"/>
    <x v="0"/>
    <x v="2"/>
    <m/>
    <m/>
    <m/>
    <m/>
    <m/>
    <m/>
    <m/>
    <m/>
    <m/>
    <m/>
    <s v="OGÓŁEM BK"/>
    <n v="5490"/>
    <n v="1688"/>
    <n v="12242"/>
    <n v="11962"/>
    <n v="12196"/>
    <n v="12797"/>
    <m/>
    <m/>
    <m/>
    <m/>
    <x v="1"/>
  </r>
  <r>
    <x v="0"/>
    <x v="0"/>
    <x v="3"/>
    <n v="4610"/>
    <s v="n/d"/>
    <s v="D3"/>
    <s v="WB27.BP.PF"/>
    <s v="MC"/>
    <s v="4"/>
    <s v="0"/>
    <s v="2025.22.01.01.01."/>
    <s v="2025.22.01."/>
    <s v="Koszty zastępstwa procesowego"/>
    <s v="Zabezpieczone koszty z tytułu zastępstwa procesowago w postępowaniu przed cypryjskim sądem na podstawie podpisanych umów. (Koszty umowy związane z zastępstwem procesowym w postępowaniu przed cypryjskim sądem)"/>
    <n v="90"/>
    <m/>
    <n v="90"/>
    <n v="0"/>
    <n v="0"/>
    <n v="0"/>
    <s v="-"/>
    <s v="-"/>
    <s v="-"/>
    <s v="Przewidywanie kosztów na następne lata uzależnione są od dalszego postępowania. Umowa 835/MC_DP MC/21 z dnia 22.06.2021r. Zawarta z DR.K.CHRYSOSTOMIDES &amp; CO. LLC, a Lawyers' Limited Company incorporated uder the laws of the Rrepublic of Cyprus"/>
    <x v="0"/>
  </r>
  <r>
    <x v="0"/>
    <x v="0"/>
    <x v="3"/>
    <n v="4170"/>
    <s v="n/d"/>
    <s v="D3"/>
    <s v="WB27.BP.PF"/>
    <s v="MC"/>
    <n v="4"/>
    <n v="0"/>
    <s v="2025.22.01.01.01."/>
    <s v="2025.22.01."/>
    <s v="Koszty zastępstwa procesowego - KIO"/>
    <s v="Koszty wynagrodzenia dla radców prawnych w zastępstwie procesowym"/>
    <m/>
    <m/>
    <n v="30"/>
    <n v="0"/>
    <n v="0"/>
    <n v="0"/>
    <s v="-"/>
    <s v="-"/>
    <s v="-"/>
    <m/>
    <x v="0"/>
  </r>
  <r>
    <x v="0"/>
    <x v="0"/>
    <x v="3"/>
    <n v="4170"/>
    <s v="n/d"/>
    <s v="D3"/>
    <s v="WB27.BP.PF"/>
    <s v="MC"/>
    <s v="4"/>
    <s v="0"/>
    <s v="2025.22.01.01.01."/>
    <s v="2025.22.01."/>
    <s v="Dieta dla Rzecznika Dyscyplinarnego"/>
    <s v="Zaplanowanie wydatków związanych z pracą Rzecznika Dyscyplinarnego"/>
    <n v="2"/>
    <m/>
    <n v="2"/>
    <n v="2"/>
    <n v="2"/>
    <n v="2"/>
    <s v="-"/>
    <s v="-"/>
    <s v="-"/>
    <m/>
    <x v="0"/>
  </r>
  <r>
    <x v="0"/>
    <x v="0"/>
    <x v="3"/>
    <n v="4000"/>
    <s v="n/d"/>
    <s v="D3"/>
    <s v="WB27.BP.PF"/>
    <s v="MC"/>
    <s v="4"/>
    <s v="0"/>
    <s v="2025.22.01.01.01."/>
    <s v="2025.22.01."/>
    <s v="Zakup książek"/>
    <s v="Zaplanowanie wydatków na zakup ksiązek dla Departamentu Prawnego, w celu realizacji powierzanych zadań. (Zakup książek dotyczących pomocy prawnej i legislacji w MC_DP MC)"/>
    <n v="5"/>
    <m/>
    <n v="5"/>
    <n v="5"/>
    <n v="5"/>
    <n v="5"/>
    <s v="-"/>
    <s v="-"/>
    <s v="-"/>
    <m/>
    <x v="1"/>
  </r>
  <r>
    <x v="0"/>
    <x v="0"/>
    <x v="3"/>
    <n v="4000"/>
    <s v="n/d"/>
    <s v="D3"/>
    <s v="WB27.BP.PF"/>
    <s v="MC"/>
    <s v="4"/>
    <s v="0"/>
    <s v="2025.22.01.01.01."/>
    <s v="2025.22.01."/>
    <s v="Zakup licenji LEX"/>
    <s v="[LEX]zaplanowanie wydatków w ramach zakupu licencji na LEX wynika z potrzeby zapewnienia dodatkowego systemu informacji prawnej, oprócz SIP Legalis; zakup licencji do LEZ jest uzasadniony tym, że ten system posiada inną baże publikacji z obszaru prawa, niż wybrany przez COAR SIP Legalis (Zakup usługi obejmuje dostęp do informacji prawnej dla MC)"/>
    <n v="80"/>
    <m/>
    <n v="80"/>
    <n v="80"/>
    <n v="80"/>
    <n v="80"/>
    <s v="-"/>
    <s v="-"/>
    <s v="-"/>
    <m/>
    <x v="1"/>
  </r>
  <r>
    <x v="0"/>
    <x v="0"/>
    <x v="3"/>
    <n v="4000"/>
    <s v="n/d"/>
    <s v="D3"/>
    <s v="WB27.BP.PF"/>
    <s v="MC"/>
    <s v="4"/>
    <s v="0"/>
    <s v="2025.22.01.01.01."/>
    <s v="2025.22.01."/>
    <s v="Zakup licencji SIP"/>
    <s v="Zaplanowanie wydatków w ramach zakupu licencji SIP (w wyniku udzielenia centralnego zamówienia przez COAR) wynika z potrzeby zapewnienia Systemu Informacji Prawnej dla MC (Zakup usługi obejmuje dostęp do informacji prawnej dla MC)"/>
    <n v="60"/>
    <m/>
    <n v="60"/>
    <n v="60"/>
    <n v="60"/>
    <n v="60"/>
    <s v="umowa WIP.261.41.2024.KA.MC.329/DP/24_x000a_zawarta do dnia 2026.09.30"/>
    <s v="Wydawnictwo C.H.Beck Sp z o.o."/>
    <s v="-"/>
    <s v="zaangażowano środki w kwocie 24.354 zł"/>
    <x v="0"/>
  </r>
  <r>
    <x v="0"/>
    <x v="0"/>
    <x v="3"/>
    <m/>
    <m/>
    <m/>
    <m/>
    <m/>
    <m/>
    <m/>
    <m/>
    <m/>
    <m/>
    <s v="Pozostała kwota w limicie wydatków na 2025 rok"/>
    <n v="40"/>
    <m/>
    <m/>
    <m/>
    <m/>
    <m/>
    <m/>
    <m/>
    <m/>
    <m/>
    <x v="1"/>
  </r>
  <r>
    <x v="0"/>
    <x v="0"/>
    <x v="3"/>
    <m/>
    <m/>
    <m/>
    <m/>
    <m/>
    <m/>
    <m/>
    <m/>
    <m/>
    <m/>
    <s v="OGÓŁEM DP"/>
    <n v="277"/>
    <n v="25"/>
    <n v="267"/>
    <n v="147"/>
    <n v="147"/>
    <n v="147"/>
    <m/>
    <m/>
    <m/>
    <m/>
    <x v="1"/>
  </r>
  <r>
    <x v="0"/>
    <x v="0"/>
    <x v="4"/>
    <n v="3020"/>
    <s v="n/d"/>
    <s v="D3"/>
    <s v="WB27.BP.PF"/>
    <s v="MC"/>
    <s v="3"/>
    <s v="0"/>
    <s v="2025.22.01.01.01."/>
    <s v="2025.22.01."/>
    <s v="Refundacja kosztów zakupu okularów i soczewek kontaktowych dla pracowników MC "/>
    <s v="Pracownikom MC zatrudnionym na stanowiskach pracy wyposażonych w monitory ekranowe, którzy w czasie pracy obsługują monitor ekranowy co najmniej przez połowę dobowego wymiaru czasu pracy, przysługuje refundacja kosztówzakupu okularów lub soczewek kontaktowych korygujących wzrok, używanych do pracy przy monitorze ekranowym na podstawie zarządzenia Nr 2 DG MC z 16.08.2023 r. "/>
    <n v="130"/>
    <m/>
    <n v="130"/>
    <n v="130"/>
    <n v="130"/>
    <n v="130"/>
    <s v="-"/>
    <s v="-"/>
    <s v="-"/>
    <m/>
    <x v="0"/>
  </r>
  <r>
    <x v="0"/>
    <x v="0"/>
    <x v="4"/>
    <n v="3020"/>
    <s v="n/d"/>
    <s v="D3"/>
    <s v="WB27.BP.PF"/>
    <s v="MC"/>
    <s v="3"/>
    <s v="0"/>
    <s v="2025.22.01.01.01."/>
    <s v="2025.22.01."/>
    <s v="Ryczałty - praca zdalna"/>
    <s v="Pokrycie w formie ryczałtu kosztów energii elektrycznej oraz usługi Internetu niezbędnych do wykonywania pracy zdalnej przez pracowników"/>
    <n v="130"/>
    <m/>
    <n v="200"/>
    <n v="200"/>
    <n v="200"/>
    <n v="200"/>
    <s v="-"/>
    <s v="-"/>
    <s v="-"/>
    <m/>
    <x v="0"/>
  </r>
  <r>
    <x v="0"/>
    <x v="0"/>
    <x v="4"/>
    <n v="3020"/>
    <s v="n/d"/>
    <s v="D3"/>
    <s v="WB27.BP.PF"/>
    <s v="MC"/>
    <s v="3"/>
    <s v="0"/>
    <s v="2025.22.01.01.01."/>
    <s v="2025.22.01."/>
    <s v="Odszkodowania z tyt. spraw pracowniczych"/>
    <s v="Odszkodowania - wyroki sądowe spr. pracownicze"/>
    <n v="30"/>
    <m/>
    <n v="30"/>
    <n v="30"/>
    <n v="30"/>
    <n v="30"/>
    <s v="-"/>
    <s v="-"/>
    <s v="-"/>
    <m/>
    <x v="0"/>
  </r>
  <r>
    <x v="0"/>
    <x v="0"/>
    <x v="4"/>
    <n v="4000"/>
    <s v="n/d"/>
    <s v="D3"/>
    <s v="WB27.BP.PF"/>
    <s v="MC"/>
    <s v="4"/>
    <s v="0"/>
    <s v="2025.22.01.01.01."/>
    <s v="2025.22.01."/>
    <s v="Świadczenie usług medycznych z zakresu medycyny pracy dla kandydatów do pracy i pracowników Ministerstwa Cyfryzacji"/>
    <s v="Zapewnienie kandydatom do pracy i pracownikom Ministerstwa Cyfryzacji wstępnych, kontrolnych i okresowych badań medycyny pracy "/>
    <n v="90"/>
    <m/>
    <n v="100"/>
    <n v="100"/>
    <n v="100"/>
    <n v="100"/>
    <s v="-"/>
    <s v="-"/>
    <s v="-"/>
    <m/>
    <x v="0"/>
  </r>
  <r>
    <x v="0"/>
    <x v="0"/>
    <x v="4"/>
    <n v="4170"/>
    <s v="n/d"/>
    <s v="D3"/>
    <s v="WB27.BP.PF"/>
    <s v="MC"/>
    <s v="4"/>
    <s v="0"/>
    <s v="2025.22.01.01.01."/>
    <s v="2025.22.01."/>
    <s v="Wynagrodzenia bezosobowe, w tym członków Komisji Dyscyplinarnej"/>
    <s v="Zapewnienie środków na umowy cywilnoprawnej i wynagrodzenia składów orzekających Komisji Dyscyplinarnej Ministerstwa Cyfryzacji"/>
    <n v="100"/>
    <m/>
    <n v="20"/>
    <n v="20"/>
    <n v="20"/>
    <n v="20"/>
    <s v="-"/>
    <s v="-"/>
    <s v="-"/>
    <m/>
    <x v="0"/>
  </r>
  <r>
    <x v="0"/>
    <x v="0"/>
    <x v="4"/>
    <n v="6060"/>
    <s v="n/d"/>
    <s v="D3"/>
    <s v="WB27.BP.PF"/>
    <s v="MC"/>
    <n v="4"/>
    <n v="0"/>
    <s v="2025.22.01.01.01."/>
    <s v="2025.22.01."/>
    <s v="Usługi w zakresie modernizacji i rozbudowa modułu Kadry QNT"/>
    <s v="Rozbudowa modułu KADRY w zakresie ewidencjonowania czasu pracy i pracy zdalnej"/>
    <m/>
    <m/>
    <n v="100"/>
    <n v="100"/>
    <n v="100"/>
    <n v="100"/>
    <s v="-"/>
    <s v="-"/>
    <s v="-"/>
    <s v="środki na umowę na modernizacje w module Kadry w QNT do ew. decyzji na poziomie BBF czy powinny środki na modernizacje w module Kadry w QNT powinny być planowane w ramach budżetu BDG czy BBF dla całego Ministerstwa._x000a_ OBLIGATORYJNIE (do decyzji czy w BDG czy w BBF)"/>
    <x v="0"/>
  </r>
  <r>
    <x v="0"/>
    <x v="0"/>
    <x v="4"/>
    <n v="3030"/>
    <s v="n/d"/>
    <s v="D3"/>
    <s v="WB27.BP.PF"/>
    <s v="MC"/>
    <s v="3"/>
    <s v="0"/>
    <s v="2025.22.01.01.01."/>
    <s v="2025.22.01."/>
    <s v="Organizacja płatnych staży absolwenckich "/>
    <s v="Zapewnienie możliwości organizacji w MC płatnych staży absolwenckich (umowy stażowe zawierane ze stażystami)"/>
    <n v="470"/>
    <m/>
    <n v="470"/>
    <n v="470"/>
    <n v="470"/>
    <n v="470"/>
    <s v="-"/>
    <s v="-"/>
    <s v="-"/>
    <m/>
    <x v="0"/>
  </r>
  <r>
    <x v="0"/>
    <x v="0"/>
    <x v="4"/>
    <n v="4000"/>
    <s v="n/d"/>
    <s v="D3"/>
    <s v="WB27.BP.PF"/>
    <s v="MC"/>
    <s v="4"/>
    <s v="0"/>
    <s v="2025.22.01.01.01."/>
    <s v="2025.22.01."/>
    <s v="Zapewnienie usług wspracia psychologicznego dla pracowników MC"/>
    <s v="Działania prewencyjne w zakresie work life balance"/>
    <n v="35"/>
    <m/>
    <n v="70"/>
    <n v="70"/>
    <n v="70"/>
    <n v="70"/>
    <s v="-"/>
    <s v="-"/>
    <s v="-"/>
    <m/>
    <x v="0"/>
  </r>
  <r>
    <x v="0"/>
    <x v="0"/>
    <x v="4"/>
    <n v="4000"/>
    <s v="n/d"/>
    <s v="D3"/>
    <s v="WB27.BP.PF"/>
    <s v="MC"/>
    <s v="4"/>
    <s v="0"/>
    <s v="2025.22.01.01.01."/>
    <s v="2025.22.01."/>
    <s v="Udział pracowników MC w konferencjach, refundacja studiów"/>
    <s v="Zapewnienie możliwości udział pracowników MC w konferencjach, refundacji studiów"/>
    <n v="237"/>
    <m/>
    <n v="245"/>
    <n v="251"/>
    <n v="257"/>
    <n v="266"/>
    <s v="-"/>
    <s v="-"/>
    <s v="-"/>
    <s v="wniosek o zabezpieczenie środków/umowy/ umowy o refundacje z pracownikami "/>
    <x v="0"/>
  </r>
  <r>
    <x v="0"/>
    <x v="0"/>
    <x v="4"/>
    <n v="4000"/>
    <s v="n/d"/>
    <s v="D3"/>
    <s v="WB27.BP.PF"/>
    <s v="MC"/>
    <s v="4"/>
    <s v="0"/>
    <s v="2025.22.01.01.01."/>
    <s v="2025.22.01."/>
    <s v="Udział pracowników MC w konferencjach, refundacja studiów"/>
    <s v="Zapewnienie możliwości udział pracowników MC w konferencjach, refundacji studiów"/>
    <m/>
    <m/>
    <n v="14"/>
    <n v="7"/>
    <n v="1"/>
    <n v="0"/>
    <s v="wniosek kadry/2025/02/05"/>
    <s v="-"/>
    <s v="-"/>
    <s v="zawarte umowy o refundację studiów z pracownikami MC _x000a_Na 2026 rok zaangażowano środki w kwocie 7.040 zł+6.256,80 zł, na 2027 rok - 6.256,80 zł, na 2028 rok - 521,40 zł)"/>
    <x v="0"/>
  </r>
  <r>
    <x v="0"/>
    <x v="0"/>
    <x v="4"/>
    <n v="4000"/>
    <s v="n/d"/>
    <s v="D3"/>
    <s v="WB27.BP.PF"/>
    <s v="MC"/>
    <s v="4"/>
    <s v="0"/>
    <s v="2025.22.01.01.01."/>
    <s v="2025.22.01."/>
    <s v="Testy kompetencyjne z PTP w wersji papierowej"/>
    <s v="Zapewnienie możliwości stosowania testów kompetencyjnych z PTP w wersji papierowej"/>
    <n v="3"/>
    <m/>
    <n v="3"/>
    <n v="3"/>
    <n v="3"/>
    <n v="3"/>
    <s v="-"/>
    <s v="-"/>
    <s v="-"/>
    <s v="wniosek o zabezpieczenie środków"/>
    <x v="0"/>
  </r>
  <r>
    <x v="0"/>
    <x v="0"/>
    <x v="4"/>
    <n v="4000"/>
    <s v="n/d"/>
    <s v="D3"/>
    <s v="WB27.BP.PF"/>
    <s v="MC"/>
    <s v="4"/>
    <s v="0"/>
    <s v="2025.22.01.01.01."/>
    <s v="2025.22.01."/>
    <s v="Literatura branżowa z zakresu zarządzania kapitałem ludzkim"/>
    <s v="Zwiększenie wiedzy  z zakresu zzl poprzez literatura branżową "/>
    <n v="3"/>
    <m/>
    <n v="3"/>
    <n v="3"/>
    <n v="3"/>
    <n v="3"/>
    <s v="-"/>
    <s v="-"/>
    <s v="-"/>
    <m/>
    <x v="1"/>
  </r>
  <r>
    <x v="0"/>
    <x v="0"/>
    <x v="4"/>
    <n v="4550"/>
    <s v="n/d"/>
    <s v="D3"/>
    <s v="WB27.BP.PF"/>
    <s v="MC"/>
    <s v="4"/>
    <s v="0"/>
    <s v="2025.22.01.01.01."/>
    <s v="2025.22.01."/>
    <s v="Podnoszenie kwalifikacji zawodowych pracowników MC zatrudnionych w ksc "/>
    <s v="Zapewnienie możliwości podnoszenia kwalifikacji zawodowych pracowników MC zatrudnionych w ksc "/>
    <n v="1680"/>
    <m/>
    <n v="1735"/>
    <n v="1735"/>
    <n v="1735"/>
    <n v="1735"/>
    <s v="-"/>
    <s v="-"/>
    <s v="-"/>
    <s v="wniosek o zabezpieczenie środków/umowy "/>
    <x v="0"/>
  </r>
  <r>
    <x v="0"/>
    <x v="0"/>
    <x v="4"/>
    <n v="4700"/>
    <s v="n/d"/>
    <s v="D3"/>
    <s v="WB27.BP.PF"/>
    <s v="MC"/>
    <s v="4"/>
    <s v="0"/>
    <s v="2025.22.01.01.01."/>
    <s v="2025.22.01."/>
    <s v="Podnoszenie kwalifikacji zawodowych pracowników MC zatrudnionych poza ksc"/>
    <s v="Zapewnienie możliwości podnoszenia kwalifikacji zawodowych pracowników MC zatrudnionych poza ksc"/>
    <n v="186"/>
    <m/>
    <n v="192"/>
    <n v="192"/>
    <n v="192"/>
    <n v="192"/>
    <s v="-"/>
    <s v="-"/>
    <s v="-"/>
    <s v="wniosek o zabezpieczenie środków/umowy "/>
    <x v="0"/>
  </r>
  <r>
    <x v="0"/>
    <x v="0"/>
    <x v="4"/>
    <n v="4000"/>
    <s v="n/d"/>
    <s v="D3"/>
    <s v="WB27.BP.PF"/>
    <s v="MC"/>
    <s v="4"/>
    <s v="0"/>
    <s v="2025.22.01.01.01."/>
    <s v="2025.22.01."/>
    <s v="Świadczenie przez Wykonawcę na rzecz Zamawiającego usług pocztowych w obrocie krajowym i zagranicznym w zakresie przyjmowania, przemieszczania i doręczania przesyłek listowych oraz ich ewentualnych zwrotów"/>
    <s v="Świadczenia usług pocztowych na kolejny okres t.j od 17.05.2025 (uwaga zmiana systemu - e-doręczenia) (usługa pocztowa)"/>
    <n v="70"/>
    <m/>
    <n v="80"/>
    <n v="80"/>
    <n v="100"/>
    <n v="100"/>
    <s v=" wniosek 79/DTC/BDG/25"/>
    <s v="Poczta Polska S.A"/>
    <s v="-"/>
    <s v="Przetarg centralny przeprowadzony przez COAR _x000a_Na 2026 rok zaangażowano środki w kwocie 70.000 zł, a na 2027 rok - 22.132,14 zł"/>
    <x v="0"/>
  </r>
  <r>
    <x v="0"/>
    <x v="0"/>
    <x v="4"/>
    <n v="4000"/>
    <s v="n/d"/>
    <s v="D3"/>
    <s v="WB27.BP.PF"/>
    <s v="MC"/>
    <s v="4"/>
    <s v="0"/>
    <s v="2025.22.01.01.01."/>
    <s v="2025.22.01."/>
    <s v="Świadczenie przez Wykonawcę zagranicznych, krajowych, miejskich usług kurierskich w zakresie przyjmowania, przemieszczania i doręczania przesyłek dla Zamawiającego"/>
    <s v="Świadczenie usług kurierskich od stycznia 2025 r. na okres 12 mies., następne umowy/wnioski podpisywane z kurierem (usługa kurierska)"/>
    <n v="10"/>
    <m/>
    <n v="10"/>
    <n v="10"/>
    <n v="10"/>
    <n v="10"/>
    <s v="-"/>
    <s v="-"/>
    <s v="-"/>
    <s v="Firma kurierska"/>
    <x v="0"/>
  </r>
  <r>
    <x v="0"/>
    <x v="0"/>
    <x v="4"/>
    <n v="4000"/>
    <s v="n/d"/>
    <s v="D3"/>
    <s v="WB27.BP.PF"/>
    <s v="MC"/>
    <s v="4"/>
    <s v="0"/>
    <s v="2025.22.01.01.01."/>
    <s v="2025.22.01."/>
    <s v="Świadczenie przez Wykonawcę na rzecz Zamawiającego usług pocztowych w obrocie krajowym i zagranicznym w zakresie przyjmowania, przemieszczania i doręczania przesyłek listowych oraz ich ewentualnych zwrotów"/>
    <s v="Świadczenie usług z operatorem wyznaczonym do e-Doręczenia (e-Doręczenia)"/>
    <n v="80"/>
    <m/>
    <n v="90"/>
    <n v="100"/>
    <n v="110"/>
    <n v="110"/>
    <s v="-"/>
    <s v="-"/>
    <s v="-"/>
    <s v="Poczta Polska"/>
    <x v="0"/>
  </r>
  <r>
    <x v="0"/>
    <x v="0"/>
    <x v="4"/>
    <n v="4410"/>
    <s v="n/d"/>
    <s v="D3"/>
    <s v="WB27.BP.PF"/>
    <s v="MC"/>
    <s v="4"/>
    <s v="0"/>
    <s v="2025.06.03.01.01."/>
    <s v="2025.06.03."/>
    <s v="Delegacje krajowe"/>
    <s v="Zabezpieczenie potrzeb w zakresie delegacji krajowych pracowników MC w związku z realizowanymi zadaniami"/>
    <n v="40"/>
    <m/>
    <n v="40"/>
    <n v="40"/>
    <n v="40"/>
    <n v="40"/>
    <s v="-"/>
    <s v="-"/>
    <s v="-"/>
    <m/>
    <x v="0"/>
  </r>
  <r>
    <x v="0"/>
    <x v="0"/>
    <x v="4"/>
    <n v="4410"/>
    <s v="n/d"/>
    <s v="D3"/>
    <s v="WB27.BP.PF"/>
    <s v="MC"/>
    <s v="4"/>
    <s v="0"/>
    <s v="2025.16.01.02.01."/>
    <s v="2025.16.01."/>
    <s v="Delegacje krajowe"/>
    <s v="Zabezpieczenie potrzeb w zakresie delegacji krajowych pracowników MC w związku z realizowanymi zadaniami"/>
    <n v="10"/>
    <m/>
    <n v="10"/>
    <n v="10"/>
    <n v="10"/>
    <n v="10"/>
    <s v="-"/>
    <s v="-"/>
    <s v="-"/>
    <m/>
    <x v="0"/>
  </r>
  <r>
    <x v="0"/>
    <x v="0"/>
    <x v="4"/>
    <n v="4410"/>
    <s v="n/d"/>
    <s v="D3"/>
    <s v="WB27.BP.PF"/>
    <s v="MC"/>
    <s v="4"/>
    <s v="0"/>
    <s v="2025.16.05.01.02."/>
    <s v="2025.16.05."/>
    <s v="Delegacje krajowe"/>
    <s v="Zabezpieczenie potrzeb w zakresie delegacji krajowych pracowników MC w związku z realizowanymi zadaniami"/>
    <n v="5"/>
    <m/>
    <n v="5"/>
    <n v="5"/>
    <n v="5"/>
    <n v="5"/>
    <s v="-"/>
    <s v="-"/>
    <s v="-"/>
    <m/>
    <x v="0"/>
  </r>
  <r>
    <x v="0"/>
    <x v="0"/>
    <x v="4"/>
    <n v="4410"/>
    <s v="n/d"/>
    <s v="D3"/>
    <s v="WB27.BP.PF"/>
    <s v="MC"/>
    <s v="4"/>
    <s v="0"/>
    <s v="2025.16.05.02.01."/>
    <s v="2025.16.05."/>
    <s v="Delegacje krajowe"/>
    <s v="Zabezpieczenie potrzeb w zakresie delegacji krajowych pracowników MC w związku z realizowanymi zadaniami"/>
    <n v="10"/>
    <m/>
    <n v="10"/>
    <n v="10"/>
    <n v="10"/>
    <n v="10"/>
    <s v="-"/>
    <s v="-"/>
    <s v="-"/>
    <m/>
    <x v="0"/>
  </r>
  <r>
    <x v="0"/>
    <x v="0"/>
    <x v="4"/>
    <n v="4410"/>
    <s v="n/d"/>
    <s v="D3"/>
    <s v="WB27.BP.PF"/>
    <s v="MC"/>
    <s v="4"/>
    <s v="0"/>
    <s v="2025.16.05.02.02."/>
    <s v="2025.16.05."/>
    <s v="Delegacje krajowe"/>
    <s v="Zabezpieczenie potrzeb w zakresie delegacji krajowych pracowników MC w związku z realizowanymi zadaniami"/>
    <n v="30"/>
    <m/>
    <n v="30"/>
    <n v="30"/>
    <n v="30"/>
    <n v="30"/>
    <s v="-"/>
    <s v="-"/>
    <s v="-"/>
    <m/>
    <x v="0"/>
  </r>
  <r>
    <x v="0"/>
    <x v="0"/>
    <x v="4"/>
    <n v="4410"/>
    <s v="n/d"/>
    <s v="D3"/>
    <s v="WB27.BP.PF"/>
    <s v="MC"/>
    <s v="4"/>
    <s v="0"/>
    <s v="2025.16.05.03.02."/>
    <s v="2025.16.05."/>
    <s v="Delegacje krajowe"/>
    <s v="Zabezpieczenie potrzeb w zakresie delegacji krajowych pracowników MC w związku z realizowanymi zadaniami"/>
    <n v="40"/>
    <m/>
    <n v="40"/>
    <n v="40"/>
    <n v="40"/>
    <n v="40"/>
    <s v="-"/>
    <s v="-"/>
    <s v="-"/>
    <m/>
    <x v="0"/>
  </r>
  <r>
    <x v="0"/>
    <x v="0"/>
    <x v="4"/>
    <n v="4410"/>
    <s v="n/d"/>
    <s v="D3"/>
    <s v="WB27.BP.PF"/>
    <s v="MC"/>
    <s v="4"/>
    <s v="0"/>
    <s v="2025.22.01.01.01."/>
    <s v="2025.22.01."/>
    <s v="Delegacje krajowe"/>
    <s v="Zabezpieczenie potrzeb w zakresie delegacji krajowych pracowników MC w związku z realizowanymi zadaniami"/>
    <n v="475"/>
    <m/>
    <n v="475"/>
    <n v="475"/>
    <n v="475"/>
    <n v="475"/>
    <s v="1. umowa 173/DWM/24_x000a_zawarta do dnia 2026.11.14_x000a_2. wniosek 102/DWM/25"/>
    <s v="1. TravelBank"/>
    <s v="-"/>
    <s v="1.zaangażowano środki w kwocie 5.100 zł_x000a_2. na 2026 rok zaangażowano środki w kwocie 50.000 zł, na 2027 rok - 50.000 zł"/>
    <x v="0"/>
  </r>
  <r>
    <x v="0"/>
    <x v="0"/>
    <x v="4"/>
    <n v="4000"/>
    <s v="n/d"/>
    <s v="D3"/>
    <s v="WB27.BP.PF"/>
    <s v="MC"/>
    <n v="4"/>
    <n v="0"/>
    <s v="2025.22.01.01.01."/>
    <s v="2025.22.01."/>
    <s v="Świadczenie usług ATS Data operacji gospodarczej 2025.05.06 e-Recruiter, przeznaczonych do wsparcia procesu rekrutacji, w tym aplikowania przez kandydatki/kandydatów do MC, raportowania, uruchomienia modułu onboardingu"/>
    <s v="Zapewnienie programu informatycznego do realizacji procesu naboru "/>
    <m/>
    <m/>
    <n v="18"/>
    <n v="0"/>
    <n v="0"/>
    <n v="0"/>
    <s v="umowa 199/BDG/25_x000a_zawarta do dnia 2026.05.01"/>
    <s v="eRecruitment Solutions sp. z o.o. "/>
    <s v="-"/>
    <s v="zaangażowano środki w kwocie 17.958 zł"/>
    <x v="0"/>
  </r>
  <r>
    <x v="0"/>
    <x v="0"/>
    <x v="4"/>
    <n v="4000"/>
    <s v="n/d"/>
    <s v="D3"/>
    <s v="WB27.BP.PF"/>
    <s v="MC"/>
    <n v="4"/>
    <n v="0"/>
    <s v="2025.22.01.01.01."/>
    <s v="2025.22.01."/>
    <s v="Świadczenie usług ATS Data operacji gospodarczej 2025.05.06 e-Recruiter, przeznaczonych do wsparcia procesu rekrutacji, w tym aplikowania przez kandydatki/kandydatów do MC, raportowania, uruchomienia modułu onboardingu"/>
    <s v="Zapewnienie programu informatycznego do realizacji procesu naboru "/>
    <m/>
    <m/>
    <n v="32"/>
    <n v="60"/>
    <n v="60"/>
    <n v="60"/>
    <s v="-"/>
    <s v="-"/>
    <s v="-"/>
    <s v="środki w kwocie 18 tys. zabezpieczone do kwietnia 2026; konieczność wszczęcia procesu udzielania zamówień umowy od maja 2026"/>
    <x v="0"/>
  </r>
  <r>
    <x v="0"/>
    <x v="0"/>
    <x v="4"/>
    <n v="4000"/>
    <s v="n/d"/>
    <s v="D3"/>
    <s v="WB27.BP.PF"/>
    <s v="MC"/>
    <n v="4"/>
    <n v="0"/>
    <s v="2025.22.01.01.01."/>
    <s v="2025.22.01."/>
    <s v="Pakiety oprogramowania do rozliczania czasu lub zarządzania zasobami ludzkim"/>
    <s v="Zapewnienie oprogramowania służacego do rejestracji i rozliczania czasu pracy"/>
    <m/>
    <m/>
    <n v="129"/>
    <n v="129"/>
    <n v="129"/>
    <n v="129"/>
    <s v="-"/>
    <s v="-"/>
    <s v="-"/>
    <s v="obecnie jest realizowana usługa w ramach umowy 99/BDG/26 przez RCPonline Sp. z o.o. do 25 marca 2026 r. zabezpieczenie środków jest na całą umowę w roku 2025. Od marca 2026 r. konieczność wszczęcia procesu udzielania zamówienia."/>
    <x v="0"/>
  </r>
  <r>
    <x v="0"/>
    <x v="0"/>
    <x v="4"/>
    <m/>
    <m/>
    <m/>
    <m/>
    <m/>
    <m/>
    <m/>
    <m/>
    <m/>
    <m/>
    <s v="Pozostała kwota w limicie wydatków na 2025 rok"/>
    <n v="173"/>
    <m/>
    <m/>
    <m/>
    <m/>
    <m/>
    <m/>
    <m/>
    <m/>
    <m/>
    <x v="1"/>
  </r>
  <r>
    <x v="0"/>
    <x v="0"/>
    <x v="4"/>
    <m/>
    <m/>
    <m/>
    <m/>
    <m/>
    <m/>
    <m/>
    <m/>
    <m/>
    <m/>
    <s v="OGÓŁEM BDG"/>
    <n v="4037"/>
    <n v="917"/>
    <n v="4281"/>
    <n v="4300"/>
    <n v="4330"/>
    <n v="4338"/>
    <m/>
    <m/>
    <m/>
    <m/>
    <x v="1"/>
  </r>
  <r>
    <x v="0"/>
    <x v="0"/>
    <x v="5"/>
    <n v="4000"/>
    <s v="n/d"/>
    <s v="D3"/>
    <s v="WB27.BP.PF"/>
    <s v="MC"/>
    <s v="4"/>
    <s v="0"/>
    <s v="2025.22.01.01.01."/>
    <s v="2025.22.01."/>
    <s v="usługa cateringowa na potrzeby organizacji wydarzeń w MC"/>
    <s v="Bieżące potrzeby - obsługa spotkań, narad, konferencji organizowanych w MC, w szczególności z udziałem Kierownictwa, (usługa cateringowa)"/>
    <n v="350"/>
    <m/>
    <n v="600"/>
    <n v="735"/>
    <n v="760"/>
    <n v="804"/>
    <s v="-"/>
    <s v="-"/>
    <s v="-"/>
    <s v="Umowa obowiązuje do 29.05.2025. _x000a_Wskazane zapotrzebowanie jest sumą zgłoszonych przez komórki potrzeb. Wzrost dwukrotny w stosunku do obecnie realizowanej umowy"/>
    <x v="0"/>
  </r>
  <r>
    <x v="0"/>
    <x v="0"/>
    <x v="5"/>
    <n v="4000"/>
    <s v="n/d"/>
    <s v="D3"/>
    <s v="WB27.BP.PF"/>
    <s v="MC"/>
    <s v="4"/>
    <s v="0"/>
    <s v="2025.22.01.01.01."/>
    <s v="2025.22.01."/>
    <s v=" najem powierzchni biurowej w przypadku planowanych remontów i inwestycji w budynku MC przy ul. Królewskiej"/>
    <s v="Najem powierzchni na czas prowadzonych prac inwestycyjno-remontowych (najem powierzchni biurowej w związku z pracami inwestycyjno-budowlanymi na znacznej powierzchni budynku MC) "/>
    <n v="200"/>
    <m/>
    <n v="200"/>
    <n v="0"/>
    <n v="0"/>
    <n v="0"/>
    <s v="-"/>
    <s v="-"/>
    <s v="-"/>
    <s v=" wyliczenia oparte są na danych z Centrum Królewska_x000a_- wynajem typowego piętra - 580 m 2_x000a_stanowiska biurowe są wyposażone, świadczenia eksploatacyjne po stronie wynajmującego. Na każdym piętrze znajdują się kompleksy gabinetowe - dyrektorskie_x000a_- koszt 1 m² - 22,5 euro_x000a_- 1 euro - 4,28 (z dnia 05.07.2024)_x000a_- koszty eksploatacyjne 34 zł/m²_x000a_- oddzielnie zakładane liczniki od mediów_x000a_- 1 faktura - 55 854 zł_x000a_- 2 faktura - 19 720 zł_x000a_- razem koszt/miesiąc ok. 75 574 zł brutto_x000a_oczywiście można dokonać wyliczenia na podnajem ale robione jest ono po przedstawieniu konkretnych danych_x000a_OBLIGATORYJNE_x000a_(BYŁO 645 TYS. ZŁ) DO DECYZJI KIEROWNICTWA_x000a_REZYGNACJA Z MOŻLIWOŚCI PRACY POZA BUDYNKIEM MC - POZOSTAJE TYLKO PRACA ZDALNA W CZASIE REMONTÓW"/>
    <x v="0"/>
  </r>
  <r>
    <x v="0"/>
    <x v="0"/>
    <x v="5"/>
    <n v="6060"/>
    <m/>
    <s v="D3"/>
    <s v="WB27.BP.PF"/>
    <s v="MC"/>
    <s v="6"/>
    <s v="0"/>
    <s v="2025.22.01.01.01."/>
    <s v="2025.22.01."/>
    <s v="ZAKUP URZĄDZEŃ SIECIOWYCH, celem modernizacji sieci teleinformatycznych "/>
    <s v="Cel realizacji zadania: zapewnienie wysokodostępnego i bezpiecznego połączenia infrastruktury teleinformatycznej Ministerstwa Cyfryzacji na styku z Internetem, umożliwiającego pracownikom łączność do niezbędnych usług oraz do sieci wydzielonych, które zabezpieczają odpowiednią przepustowość. W ramach zadania przewidziana jest modernizacja sieci wewnętrznych z wykorzystaniem technologii światłowodowych._x000a_Planowany zakup sprzętu/urządzeń: zakup urządzeń sieciowych na potrzeby sieci LAN/WAN i światłowodowej: serwer HCI, switche core, switche accessowe, NGFW (zapory sieciowe sprzętowe i aplikacyjne), sieć WiFi (kontrolery oraz access pointy), routery, Network Access Control, System Wirtualizacji (VMWare), serwery obliczeniowe, macierze dyskowe, przełączniki SAN, przełączniki LAN, systemy analizy danych - Big Data Analytics, systemy ochrony przed zagrożeniami - Advanced Threat Protection (ATP), systemy zarządzania tożsamością i dostępem Identity Management (IAM)."/>
    <n v="10000"/>
    <m/>
    <n v="3000"/>
    <n v="3000"/>
    <n v="3000"/>
    <n v="2000"/>
    <s v="wniosek 281/BA/25"/>
    <s v="-"/>
    <s v="-"/>
    <s v="zaangażowano środki w kwocie 3.168.075 zł_x000a_OBLIGATORYJNE_x000a_(BYŁO 6 MLN ZŁ) DO DECYZJI KIEROWNICTWA_x000a_REZYGNACJA Z MODERNIZACJI SIECI TELEINFORMATYCZNYCH W MC NA RZECZ ZABEZPIECZENIA TYLKO NIEZBĘDNYCH POTRZEB"/>
    <x v="0"/>
  </r>
  <r>
    <x v="0"/>
    <x v="0"/>
    <x v="5"/>
    <n v="4000"/>
    <s v="n/d"/>
    <s v="D3"/>
    <s v="WB27.BP.PF"/>
    <s v="MC"/>
    <s v="4"/>
    <s v="0"/>
    <s v="2025.22.01.01.01."/>
    <s v="2025.22.01."/>
    <s v="wsparcie i godziny eksperckie związane z zakupem urządzeń sieciowych, celem modernizacji sieci teleinformatycznych "/>
    <s v="Zakup usługi wsparcia i godzin eksperckich do zakupionych urządzeń sieciowych kupionych w celu zapewnienia wysokodostępnego i bezpiecznego połączenia infrastruktury teleinformatycznej"/>
    <n v="250"/>
    <m/>
    <n v="500"/>
    <n v="300"/>
    <n v="300"/>
    <n v="200"/>
    <s v="wniosek 336/BA/24 - 100 000 zł_x000a_wniosek 342/BA/24 - 200 000 zł_x000a_wniosek 281/BA/25 - 91 974,96 zł_x000a_i 2 w trakcie przetargów"/>
    <s v="-"/>
    <s v="-"/>
    <s v="1. na 2026 rok zaangażowano środki w kwocie 104.441,50 zł, na 2027 rok - 104.441,50 zł, na 2028 rok - 34.813,83 zł_x000a_2. na 2026 rok zaangażowano środki w kwocie 50.000 zł, na 2027 rok - 50.000 zł"/>
    <x v="0"/>
  </r>
  <r>
    <x v="0"/>
    <x v="0"/>
    <x v="5"/>
    <n v="6050"/>
    <m/>
    <s v="D3"/>
    <s v="WB27.BP.PF"/>
    <s v="MC"/>
    <s v="6"/>
    <s v="0"/>
    <s v="2025.22.01.01.01."/>
    <s v="2025.22.01."/>
    <s v="inwestycja budowlana - Modernizacja instalacji elektrycznej (w tym dostosowanie obiektu do różnych źródeł zasilania awaryjnego)"/>
    <s v="Cel realizacji zadania: modernizacja sieci elektrycznej w całym budynku Ministerstwa Cyfryzacji, wymiana przewodów oraz źródeł światła odpowiadających aktualnym standardom technicznym oraz o wysokiej klasie energooszczędności oraz dostosowanie obiektu do zasilania awaryjnego"/>
    <m/>
    <m/>
    <n v="1000"/>
    <n v="2500"/>
    <n v="0"/>
    <n v="0"/>
    <s v="-"/>
    <s v="-"/>
    <s v="-"/>
    <s v="OBLIGATORYJNE_x000a_(BYŁO 2 MLN ZŁ) DO DECYZJI KIEROWNICTWA - WSTRZYMANIE REALIZACJI WYTYCZNYCH  ABW DOTYCZĄCYCH ZABEZPIECZENIA OBIEKTU"/>
    <x v="0"/>
  </r>
  <r>
    <x v="0"/>
    <x v="0"/>
    <x v="5"/>
    <n v="4000"/>
    <s v="n/d"/>
    <s v="D3"/>
    <s v="WB27.BP.PF"/>
    <s v="MC"/>
    <s v="4"/>
    <s v="0"/>
    <s v="2025.22.01.01.01."/>
    <s v="2025.22.01."/>
    <s v="dostawa owoców dla pracowników MC - promocja zdrowych nawyków żywieniowych"/>
    <s v="Dostawa owoców dla pracowników MC - promocja zdrowych nawyków żywieniowych_x000a_"/>
    <n v="50"/>
    <m/>
    <n v="55"/>
    <n v="60"/>
    <n v="65"/>
    <n v="70"/>
    <s v="-"/>
    <s v="-"/>
    <s v="-"/>
    <m/>
    <x v="0"/>
  </r>
  <r>
    <x v="0"/>
    <x v="0"/>
    <x v="5"/>
    <n v="6060"/>
    <m/>
    <s v="D3"/>
    <s v="WB27.BP.PF"/>
    <s v="MC"/>
    <s v="6"/>
    <s v="0"/>
    <s v="2025.22.01.01.01."/>
    <s v="2025.22.01."/>
    <s v="ZAKUP SPRZĘTU SPECJALISTYCZNEGO: Modernizacja systemu kontroli dostępu (KD) wraz ze zintegrowanym systemem CCTV i urządzeniami fizycznego bezpieczeństwa infrastruktury dostępowej do obiektu"/>
    <s v="Cel realizacji zadania: instalacja systemu kontroli dostępu i CCTV w budynku MC  ma na celu zapewnienie wysokiego poziomu bezpieczeństwa poprzez monitorowanie i kontrolowanie dostępu do obiektu oraz rozpoznawanie i rejestrowanie zdarzeń w czasie rzeczywistym. Systemy te mają chronić osoby, mienie oraz informacje przed nieautoryzowanym dostępem, kradzieżą, wandalizmem i innymi zagrożeniami._x000a_Planowany zakup sprzętu/urządzeń:_x000a_System kontroli dostępu - czytniki kart zbliżeniowych, czytniki biometryczne, zamki elektroniczne do drzwi pomieszczeń sterowane za pomocą kart lub kodów PIN, kontrolery dostępu, oprogramowanie do zarządzania dostępem umożliwiające konfigurację, monitorowanie i zarządzanie systemem kontroli dostępu, fizyczne, dwukierunkowe bramki dostępu, skanery z wykorzystaniem fal milimetrowych lub rentgenowskie, bramki detekcyjne;_x000a_System CCTV - kamery IP wysokiej rozdzielczości, kamery PTZ (Pan-Tilt-Zoom) z możliwością zdalnego sterowania, obracania i przybliżania obrazu, rejestratory NVR (Network Video Recorder) do zapisywania i przechowywania nagrań z kamer IP, monitory CCTV lub videowall w centrali bezpieczeństwa oraz ekrany do podglądu obrazu z kamer w czasie rzeczywistym, oprogramowanie do zarządzania wideo (VMS) umożliwiające zarządzanie, przeglądanie i analizowanie nagrań wideo;_x000a_Dodatkowe akcesoria - zasilacze UPS, czujniki ruchu zintegrowane z systemem CCTV."/>
    <m/>
    <m/>
    <m/>
    <n v="2000"/>
    <n v="0"/>
    <n v="0"/>
    <s v="-"/>
    <s v="-"/>
    <s v="-"/>
    <m/>
    <x v="0"/>
  </r>
  <r>
    <x v="0"/>
    <x v="0"/>
    <x v="5"/>
    <n v="4000"/>
    <s v="n/d"/>
    <s v="D3"/>
    <s v="WB27.BP.PF"/>
    <s v="MC"/>
    <s v="4"/>
    <s v="0"/>
    <s v="2025.22.01.01.01."/>
    <s v="2025.22.01."/>
    <s v="usługi związane z wydaniem oraz użytkowaniem kart umożliwiających wjazd na parking podziemny wynajmowany w ramach realizacji Umowy "/>
    <s v="Usługi związane z wydaniem oraz użytkowaniem kart umożliwiających wjazd na parking podziemny wynajmowany w ramach realizacji Umowy "/>
    <m/>
    <m/>
    <n v="1"/>
    <n v="1"/>
    <n v="1"/>
    <n v="1"/>
    <s v="wniosek 18/BA/24"/>
    <s v="-"/>
    <s v="-"/>
    <s v="Na 2026 rok zaangażowano środki w kwocie 300 zł, na 2027 - 500 zł"/>
    <x v="0"/>
  </r>
  <r>
    <x v="0"/>
    <x v="0"/>
    <x v="5"/>
    <n v="4480"/>
    <s v="n/d"/>
    <s v="D3"/>
    <s v="WB27.BP.PF"/>
    <s v="MC"/>
    <s v="4"/>
    <s v="0"/>
    <s v="2025.22.01.01.01."/>
    <s v="2025.22.01."/>
    <s v="podatek od nieruchomości - utrzymanie budynku"/>
    <s v="ustawowo nakazana płatność w ratach comiesięcznych, (podatek od nieruchomości)"/>
    <n v="130"/>
    <m/>
    <n v="135"/>
    <n v="135"/>
    <n v="135"/>
    <n v="135"/>
    <s v="-"/>
    <s v="-"/>
    <s v="-"/>
    <s v="urząd m.st. Warszawa"/>
    <x v="0"/>
  </r>
  <r>
    <x v="0"/>
    <x v="0"/>
    <x v="5"/>
    <n v="4480"/>
    <s v="n/d"/>
    <s v="D3"/>
    <s v="WB27.BP.PF"/>
    <s v="MC"/>
    <s v="4"/>
    <s v="0"/>
    <s v="2025.22.01.01.01."/>
    <s v="2025.22.01."/>
    <s v="umowa dzierżawna ZTP - utrzymanie budynku"/>
    <s v="dzierżawa terenu pod termomodernizację budynku (umowa dzierżawna)"/>
    <m/>
    <m/>
    <n v="1"/>
    <n v="0"/>
    <n v="0"/>
    <n v="1"/>
    <s v="-"/>
    <s v="-"/>
    <s v="-"/>
    <s v="dzierżawa od 23.12.2023 do 22.12.2026 (płatność jednorazowa z góry 127 zł). Obecna umowa ZT/SR/D/117/2023 (Zarząd Terenów Publicznych)"/>
    <x v="0"/>
  </r>
  <r>
    <x v="0"/>
    <x v="0"/>
    <x v="5"/>
    <n v="4480"/>
    <s v="n/d"/>
    <s v="D3"/>
    <s v="WB27.BP.PF"/>
    <s v="MC"/>
    <s v="4"/>
    <s v="0"/>
    <s v="2025.22.01.01.01."/>
    <s v="2025.22.01."/>
    <s v="umowa dzierżawna ZDM - utrzymanie budynku"/>
    <s v="1. zajęcie pasa drogowego w celu umieszczenia w nim nadwieszenia w postaci warstwy ocieplenia budynku - złożenie nowego wniosku do ZDM -  listopad 2026 r. (decyzja o zajęcie pasa drogowego),_x000a_2. zajęcie pasa drogowego na obiekt służący obsłudze komunikacyjnej nieruchomości (decyzja o zajęcie pasa drogowego)"/>
    <m/>
    <m/>
    <n v="3"/>
    <n v="94"/>
    <n v="3"/>
    <n v="3"/>
    <s v="-"/>
    <s v="-"/>
    <s v="-"/>
    <s v="Ad. 1. obecna decyzja ZDM/GPD/I/1A/P/618/2024 obowiązuje do 03.12.2024 do 03.12.2026 (rata płatna jednorazowo za 2 lata z góry, więc następna płatność w 12.2026) (Zarząd Dróg Miejskich)"/>
    <x v="0"/>
  </r>
  <r>
    <x v="0"/>
    <x v="0"/>
    <x v="5"/>
    <n v="4000"/>
    <s v="n/d"/>
    <s v="D3"/>
    <s v="WB27.BP.PF"/>
    <s v="MC"/>
    <s v="4"/>
    <s v="0"/>
    <s v="2025.22.01.01.01."/>
    <s v="2025.22.01."/>
    <s v="odbiór odpadów komunalnych"/>
    <s v="Odbiór odpadów komunalnych z budynku przy ul. Królewskiej 27."/>
    <n v="42"/>
    <m/>
    <n v="70"/>
    <n v="70"/>
    <n v="70"/>
    <n v="70"/>
    <s v="-"/>
    <s v="-"/>
    <s v="-"/>
    <s v="obecna umowa zawarta na 18 miesięcy na ok 64 tys. umowa obowiązuje do 31.12.2025 r."/>
    <x v="0"/>
  </r>
  <r>
    <x v="0"/>
    <x v="0"/>
    <x v="5"/>
    <n v="4000"/>
    <s v="n/d"/>
    <s v="D3"/>
    <s v="WB27.BP.PF"/>
    <s v="MC"/>
    <s v="4"/>
    <s v="0"/>
    <s v="2025.22.01.01.01."/>
    <s v="2025.22.01."/>
    <s v="odprowadzanie ścieków"/>
    <s v="Umowa MPWiK podpisana dnia 14 grudnia 2022 r. Okres obowiązywania umowy: 01.01.2023 do 31.12.2025 lub do wyczerpania środków"/>
    <n v="11"/>
    <m/>
    <n v="15"/>
    <n v="18"/>
    <n v="18"/>
    <n v="20"/>
    <s v="-"/>
    <s v="-"/>
    <s v="-"/>
    <s v="Aktualna umowa &lt; 130 000 PLN obowiązuje do 31/12/2025 r. Planowane jest podpisanie aneksu do umowy. Dzisiejsze wykorzystanie zaangażowanych środków pod umowę na poziomie 47,89 %."/>
    <x v="0"/>
  </r>
  <r>
    <x v="0"/>
    <x v="0"/>
    <x v="5"/>
    <n v="4000"/>
    <s v="n/d"/>
    <s v="D3"/>
    <s v="WB27.BP.PF"/>
    <s v="MC"/>
    <s v="4"/>
    <s v="0"/>
    <s v="2025.22.01.01.01."/>
    <s v="2025.22.01."/>
    <s v="dostarczanie wody do budynku"/>
    <s v="Dostarczanie wody do budynku"/>
    <n v="20"/>
    <m/>
    <n v="35"/>
    <n v="37"/>
    <n v="37"/>
    <n v="40"/>
    <s v="-"/>
    <s v="-"/>
    <s v="-"/>
    <s v="Aktualna umowa &lt; 130 000 PLN obowiązuje do 31/12/2025 r. Planowane jest podpisanie aneksu do umowy. Dzisiejsze wykorzystanie zaangażowanych środków pod umowę na poziomie 47,89 %."/>
    <x v="0"/>
  </r>
  <r>
    <x v="0"/>
    <x v="0"/>
    <x v="5"/>
    <n v="4000"/>
    <s v="n/d"/>
    <s v="D3"/>
    <s v="WB27.BP.PF"/>
    <s v="MC"/>
    <s v="4"/>
    <s v="0"/>
    <s v="2025.22.01.01.01."/>
    <s v="2025.22.01."/>
    <s v="przesył/dystrybucja i dostawa energii cieplnej"/>
    <s v="Przesył/dystrybucja i dostawa energii cieplnej"/>
    <n v="502"/>
    <m/>
    <n v="700"/>
    <n v="502"/>
    <n v="550"/>
    <n v="550"/>
    <s v="umowa 202/C/BA/23; 3-08059_x000a_zawarta do dnia 2028.01.23"/>
    <s v="Veolia Energia Warszawa SA"/>
    <s v="-"/>
    <s v="Na 2026 rok zaangażowano środki w kwocie 502.000 zł, na 2027 rok - 252.069,51 zł_x000a__x000a_Aktualna umowa &gt; 130 000 PLN obowiązuje do 31/12/2027 r. Planowane przeprowadzenie postępowania w 2027 r. dotyczące nowej umowy na 2028-2031 lub podpisanie aneksu do umowy na kolejny rok czyli do 31.12.2028 r. Dzisiejsze wykorzystanie zaangażowanych środków pod umowę na poziomie 20,57 %._x000a_Kwota zaangażowania na 2026 wynosi 502 natomiast biorąc pod uwagę dotychczasowe wydatkowanie jest duże prawdopodobieństwo, że będziemy mieli oszczędność i niezbędne będzie przeniesienie środków z 2025 na 2026 r. w związku z tym kwota na ten rok została zwiększona do 700"/>
    <x v="0"/>
  </r>
  <r>
    <x v="0"/>
    <x v="0"/>
    <x v="5"/>
    <n v="4000"/>
    <s v="n/d"/>
    <s v="D3"/>
    <s v="WB27.BP.PF"/>
    <s v="MC"/>
    <s v="4"/>
    <s v="0"/>
    <s v="2025.22.01.01.01."/>
    <s v="2025.22.01."/>
    <s v="dostawa energii elektrycznej"/>
    <s v="Umowa nr WIP.261.1.2024.WW.MC z dn. 13.09.2024 r. wchodzi w życie z dniem 01.01.2025 r. do 31.12.2026 r. lub do wyczerpania środków. W roku 2026 rozpocznie się postępowanie prowadzone przez COAR - MC przystąp do procedury (dostawa energii elektrycznej)"/>
    <n v="2250"/>
    <m/>
    <n v="3500"/>
    <n v="2500"/>
    <n v="2500"/>
    <n v="3000"/>
    <s v="umowa WIP.261.1.2024.WW.MC_x000a_zawarta do dnia 2026.11.30_x000a_"/>
    <s v="PGE Obrót S.A._x000a_"/>
    <s v="-"/>
    <s v="zaangażowano środki w kwocie 2.244.996 zł_x000a__x000a_Aktualna umowa &gt; 130 000 PLN obowiązuje do 31/12/2026 r. Planowane przeprowadzenie postępowania w 2026 r. dotyczące nowej umowy na 2027-2028 (przystąpienie do przetargu organizowanego przez COAR). Dzisiejsze wykorzystanie zaangażowanych środków pod umowę na poziomie 2,14 %._x000a_Kwota zaangażowania na 2026 wynosi 502 natomiast biorąc pod uwagę dotychczasowe wydatkowanie jest duże prawdopodobieństwo, że będziemy mieli oszczędność i niezbędne będzie przeniesienie środków z 2025 na 2026 r.  w związku z tym kwota na ten rok została zwiększona z 2500 na 3500"/>
    <x v="0"/>
  </r>
  <r>
    <x v="0"/>
    <x v="0"/>
    <x v="5"/>
    <n v="4000"/>
    <s v="n/d"/>
    <s v="D3"/>
    <s v="WB27.BP.PF"/>
    <s v="MC"/>
    <s v="4"/>
    <s v="0"/>
    <s v="2025.22.01.01.01."/>
    <s v="2025.22.01."/>
    <s v="dystrybucja energii elektrycznej"/>
    <s v="Umowa została podpisana dnia 31 stycznia 2022 r. Okres obowiązywania umowy: 01.01.2022 na czas nieokreślony lub do wyczerpania środków. Prawdopodobnie w 2026 należy wszcząć procedurę przetargową, (dystrybucja energii elektrycznej)"/>
    <n v="435"/>
    <m/>
    <n v="1000"/>
    <n v="650"/>
    <n v="700"/>
    <n v="700"/>
    <s v="-"/>
    <s v="-"/>
    <s v="-"/>
    <s v="Aktualna umowa &gt; 130 000 PLN obowiązuje do wyczerpania środków przeznaczonych na realizację Umowy. Planowane przeprowadzenie postępowania w 2026 r. dotyczące nowej umowy.  Dzisiejsze wykorzystanie zaangażowanych środków pod umowę na poziomie 59,33 %._x000a_Biorąc pod uwagę dotychczasowe wydatkowanie jest duże prawdopodobieństwo, że będziemy mieli oszczędność i niezbędne będzie przeniesienie środków z 2025 na 2026 r.  w związku z tym kwota na ten rok została zwiększona z 600 na 1000"/>
    <x v="0"/>
  </r>
  <r>
    <x v="0"/>
    <x v="0"/>
    <x v="5"/>
    <n v="4000"/>
    <s v="n/d"/>
    <s v="D3"/>
    <s v="WB27.BP.PF"/>
    <s v="MC"/>
    <s v="4"/>
    <s v="0"/>
    <s v="2025.22.01.01.01."/>
    <s v="2025.22.01."/>
    <s v="usługa utrzymania czystości_x000a_"/>
    <s v="Usługa utrzymania czystości w budynku i wokół budynku w roku 2024 (usługa sprzątania i dostawy art. higienicznych)_x000a_planowana nowa procedura przetargowa w lipcu 2025 r."/>
    <n v="1033"/>
    <m/>
    <n v="1700"/>
    <n v="1700"/>
    <n v="1785"/>
    <n v="1800"/>
    <s v="umowa 343/BA/24_x000a_zawarta do dnia 2026.02.28"/>
    <s v="DGP Clean Partner Sp. z o.o."/>
    <s v="-"/>
    <s v="zaangażowano środki w kwocie 170.000 zł_x000a__x000a_planowane nowe  postępowanie III/IV 2025. Obecna umowa obowiązuje do końca 02.2026 (ok 300 tys. na 2026). _x000a_1.200 tys. na nowe postępowanie - umowa od 03.2026"/>
    <x v="0"/>
  </r>
  <r>
    <x v="0"/>
    <x v="0"/>
    <x v="5"/>
    <n v="4000"/>
    <s v="n/d"/>
    <s v="D3"/>
    <s v="WB27.BP.PF"/>
    <s v="MC"/>
    <s v="4"/>
    <s v="0"/>
    <s v="2025.22.01.01.01."/>
    <s v="2025.22.01."/>
    <s v="dostawa art. biurowych"/>
    <s v="Sukcesywna dostawa art. biurowych na potrzeby MC (zakup art. biurowych) MC zgłosiło udział w postępowaniu prowadzonym przez COAR - prawdopodobne rozstrzygnięcie pod koniec 2025 r."/>
    <n v="48"/>
    <m/>
    <n v="62"/>
    <n v="62"/>
    <n v="62"/>
    <n v="62"/>
    <s v="wniosek 7/BA/25"/>
    <s v="-"/>
    <s v="-"/>
    <s v="środki zaangażowano w kwocie 61.500 zł"/>
    <x v="0"/>
  </r>
  <r>
    <x v="0"/>
    <x v="0"/>
    <x v="5"/>
    <n v="4000"/>
    <s v="n/d"/>
    <s v="D3"/>
    <s v="WB27.BP.PF"/>
    <s v="MC"/>
    <s v="4"/>
    <s v="0"/>
    <s v="2025.22.01.01.01."/>
    <s v="2025.22.01."/>
    <s v="awaryjna dostawa art. biurowych - poza COAR "/>
    <s v="Awaryjna dostawa art. biurowych na potrzeby MC (zakup art. biurowych) - nieujętych w postępowaniu COAR"/>
    <m/>
    <m/>
    <n v="25"/>
    <n v="25"/>
    <n v="25"/>
    <n v="25"/>
    <s v="-"/>
    <s v="-"/>
    <s v="-"/>
    <s v="poza COAR - zakup i dostawa art. biurowych  - nie ujętych w postępowaniu COAR lub w przypadku opóźnienia podpisania umowy procedowanej przez COAR lub nie rozstrzygnięcia postępowania przez COAR"/>
    <x v="0"/>
  </r>
  <r>
    <x v="0"/>
    <x v="0"/>
    <x v="5"/>
    <n v="4000"/>
    <s v="n/d"/>
    <s v="D3"/>
    <s v="WB27.BP.PF"/>
    <s v="MC"/>
    <s v="4"/>
    <s v="0"/>
    <s v="2025.22.01.01.01."/>
    <s v="2025.22.01."/>
    <s v="usługa poligraficzna np. wykonanie wizytówek, pieczątek"/>
    <s v="Usługa poligraficzna np. wykonanie wizytówek, pieczątek"/>
    <n v="150"/>
    <m/>
    <n v="50"/>
    <n v="50"/>
    <n v="50"/>
    <n v="50"/>
    <s v="-"/>
    <s v="-"/>
    <s v="-"/>
    <s v="planowane podpisanie umowy na 2 lata na usługę poligraficzna np. wykonanie wizytówek, pieczątek"/>
    <x v="0"/>
  </r>
  <r>
    <x v="0"/>
    <x v="0"/>
    <x v="5"/>
    <n v="4000"/>
    <s v="n/d"/>
    <s v="D3"/>
    <s v="WB27.BP.PF"/>
    <s v="MC"/>
    <s v="4"/>
    <s v="0"/>
    <s v="2025.22.01.01.01."/>
    <s v="2025.22.01."/>
    <s v="usługa poligraficzna - kalendarze"/>
    <s v="Usługa poligraficzna - kalendarze książkowe i ścienne"/>
    <m/>
    <m/>
    <n v="62"/>
    <n v="62"/>
    <n v="62"/>
    <n v="62"/>
    <s v="-"/>
    <s v="-"/>
    <s v="-"/>
    <s v="umowa lub wniosek (zależnie od potrzeb na kalendarze oraz decyzji kierownictwa na kalendarze książkowe czy ścienne)"/>
    <x v="0"/>
  </r>
  <r>
    <x v="0"/>
    <x v="0"/>
    <x v="5"/>
    <n v="4000"/>
    <s v="n/d"/>
    <s v="D3"/>
    <s v="WB27.BP.PF"/>
    <s v="MC"/>
    <s v="4"/>
    <s v="0"/>
    <s v="2025.22.01.01.01."/>
    <s v="2025.22.01."/>
    <s v="usługa poligraficzna _x000a_np. wykonanie teczek z nadrukiem i in poligraficznych z logotypem MC"/>
    <s v="Usługa poligraficzna np. wykonanie teczek z nadrukiem i inne usługi poligraficzne z logotypem MC"/>
    <m/>
    <m/>
    <n v="25"/>
    <n v="25"/>
    <n v="25"/>
    <n v="25"/>
    <s v="-"/>
    <s v="-"/>
    <s v="-"/>
    <m/>
    <x v="0"/>
  </r>
  <r>
    <x v="0"/>
    <x v="0"/>
    <x v="5"/>
    <n v="4000"/>
    <s v="n/d"/>
    <s v="D3"/>
    <s v="WB27.BP.PF"/>
    <s v="MC"/>
    <s v="4"/>
    <s v="0"/>
    <s v="2025.22.01.01.01."/>
    <s v="2025.22.01."/>
    <s v="opłaty za przeprowadzenie postępowania COAR "/>
    <s v="Opłaty za przeprowadzenie postępowania COAR (papier, art. biurowe, en. elekt.)"/>
    <m/>
    <m/>
    <n v="40"/>
    <n v="23"/>
    <n v="40"/>
    <n v="0"/>
    <s v="wniosek 82/BA/25 _x000a_wniosek 84/BA/25"/>
    <s v="-"/>
    <s v="-"/>
    <s v="na 2027 rok zaangażowano środki w kwocie 22.212,40 zł+520,80 zł_x000a_opłaty % od wartości umów procedowanych w postępowaniach COAR"/>
    <x v="0"/>
  </r>
  <r>
    <x v="0"/>
    <x v="0"/>
    <x v="5"/>
    <n v="4000"/>
    <s v="n/d"/>
    <s v="D3"/>
    <s v="WB27.BP.PF"/>
    <s v="MC"/>
    <s v="4"/>
    <s v="0"/>
    <s v="2025.22.01.01.01."/>
    <s v="2025.22.01."/>
    <s v="dostęp do serwisu  Polityka Insight Premium"/>
    <s v="Dostęp do serwisu elektronicznego, umowa nr 97/BA/24 zawarta w dniu 18.04.2024, (dostęp do serwisu Polityka Insight); umowa aneksowana do 04.2026"/>
    <n v="25"/>
    <m/>
    <n v="25"/>
    <n v="25"/>
    <n v="25"/>
    <n v="25"/>
    <s v="umowa 97/BA/24_x000a_zawarta do dnia 2026.04.18"/>
    <s v="Polityka Insight Sp. z o.o."/>
    <s v="-"/>
    <s v="zaangażowano środki w kwocie 8.341,50 zł"/>
    <x v="0"/>
  </r>
  <r>
    <x v="0"/>
    <x v="0"/>
    <x v="5"/>
    <n v="4000"/>
    <s v="n/d"/>
    <s v="D3"/>
    <s v="WB27.BP.PF"/>
    <s v="MC"/>
    <s v="4"/>
    <s v="0"/>
    <s v="2025.22.01.01.01."/>
    <s v="2025.22.01."/>
    <s v="dostawa papieru"/>
    <s v="Papier kserograficzny, różna gramatura dla potrzeb komórek organizacyjnych MC - postępowanie COAR"/>
    <n v="30"/>
    <m/>
    <n v="50"/>
    <n v="50"/>
    <n v="50"/>
    <n v="50"/>
    <s v="umowa WIP.261.6.2024.JA/MC_x000a_255/BA/24_x000a_zawarta do dnia 2026.10.24"/>
    <s v="Konsorcjum Biuro Klub Sp. Z o.o."/>
    <s v="-"/>
    <s v="zaangażowano środki w kwocie 3.916,83 zł_x000a__x000a_obecnie realizowana jest umowa COAR. W 2026 planujemy przystąpić do kolejnego postępowania COAR"/>
    <x v="0"/>
  </r>
  <r>
    <x v="0"/>
    <x v="0"/>
    <x v="5"/>
    <n v="4000"/>
    <s v="n/d"/>
    <s v="D3"/>
    <s v="WB27.BP.PF"/>
    <s v="MC"/>
    <s v="4"/>
    <s v="0"/>
    <s v="2025.22.01.01.01."/>
    <s v="2025.22.01."/>
    <s v="usługi i zakupy WG związane z bieżącymi potrzebami na bieżącą działalność MC"/>
    <s v="Usługi i zakupy WG związane z bieżącą potrzebą, na bieżącą działalność MC"/>
    <n v="190"/>
    <m/>
    <n v="50"/>
    <n v="50"/>
    <n v="50"/>
    <n v="50"/>
    <s v="-"/>
    <s v="-"/>
    <s v="-"/>
    <m/>
    <x v="0"/>
  </r>
  <r>
    <x v="0"/>
    <x v="0"/>
    <x v="5"/>
    <n v="4000"/>
    <s v="n/d"/>
    <s v="D3"/>
    <s v="WB27.BP.PF"/>
    <s v="MC"/>
    <s v="4"/>
    <s v="0"/>
    <s v="2025.22.01.01.01."/>
    <s v="2025.22.01."/>
    <s v="art. ogrodnicze_x000a_"/>
    <s v="Usługi i zakupy - art. ogrodnicze"/>
    <m/>
    <m/>
    <n v="15"/>
    <n v="15"/>
    <n v="15"/>
    <n v="15"/>
    <s v="-"/>
    <s v="-"/>
    <s v="-"/>
    <m/>
    <x v="0"/>
  </r>
  <r>
    <x v="0"/>
    <x v="0"/>
    <x v="5"/>
    <n v="4000"/>
    <s v="n/d"/>
    <s v="D3"/>
    <s v="WB27.BP.PF"/>
    <s v="MC"/>
    <s v="4"/>
    <s v="0"/>
    <s v="2025.22.01.01.01."/>
    <s v="2025.22.01."/>
    <s v="art. propagandowe"/>
    <s v="Art. propagandowe"/>
    <m/>
    <m/>
    <n v="15"/>
    <n v="15"/>
    <n v="20"/>
    <n v="20"/>
    <s v="-"/>
    <s v="-"/>
    <s v="-"/>
    <m/>
    <x v="0"/>
  </r>
  <r>
    <x v="0"/>
    <x v="0"/>
    <x v="5"/>
    <n v="4000"/>
    <s v="n/d"/>
    <s v="D3"/>
    <s v="WB27.BP.PF"/>
    <s v="MC"/>
    <s v="4"/>
    <s v="0"/>
    <s v="2025.22.01.01.01."/>
    <s v="2025.22.01."/>
    <s v="zakup naczyń i art. gosp. domowego"/>
    <s v="Zakup naczyń i art. gosp. domowego"/>
    <m/>
    <m/>
    <n v="20"/>
    <n v="20"/>
    <n v="20"/>
    <n v="20"/>
    <s v="-"/>
    <s v="-"/>
    <s v="-"/>
    <m/>
    <x v="0"/>
  </r>
  <r>
    <x v="0"/>
    <x v="0"/>
    <x v="5"/>
    <n v="4000"/>
    <s v="n/d"/>
    <s v="D3"/>
    <s v="WB27.BP.PF"/>
    <s v="MC"/>
    <s v="4"/>
    <s v="0"/>
    <s v="2025.22.01.01.01."/>
    <s v="2025.22.01."/>
    <s v="zakup art. dekoracyjnych"/>
    <s v="Zakup art. dekoracyjnych (lustra, ramy, obrazy, itp.)"/>
    <m/>
    <m/>
    <n v="25"/>
    <n v="25"/>
    <n v="30"/>
    <n v="30"/>
    <s v="-"/>
    <s v="-"/>
    <s v="-"/>
    <m/>
    <x v="0"/>
  </r>
  <r>
    <x v="0"/>
    <x v="0"/>
    <x v="5"/>
    <n v="4000"/>
    <s v="n/d"/>
    <s v="D3"/>
    <s v="WB27.BP.PF"/>
    <s v="MC"/>
    <s v="4"/>
    <s v="0"/>
    <s v="2025.22.01.01.01."/>
    <s v="2025.22.01."/>
    <s v="zakup zasłon, rolet, żaluzji"/>
    <s v="Zakup zasłon, rolet, żaluzji"/>
    <m/>
    <m/>
    <n v="30"/>
    <n v="30"/>
    <n v="30"/>
    <n v="30"/>
    <s v="-"/>
    <s v="-"/>
    <s v="-"/>
    <m/>
    <x v="0"/>
  </r>
  <r>
    <x v="0"/>
    <x v="0"/>
    <x v="5"/>
    <n v="4000"/>
    <s v="n/d"/>
    <s v="D3"/>
    <s v="WB27.BP.PF"/>
    <s v="MC"/>
    <s v="4"/>
    <s v="0"/>
    <s v="2025.22.01.01.01."/>
    <s v="2025.22.01."/>
    <s v="drobne wyposażenie biurowe, tablice flipchart, suchościeralne, korkowe, mapy, baterie, ekspresy do kawy itp."/>
    <s v="Drobne wyposażenie biurowe, tablice flipchart, suchościeralne, korkowe, mapy, baterie, ekspresy do kawy itp."/>
    <m/>
    <m/>
    <n v="50"/>
    <n v="50"/>
    <n v="50"/>
    <n v="50"/>
    <s v="-"/>
    <s v="-"/>
    <s v="-"/>
    <m/>
    <x v="0"/>
  </r>
  <r>
    <x v="0"/>
    <x v="0"/>
    <x v="5"/>
    <n v="4000"/>
    <s v="n/d"/>
    <s v="D3"/>
    <s v="WB27.BP.PF"/>
    <s v="MC"/>
    <s v="4"/>
    <s v="0"/>
    <s v="2025.22.01.01.01."/>
    <s v="2025.22.01."/>
    <s v="zakup art. chemicznych"/>
    <s v="Zakup art. chemicznych"/>
    <m/>
    <m/>
    <n v="15"/>
    <n v="15"/>
    <n v="20"/>
    <n v="20"/>
    <s v="-"/>
    <s v="-"/>
    <s v="-"/>
    <m/>
    <x v="0"/>
  </r>
  <r>
    <x v="0"/>
    <x v="0"/>
    <x v="5"/>
    <n v="4000"/>
    <s v="n/d"/>
    <s v="D3"/>
    <s v="WB27.BP.PF"/>
    <s v="MC"/>
    <s v="4"/>
    <s v="0"/>
    <s v="2025.22.01.01.01."/>
    <s v="2025.22.01."/>
    <s v="zakup wózków transportowych "/>
    <s v="Zakup wózków transportowych "/>
    <m/>
    <m/>
    <n v="15"/>
    <n v="5"/>
    <n v="5"/>
    <n v="5"/>
    <s v="-"/>
    <s v="-"/>
    <s v="-"/>
    <m/>
    <x v="0"/>
  </r>
  <r>
    <x v="0"/>
    <x v="0"/>
    <x v="5"/>
    <n v="4000"/>
    <s v="n/d"/>
    <s v="D3"/>
    <s v="WB27.BP.PF"/>
    <s v="MC"/>
    <s v="4"/>
    <s v="0"/>
    <s v="2025.22.01.01.01."/>
    <s v="2025.22.01."/>
    <s v="zakup art. konserwatorskich (do prac naprawczych i ślusarskich)"/>
    <s v="Zakup art. konserwatorskich (do prac naprawczych i ślusarskich w budynku MC "/>
    <m/>
    <m/>
    <n v="60"/>
    <n v="60"/>
    <n v="60"/>
    <n v="60"/>
    <s v="-"/>
    <s v="-"/>
    <s v="-"/>
    <m/>
    <x v="0"/>
  </r>
  <r>
    <x v="0"/>
    <x v="0"/>
    <x v="5"/>
    <n v="4000"/>
    <s v="n/d"/>
    <s v="D3"/>
    <s v="WB27.BP.PF"/>
    <s v="MC"/>
    <s v="4"/>
    <s v="0"/>
    <s v="2025.22.01.01.01."/>
    <s v="2025.22.01."/>
    <s v="zakup literatury fachowej, normy, druki itp."/>
    <s v="Zakup literatury fachowej, normy, druki itp."/>
    <m/>
    <m/>
    <n v="10"/>
    <n v="10"/>
    <n v="10"/>
    <n v="10"/>
    <s v="-"/>
    <s v="-"/>
    <s v="-"/>
    <m/>
    <x v="0"/>
  </r>
  <r>
    <x v="0"/>
    <x v="0"/>
    <x v="5"/>
    <n v="4270"/>
    <s v="n/d"/>
    <s v="D3"/>
    <s v="WB27.BP.PF"/>
    <s v="MC"/>
    <s v="4"/>
    <s v="0"/>
    <s v="2025.22.01.01.01."/>
    <s v="2025.22.01."/>
    <s v="naprawy, przeglądy, ekspertyzy i konserwacje serwis niszczarek, ekspresów, i in. sprzętu biurowego, RTV, AGD  "/>
    <s v="Naprawy, przeglądy, ekspertyzy i konserwacje serwis niszczarek, ekspresów, i in. sprzętu biurowego, RTV, AGD  "/>
    <m/>
    <m/>
    <n v="50"/>
    <n v="50"/>
    <n v="50"/>
    <n v="50"/>
    <s v="-"/>
    <s v="-"/>
    <s v="-"/>
    <m/>
    <x v="0"/>
  </r>
  <r>
    <x v="0"/>
    <x v="0"/>
    <x v="5"/>
    <n v="4000"/>
    <s v="n/d"/>
    <s v="D3"/>
    <s v="WB27.BP.PF"/>
    <s v="MC"/>
    <s v="4"/>
    <s v="0"/>
    <s v="2025.22.01.01.01."/>
    <s v="2025.22.01."/>
    <s v="bilety ZTM"/>
    <s v="Bilety na potrzeby pracowników MC przemieszczających się po Warszawie w sprawach służbowych (bilety ZTM)"/>
    <n v="6"/>
    <m/>
    <n v="3"/>
    <n v="3"/>
    <n v="4"/>
    <n v="4"/>
    <s v="-"/>
    <s v="-"/>
    <s v="-"/>
    <m/>
    <x v="0"/>
  </r>
  <r>
    <x v="0"/>
    <x v="0"/>
    <x v="5"/>
    <n v="4000"/>
    <s v="n/d"/>
    <s v="D3"/>
    <s v="WB27.BP.PF"/>
    <s v="MC"/>
    <s v="4"/>
    <s v="0"/>
    <s v="2025.22.01.01.01."/>
    <s v="2025.22.01."/>
    <s v="obsługa transportowa MC"/>
    <s v="Obsługa transportowa prowadzona przez COI na potrzeby MC (obsługa transportowa) "/>
    <n v="4786"/>
    <m/>
    <n v="4870"/>
    <n v="5000"/>
    <n v="5050"/>
    <n v="5080"/>
    <s v="umowa 96/BA/24_x000a_zawarta do dnia 2027.07.31"/>
    <s v="Centralny Ośrodek Informatyki"/>
    <s v="-"/>
    <s v="Na 2026 rok zaangażowano środki w kwocie 4.785.723,12 zł, na 2027 rok - 2.601.285,01 zł_x000a__x000a_Aktualna umowa obowiązuje do lipca 2027 roku. W 2027 flota samochodów będzie wymieniana co z uwagi na wzrost kosztów pojazdów (konieczność zapewnienia większej ilości elektryków) będzie skutkowało wzrostem kosztów najmu/leasingu) jednocześnie przewiduje się stały wzrost kosztów kierowców."/>
    <x v="0"/>
  </r>
  <r>
    <x v="0"/>
    <x v="0"/>
    <x v="5"/>
    <n v="4000"/>
    <s v="n/d"/>
    <s v="D3"/>
    <s v="WB27.BP.PF"/>
    <s v="MC"/>
    <s v="4"/>
    <s v="0"/>
    <s v="2025.22.01.01.01."/>
    <s v="2025.22.01."/>
    <s v="zakup usługi sygnału telewizji kablowej"/>
    <s v="Obecnie obowiązuje umowa nr 640/BI/21. Umowa na świadczenie usług TV zawarta porozumieniem w dniu 06-12-2023 (przeniesienie cesji z KPRM na MC), Aneksem nr 1 umowa przedłużona na 24 miesiące to jest do 10-2024. Aneksem nr 2 umowa przedłużona na kolejne 24 miesiące czyli do 19.09.2026 r. Procedurę na kolejną usługę w tym zakresie należy rozpocząć w maju 2026 r."/>
    <n v="25"/>
    <m/>
    <n v="30"/>
    <n v="30"/>
    <n v="30"/>
    <n v="30"/>
    <s v="umowa 640/BI/21_x000a_zawarta do dnia 2026.09.20"/>
    <s v="P4 Sp. z o.o."/>
    <s v="-"/>
    <s v="zaangażowano środki w kwocie 15.613,60 zł_x000a__x000a_Aktualna umowa &lt; 130 000 PLN obowiązuje do 19.09.2026 r. Planowane jest przeprowadzenie postępowania w maju 2026 r. Dzisiejsze wykorzystanie zaangażowanych środków pod umowę na poziomie 50,41 %. Nowa umowa od 20.09.2026 konieczne doangażowanie środków"/>
    <x v="0"/>
  </r>
  <r>
    <x v="0"/>
    <x v="0"/>
    <x v="5"/>
    <n v="4000"/>
    <s v="n/d"/>
    <s v="D3"/>
    <s v="WB27.BP.PF"/>
    <s v="MC"/>
    <s v="4"/>
    <s v="0"/>
    <s v="2025.22.01.01.01."/>
    <s v="2025.22.01."/>
    <s v=" usługi przemieszczania wyposażenia oraz usług transportowych wykonywanych w związku z przewozem wyposażenia"/>
    <s v="Sukcesywne świadczenie usług polegających na przemieszczaniu wyposażenia oraz usług transportowych wykonywanych w związku z przewozem wyposażenia"/>
    <n v="40"/>
    <m/>
    <n v="50"/>
    <n v="60"/>
    <n v="70"/>
    <n v="80"/>
    <s v="umowa 502/BA/25 zawarta do dnia 2026.04.21"/>
    <s v="firma Japa&amp;Co Dariusz Jakubowski "/>
    <m/>
    <s v="zaangażowano środki w kwocie 3.280 zł"/>
    <x v="0"/>
  </r>
  <r>
    <x v="0"/>
    <x v="0"/>
    <x v="5"/>
    <n v="4000"/>
    <s v="n/d"/>
    <s v="D3"/>
    <s v="WB27.BP.PF"/>
    <s v="MC"/>
    <s v="4"/>
    <s v="0"/>
    <s v="2025.22.01.01.01."/>
    <s v="2025.22.01."/>
    <s v="zakup mebli i foteli pracowniczych (sprzęt)"/>
    <s v="Zakup mebli i foteli pracowniczych (zakup składników majątkowych)"/>
    <n v="70"/>
    <m/>
    <n v="88"/>
    <n v="127"/>
    <n v="106"/>
    <n v="115"/>
    <s v="-"/>
    <s v="-"/>
    <s v="-"/>
    <s v="oprócz umów realizacja na podstawie pojedynczych zamówień wg potrzeb"/>
    <x v="0"/>
  </r>
  <r>
    <x v="0"/>
    <x v="0"/>
    <x v="5"/>
    <n v="4000"/>
    <s v="n/d"/>
    <s v="D3"/>
    <s v="WB27.BP.PF"/>
    <s v="MC"/>
    <s v="4"/>
    <s v="0"/>
    <s v="2025.22.01.01.01."/>
    <s v="2025.22.01."/>
    <s v="zakup mebli i foteli pracowniczych (dostawa)"/>
    <s v="Zakup mebli i foteli pracowniczych (koszty dostawy)"/>
    <n v="8"/>
    <m/>
    <n v="2"/>
    <n v="3"/>
    <n v="4"/>
    <n v="5"/>
    <s v="-"/>
    <s v="-"/>
    <s v="-"/>
    <s v="oprócz umów realizacja na podstawie pojedynczych zamówień wg potrzeb"/>
    <x v="0"/>
  </r>
  <r>
    <x v="0"/>
    <x v="0"/>
    <x v="5"/>
    <n v="4000"/>
    <s v="n/d"/>
    <s v="D3"/>
    <s v="WB27.BP.PF"/>
    <s v="MC"/>
    <s v="4"/>
    <s v="0"/>
    <s v="2025.22.01.01.01."/>
    <s v="2025.22.01."/>
    <s v="zakup sprzętu i wyposażenia biurowego, RTV, AGD"/>
    <s v="Zakup sprzętu i wyposażenia biurowego, RTV, AGD, np. niszczarek, lamki, lodówek, ekspresów do kawy, kuchenek mikrofalowych, czajników (zakup składników majątkowych i wyposażenia) "/>
    <n v="32"/>
    <m/>
    <n v="20"/>
    <n v="22"/>
    <n v="24"/>
    <n v="26"/>
    <s v="-"/>
    <s v="-"/>
    <s v="-"/>
    <s v="zamówienia wg potrzeb"/>
    <x v="0"/>
  </r>
  <r>
    <x v="0"/>
    <x v="0"/>
    <x v="5"/>
    <n v="4000"/>
    <s v="n/d"/>
    <s v="D3"/>
    <s v="WB27.BP.PF"/>
    <s v="MC"/>
    <s v="4"/>
    <s v="0"/>
    <s v="2025.22.01.01.01."/>
    <s v="2025.22.01."/>
    <s v="renowacja i konserwacja mebli i wyposażenia"/>
    <s v="Renowacja i konserwacja mebli i wyposażenia (drewnianego, metalowego) "/>
    <n v="2"/>
    <m/>
    <n v="5"/>
    <n v="7"/>
    <n v="9"/>
    <n v="11"/>
    <s v="-"/>
    <s v="-"/>
    <s v="-"/>
    <m/>
    <x v="0"/>
  </r>
  <r>
    <x v="0"/>
    <x v="0"/>
    <x v="5"/>
    <n v="4430"/>
    <s v="n/d"/>
    <s v="D3"/>
    <s v="WB27.BP.PF"/>
    <s v="MC"/>
    <s v="4"/>
    <s v="0"/>
    <s v="2025.22.01.01.01."/>
    <s v="2025.22.01."/>
    <s v="ubezpieczenie majątku"/>
    <s v="Ubezpieczenie majątku Ministerstwa (zwiększenie w związku z nabyciem majątku - inwestycje budowlane, zakupy IT)"/>
    <n v="230"/>
    <m/>
    <n v="330"/>
    <n v="350"/>
    <n v="370"/>
    <n v="390"/>
    <s v="umowa 2023/04_x000a_zawarta do dnia 2027.01.01._x000a_"/>
    <s v="Zamówienie centralne COAR, umowa zawarta z konsorcjum PZU S.A. oraz TUiR Warta S.A."/>
    <s v="-"/>
    <s v="zaangażowano środki w kwocie 329.883,86 zł"/>
    <x v="0"/>
  </r>
  <r>
    <x v="0"/>
    <x v="0"/>
    <x v="5"/>
    <n v="4000"/>
    <s v="n/d"/>
    <s v="D3"/>
    <s v="WB27.BP.PF"/>
    <s v="MC"/>
    <s v="4"/>
    <s v="0"/>
    <s v="2025.22.01.01.01."/>
    <s v="2025.22.01."/>
    <s v="usługa odbioru i utylizacji odpadów"/>
    <s v="Usługa odbioru i utylizacji odpadów MC "/>
    <n v="90"/>
    <m/>
    <n v="70"/>
    <n v="80"/>
    <n v="90"/>
    <n v="100"/>
    <s v="-"/>
    <s v="-"/>
    <s v="-"/>
    <s v="W II-III kw. 2025 r. ruszy procedura zawarcia umowy na odpady na kolejny rok"/>
    <x v="0"/>
  </r>
  <r>
    <x v="0"/>
    <x v="0"/>
    <x v="5"/>
    <n v="4000"/>
    <s v="n/d"/>
    <s v="D3"/>
    <s v="WB27.BP.PF"/>
    <s v="MC"/>
    <s v="4"/>
    <s v="0"/>
    <s v="2025.22.01.01.01."/>
    <s v="2025.22.01."/>
    <s v="zakup oprogramowania"/>
    <s v="Zakup oprogramowania biurowego, antywirusowego, graficznego na potrzeby pracowników MC"/>
    <m/>
    <m/>
    <n v="31"/>
    <n v="35"/>
    <n v="40"/>
    <n v="45"/>
    <s v="wniosek 85/BA/25"/>
    <s v="-"/>
    <s v="-"/>
    <s v="zaangażowano środki w kwocie 30.400 zł_x000a_trwa postępowanie COAR - umowa ramowa na 24 mies."/>
    <x v="0"/>
  </r>
  <r>
    <x v="0"/>
    <x v="0"/>
    <x v="5"/>
    <n v="4000"/>
    <s v="n/d"/>
    <s v="D3"/>
    <s v="WB27.BP.PF"/>
    <s v="MC"/>
    <s v="4"/>
    <s v="0"/>
    <s v="2025.22.01.01.01."/>
    <s v="2025.22.01."/>
    <s v="zakup urządzeń biurowych"/>
    <s v="Zakup urządzeń wielofunkcyjnych, biurowych, drukarek, skanerów na potrzeby pracowników MC"/>
    <m/>
    <m/>
    <n v="19"/>
    <n v="25"/>
    <n v="30"/>
    <n v="35"/>
    <s v="wniosek 83/BA/25"/>
    <s v="-"/>
    <s v="-"/>
    <s v="Na 2026 rok zaangażowano środki w kwocie 18.600 zł, na 2027 rok - 18.600 zł_x000a_trwa postępowanie COAR - umowa ramowa na 24 mies."/>
    <x v="0"/>
  </r>
  <r>
    <x v="0"/>
    <x v="0"/>
    <x v="5"/>
    <n v="4000"/>
    <s v="n/d"/>
    <s v="D3"/>
    <s v="WB27.BP.PF"/>
    <s v="MC"/>
    <s v="4"/>
    <s v="0"/>
    <s v="2025.22.01.01.01."/>
    <s v="2025.22.01."/>
    <s v="system Centralnego Wydruku"/>
    <s v="Zapewnienie pracownikom MC dostępu do Systemu Centralnego Wydruku"/>
    <n v="170"/>
    <m/>
    <n v="200"/>
    <n v="200"/>
    <n v="200"/>
    <n v="200"/>
    <s v="wniosek 193/BA/25"/>
    <s v="-"/>
    <s v="-"/>
    <s v="Na 2026 rok zaangażowano środki w kwocie 200.000 zł, na 2027 rok - 100.000 zł"/>
    <x v="0"/>
  </r>
  <r>
    <x v="0"/>
    <x v="0"/>
    <x v="5"/>
    <n v="4000"/>
    <s v="n/d"/>
    <s v="D3"/>
    <s v="WB27.BP.PF"/>
    <s v="MC"/>
    <s v="4"/>
    <s v="0"/>
    <s v="2025.22.01.01.01."/>
    <s v="2025.22.01."/>
    <s v="łącze internetowe - internet symetryczny"/>
    <s v="Zapewnienie dostępu do Internetu i usług świadczonych z wykorzystaniem sieci publicznej."/>
    <m/>
    <m/>
    <n v="10"/>
    <n v="10"/>
    <n v="10"/>
    <n v="10"/>
    <s v="-"/>
    <s v="-"/>
    <s v="-"/>
    <m/>
    <x v="0"/>
  </r>
  <r>
    <x v="0"/>
    <x v="0"/>
    <x v="5"/>
    <n v="4000"/>
    <s v="n/d"/>
    <s v="D3"/>
    <s v="WB27.BP.PF"/>
    <s v="MC"/>
    <s v="4"/>
    <s v="0"/>
    <s v="2025.22.01.01.01."/>
    <s v="2025.22.01."/>
    <s v="łącze internetowe - światłowód"/>
    <s v="Zapewnienie połączenia światłowodem z infrastrukturą COI na trasie MC ul. Królewska - NASK ul. 11 Listopada oraz MC ul. Królewska - COI al.. Jerozolimskie"/>
    <n v="92"/>
    <m/>
    <n v="59"/>
    <n v="59"/>
    <n v="65"/>
    <n v="65"/>
    <s v="umowa 152/BA/25_x000a_ zawarta do dnia 2027.05.06"/>
    <s v="Citimedia"/>
    <s v="-"/>
    <s v="Na 2026 rok zaangażowano środki w kwocie 58.980,96 zł, na 2027 rok - 19.455,52 zł"/>
    <x v="0"/>
  </r>
  <r>
    <x v="0"/>
    <x v="0"/>
    <x v="5"/>
    <n v="4000"/>
    <s v="n/d"/>
    <s v="D3"/>
    <s v="WB27.BP.PF"/>
    <s v="MC"/>
    <s v="4"/>
    <s v="0"/>
    <s v="2025.22.01.01.01."/>
    <s v="2025.22.01."/>
    <s v="telefonia stacjonarna"/>
    <s v="Zapewnienie komunikacji telefonicznej pracowników MC w zakresie telefonii stacjonarnej"/>
    <n v="64"/>
    <m/>
    <n v="70"/>
    <n v="70"/>
    <n v="70"/>
    <n v="70"/>
    <s v="umowa 283/BA/24_x000a_zawarta do dnia 2027.09.30"/>
    <s v="Integrated Solutions"/>
    <s v="-"/>
    <s v="Na 2026 rok zaangażowano środki w kwocie 51.240 zł, na 2027 rok - 25.270 zł"/>
    <x v="0"/>
  </r>
  <r>
    <x v="0"/>
    <x v="0"/>
    <x v="5"/>
    <n v="4000"/>
    <s v="n/d"/>
    <s v="D3"/>
    <s v="WB27.BP.PF"/>
    <s v="MC"/>
    <s v="4"/>
    <s v="0"/>
    <s v="2025.22.01.01.01."/>
    <s v="2025.22.01."/>
    <s v="telefonia komórkowa"/>
    <s v="Zapewnienie komunikacji telefonicznej pracowników MC oraz dostawa urządzeń telefonii komórkowej"/>
    <n v="720"/>
    <m/>
    <n v="510"/>
    <n v="520"/>
    <n v="600"/>
    <n v="600"/>
    <s v="1. umowa WIP.261.18.2024.WW _x000a_zawarta do dnia 2026.11.30.,_x000a_2. wniosek 215/BA/25"/>
    <s v="T-Mobile Polska S.A."/>
    <s v="-"/>
    <s v="1. zaangażowano środki w kwocie 707.522,70 zł (BA wie, że nie wykorzysta w pełni zaangażowanych środków),_x000a_2. zaangażowano środki w kwocie 6.765 zł"/>
    <x v="0"/>
  </r>
  <r>
    <x v="0"/>
    <x v="0"/>
    <x v="5"/>
    <n v="4000"/>
    <s v="n/d"/>
    <s v="D3"/>
    <s v="WB27.BP.PF"/>
    <s v="MC"/>
    <s v="4"/>
    <s v="0"/>
    <s v="2025.22.01.01.01."/>
    <s v="2025.22.01."/>
    <s v="zakup certyfikatów SSL"/>
    <s v="Zapewnienie poufności połączeniom z serwisami internetowymi "/>
    <n v="49"/>
    <m/>
    <n v="10"/>
    <n v="10"/>
    <n v="10"/>
    <n v="10"/>
    <s v="-"/>
    <s v="-"/>
    <s v="-"/>
    <m/>
    <x v="0"/>
  </r>
  <r>
    <x v="0"/>
    <x v="0"/>
    <x v="5"/>
    <n v="4000"/>
    <s v="n/d"/>
    <s v="D3"/>
    <s v="WB27.BP.PF"/>
    <s v="MC"/>
    <s v="4"/>
    <s v="0"/>
    <s v="2025.22.01.01.01."/>
    <s v="2025.22.01."/>
    <s v="umowa z COI na świadczenie obsługi informatycznej i teletechnicznej"/>
    <s v="Zapewnienie dostępu MC do infrastruktury teleinformatycznej"/>
    <n v="12580"/>
    <m/>
    <n v="14000"/>
    <n v="14560"/>
    <n v="15142"/>
    <n v="15747"/>
    <s v="umowa 93/BA/24_x000a_zawarta do dnia 2025.12.31."/>
    <s v="COI"/>
    <s v="-"/>
    <s v="zaangażowano środki w kwocie 1.048.114,41 zł"/>
    <x v="0"/>
  </r>
  <r>
    <x v="0"/>
    <x v="0"/>
    <x v="5"/>
    <n v="4000"/>
    <s v="n/d"/>
    <s v="D3"/>
    <s v="WB27.BP.PF"/>
    <s v="MC"/>
    <s v="4"/>
    <s v="0"/>
    <s v="2025.22.01.01.01."/>
    <s v="2025.22.01."/>
    <s v="dostęp do serwisu SzuKIO.pl - autorskiej bazy orzeczeń z zakresu zamówień bez limitu osób"/>
    <s v="Udzielenie zamówienia jest konieczne w celu wsparcia zespołu do spraw zamówień publicznych w bieżącej interpretacji przepisów z zakresu zamówień publicznych.  Portal Zamówień Publicznych umożliwia dostęp do artykułów dotyczących interpretacji przepisów Prawa zamówień publicznych oraz  porad ekspertów, a także wzorów dokumentów i orzeczeń. (Serwis internetowy SzuKIO)"/>
    <n v="6"/>
    <m/>
    <n v="6"/>
    <n v="6"/>
    <n v="6"/>
    <n v="7"/>
    <s v="-"/>
    <s v="-"/>
    <s v="-"/>
    <m/>
    <x v="0"/>
  </r>
  <r>
    <x v="0"/>
    <x v="0"/>
    <x v="5"/>
    <n v="4000"/>
    <s v="n/d"/>
    <s v="D3"/>
    <s v="WB27.BP.PF"/>
    <s v="MC"/>
    <s v="4"/>
    <s v="0"/>
    <s v="2025.22.01.01.01."/>
    <s v="2025.22.01."/>
    <s v="dostęp do serwisów z artykułami dotyczącymi obszarów zamówień publicznych"/>
    <s v="Udzielenie zamówienia jest konieczne w celu bieżącej interpretacji przepisów z zakresu zamówień publicznych Zamówienie to będzie znaczącym wsparciem w pracy zespołu do spraw zamówień publicznych z możliwością indywidulanych porad ekspertów. (Serwis internetowy z obszaru Prawa zamówień publicznych) (Złożony wniosek nr 402/BA/C/23 oraz 15.02.2024)"/>
    <n v="2"/>
    <m/>
    <n v="3"/>
    <n v="3"/>
    <n v="3"/>
    <n v="4"/>
    <s v="-"/>
    <s v="-"/>
    <s v="-"/>
    <m/>
    <x v="0"/>
  </r>
  <r>
    <x v="0"/>
    <x v="0"/>
    <x v="5"/>
    <n v="4000"/>
    <s v="n/d"/>
    <s v="D3"/>
    <s v="WB27.BP.PF"/>
    <s v="MC"/>
    <s v="4"/>
    <s v="0"/>
    <s v="2025.22.01.01.01."/>
    <s v="2025.22.01."/>
    <s v="umowa ramowa na świadczenie usług w zakresie wsparcia prawnego w obszarze zamówień publicznych (reprezentacja przed KIO, pisanie pism procesowych, opinie prawne)."/>
    <s v="Udzielenie zamówienie ma na celu wyłonienie wykonawcy do zastępstwa procesowego w rozprawach przed Krajową Izbą Odwoławczą oraz do przygotowywania pism procesowych. (Usługi prawne)"/>
    <n v="30"/>
    <m/>
    <n v="65"/>
    <n v="65"/>
    <n v="70"/>
    <n v="70"/>
    <s v="-"/>
    <s v="-"/>
    <s v="-"/>
    <m/>
    <x v="0"/>
  </r>
  <r>
    <x v="0"/>
    <x v="0"/>
    <x v="5"/>
    <n v="4000"/>
    <s v="n/d"/>
    <s v="D3"/>
    <s v="WB27.BP.PF"/>
    <s v="MC"/>
    <s v="4"/>
    <s v="0"/>
    <s v="2025.22.01.01.01."/>
    <s v="2025.22.01."/>
    <s v="dostęp do platformy zakupowej w celu publikacji postępowań o udzielenie zamówień publicznych"/>
    <s v="Udzielenie zamówienia ma na celu wykorzystanie komercyjnej platformy zakupowej w procesie udzielania zamówień publicznych (Platforma zakupowa)"/>
    <n v="20"/>
    <m/>
    <n v="20"/>
    <n v="25"/>
    <n v="25"/>
    <n v="30"/>
    <s v="-"/>
    <s v="-"/>
    <s v="-"/>
    <m/>
    <x v="0"/>
  </r>
  <r>
    <x v="0"/>
    <x v="0"/>
    <x v="5"/>
    <n v="4000"/>
    <s v="n/d"/>
    <s v="D3"/>
    <s v="WB27.BP.PF"/>
    <s v="MC"/>
    <s v="4"/>
    <s v="0"/>
    <s v="2025.22.01.01.01."/>
    <s v="2025.22.01."/>
    <s v="naprawy, przeglądy, modernizacje, uzupełnienia w systemach bezpieczeństwa"/>
    <s v="Utrzymanie systemów bezpieczeństwa w budynku MC ul. Królewska 27 (Wniosek składany corocznie. Nie można określić dokładnych kwot dla poszczególnych paragrafów.)"/>
    <n v="80"/>
    <m/>
    <n v="80"/>
    <n v="80"/>
    <n v="80"/>
    <n v="50"/>
    <s v="-"/>
    <s v="-"/>
    <s v="-"/>
    <m/>
    <x v="0"/>
  </r>
  <r>
    <x v="0"/>
    <x v="0"/>
    <x v="5"/>
    <n v="4270"/>
    <s v="n/d"/>
    <s v="D3"/>
    <s v="WB27.BP.PF"/>
    <s v="MC"/>
    <s v="4"/>
    <s v="0"/>
    <s v="2025.22.01.01.01."/>
    <s v="2025.22.01."/>
    <s v="naprawy, przeglądy, modernizacje, uzupełnienia w systemach bezpieczeństwa"/>
    <s v="Utrzymanie systemów bezpieczeństwa w budynku MC ul. Królewska 27 (Wniosek składany corocznie. Nie można określić dokładnych kwot dla poszczególnych paragrafów.)"/>
    <n v="30"/>
    <m/>
    <n v="39"/>
    <n v="39"/>
    <n v="39"/>
    <n v="25"/>
    <s v="-"/>
    <s v="-"/>
    <s v="-"/>
    <m/>
    <x v="0"/>
  </r>
  <r>
    <x v="0"/>
    <x v="0"/>
    <x v="5"/>
    <n v="4000"/>
    <s v="n/d"/>
    <s v="D3"/>
    <s v="WB27.BP.PF"/>
    <s v="MC"/>
    <s v="4"/>
    <s v="0"/>
    <s v="2025.22.01.01.01."/>
    <s v="2025.22.01."/>
    <s v="naprawy, przeglądy, modernizacje, uzupełnienia w systemach bezpieczeństwa"/>
    <s v="Utrzymanie systemów bezpieczeństwa w budynku MC ul. Królewska 27 (Wniosek składany corocznie. Nie można określić dokładnych kwot dla poszczególnych paragrafów.)"/>
    <n v="20"/>
    <m/>
    <n v="20"/>
    <n v="20"/>
    <n v="20"/>
    <n v="15"/>
    <s v="-"/>
    <s v="-"/>
    <s v="-"/>
    <m/>
    <x v="0"/>
  </r>
  <r>
    <x v="0"/>
    <x v="0"/>
    <x v="5"/>
    <n v="4000"/>
    <s v="n/d"/>
    <s v="D3"/>
    <s v="WB27.BP.PF"/>
    <s v="MC"/>
    <s v="4"/>
    <s v="0"/>
    <s v="2025.22.01.01.01."/>
    <s v="2025.22.01."/>
    <s v="zakup materiałów do personalizacji identyfikatorów (karty, taśmy do drukarki)"/>
    <s v="Identyfikacja osób oraz kontrola ruchu osobowego w budynku MC ul. Królewska 27 (Wniosek składany corocznie. Nie można określić kwot dla poszczególnych paragrafów.)"/>
    <n v="5"/>
    <m/>
    <n v="6"/>
    <n v="7"/>
    <n v="8"/>
    <n v="9"/>
    <s v="-"/>
    <s v="-"/>
    <s v="-"/>
    <s v="wniosek zostanie złożony w miarę potrzeb"/>
    <x v="0"/>
  </r>
  <r>
    <x v="0"/>
    <x v="0"/>
    <x v="5"/>
    <n v="4000"/>
    <s v="n/d"/>
    <s v="D3"/>
    <s v="WB27.BP.PF"/>
    <s v="MC"/>
    <s v="4"/>
    <s v="0"/>
    <s v="2025.22.01.01.01."/>
    <s v="2025.22.01."/>
    <s v="usługa ochrony obiektu i obsługi recepcji w budynku"/>
    <s v="Zapewnienie bezpieczeństwa budynku i pracowników MC ul. Królewska 27 oraz obsługa recepcji. Bieżąca Umowa z firmą Basma do 30 Listopada 2026 r."/>
    <n v="2130"/>
    <m/>
    <n v="1953"/>
    <n v="2500"/>
    <n v="2500"/>
    <n v="2500"/>
    <s v="umowa 231/BA/24 _x000a_zawarta do dnia 2026.12.31"/>
    <s v="Basma Security Sp. z o.o."/>
    <s v="-"/>
    <s v="zaangażowano środki w kwocie 1.913.860 zł"/>
    <x v="0"/>
  </r>
  <r>
    <x v="0"/>
    <x v="0"/>
    <x v="5"/>
    <n v="4000"/>
    <s v="n/d"/>
    <s v="D3"/>
    <s v="WB27.BP.PF"/>
    <s v="MC"/>
    <s v="4"/>
    <s v="0"/>
    <s v="2025.22.01.01.01."/>
    <s v="2025.22.01."/>
    <s v="okresowy przegląd podręcznego sprzętu gaśniczego oraz wymiana wyeksploatowanych części._x000a_Aktualizacja IBP"/>
    <s v="Zapewnienie bezpieczeństwa PPOŻ budynku MC ul. Królewska 27 (Wniosek składany corocznie. Nie można określić kwot dla poszczególnych paragrafów.)"/>
    <n v="30"/>
    <m/>
    <n v="35"/>
    <n v="60"/>
    <n v="65"/>
    <n v="70"/>
    <s v="-"/>
    <s v="-"/>
    <s v="-"/>
    <s v="Zwiększono kwoty na lata 27-29 ze względu na koniec okresu gwarancji SSO w związku z końcem gwarancji (koszt przeglądów systemu PPOŻ będzie po stronie MC) "/>
    <x v="0"/>
  </r>
  <r>
    <x v="0"/>
    <x v="0"/>
    <x v="5"/>
    <n v="4270"/>
    <s v="n/d"/>
    <s v="D3"/>
    <s v="WB27.BP.PF"/>
    <s v="MC"/>
    <s v="4"/>
    <s v="0"/>
    <s v="2025.22.01.01.01."/>
    <s v="2025.22.01."/>
    <s v="okresowy przegląd podręcznego sprzętu gaśniczego oraz wymiana wyeksploatowanych części._x000a_Aktualizacja IBP"/>
    <s v="Zapewnienie bezpieczeństwa PPOŻ budynku MC ul. Królewska 27 (Wniosek składany corocznie. Nie można określić kwot dla poszczególnych paragrafów.)"/>
    <n v="10"/>
    <m/>
    <n v="15"/>
    <n v="20"/>
    <n v="25"/>
    <n v="25"/>
    <s v="-"/>
    <s v="-"/>
    <s v="-"/>
    <m/>
    <x v="0"/>
  </r>
  <r>
    <x v="0"/>
    <x v="0"/>
    <x v="5"/>
    <n v="4000"/>
    <s v="n/d"/>
    <s v="D3"/>
    <s v="WB27.BP.PF"/>
    <s v="MC"/>
    <s v="4"/>
    <s v="0"/>
    <s v="2025.22.01.01.01."/>
    <s v="2025.22.01."/>
    <s v="okresowy przegląd podręcznego sprzętu gaśniczego oraz wymiana wyeksploatowanych części._x000a_Aktualizacja IBP"/>
    <s v="Zapewnienie bezpieczeństwa PPOŻ budynku MC ul. Królewska 27 (Wniosek składany corocznie. Nie można określić kwot dla poszczególnych paragrafów.)"/>
    <n v="5"/>
    <m/>
    <n v="10"/>
    <n v="10"/>
    <n v="10"/>
    <n v="15"/>
    <s v="-"/>
    <s v="-"/>
    <s v="-"/>
    <m/>
    <x v="0"/>
  </r>
  <r>
    <x v="0"/>
    <x v="0"/>
    <x v="5"/>
    <n v="4000"/>
    <s v="n/d"/>
    <s v="D3"/>
    <s v="WB27.BP.PF"/>
    <s v="MC"/>
    <s v="4"/>
    <s v="0"/>
    <s v="2025.22.01.01.01."/>
    <s v="2025.22.01."/>
    <s v="rozbudowy, modernizacje, reorganizacje SKD związana z pracami przy realizacji inwestycji w zakresie, wentylacji i klimatyzacji oraz popoż. i innych. "/>
    <s v="Zapewnienie bezpieczeństwa budynku i pracowników MC ul. Królewska 27 oraz obsługa recepcji. (Rozbudowy, modernizacje, reorganizacje SKD związana z pracami przy realizacji inwestycji w zakresie ,wentylacji i klimatyzacji oraz PPOŻ i innych.) (wniosek/umowa IV kwartał 2024 lub kolejne lata). Zmiany wynikające z planowanych inwestycji mogą spowodować koniczność zmian SKD. rozbudowa o nowe strefy KD, konfiguracja ustawień, integracja nowych i istniejących systemów, zmiany usytuowania elementów SKD, CCTV, itp. "/>
    <n v="139"/>
    <m/>
    <n v="139"/>
    <n v="139"/>
    <n v="50"/>
    <n v="50"/>
    <s v="-"/>
    <s v="-"/>
    <s v="-"/>
    <m/>
    <x v="0"/>
  </r>
  <r>
    <x v="0"/>
    <x v="0"/>
    <x v="5"/>
    <n v="4000"/>
    <s v="n/d"/>
    <s v="D3"/>
    <s v="WB27.BP.PF"/>
    <s v="MC"/>
    <s v="4"/>
    <s v="0"/>
    <s v="2025.22.01.01.01."/>
    <s v="2025.22.01."/>
    <s v=" okresowe przeglądy, serwis, naprawa urządzeń RTG, bramki detekcyjnej"/>
    <s v="Zapewnienie bezpieczeństwa budynku i pracowników MC ul. Królewska 27 oraz obsługa recepcji. (Serwis/przeglądy/ naprawy skanera RTG oraz bramki detekcyjnej) (wniosek/umowa styczeń 2026)"/>
    <m/>
    <m/>
    <n v="30"/>
    <n v="30"/>
    <n v="40"/>
    <n v="40"/>
    <s v="-"/>
    <s v="-"/>
    <s v="-"/>
    <m/>
    <x v="0"/>
  </r>
  <r>
    <x v="0"/>
    <x v="0"/>
    <x v="5"/>
    <n v="4000"/>
    <s v="n/d"/>
    <s v="D3"/>
    <s v="WB27.BP.PF"/>
    <s v="MC"/>
    <s v="4"/>
    <s v="0"/>
    <s v="2025.22.01.01.01."/>
    <s v="2025.22.01."/>
    <s v="kontrola dozymetryczna wynikająca z ustawy Prawo Atomowe "/>
    <s v="Zapewnienie bezpieczeństwa budynku i pracowników MC ul. Królewska 27 oraz obsługa recepcji. (Środowiskowe badania urządzenia wytwarzającego promieniowanie jonizujące) (kolejny wniosek styczeń 2025) "/>
    <n v="3"/>
    <m/>
    <n v="1"/>
    <n v="2"/>
    <n v="2"/>
    <n v="2"/>
    <s v="wniosek 11/BA/25"/>
    <s v="-"/>
    <s v="-"/>
    <s v="Na 2026 rok zaangażowano środki w kwocie 600 zł, na 2027 rok - 300 zł"/>
    <x v="0"/>
  </r>
  <r>
    <x v="0"/>
    <x v="0"/>
    <x v="5"/>
    <n v="4000"/>
    <s v="n/d"/>
    <s v="D3"/>
    <s v="WB27.BP.PF"/>
    <s v="MC"/>
    <s v="4"/>
    <s v="0"/>
    <s v="2025.22.01.01.01."/>
    <s v="2025.22.01."/>
    <s v="zasady związane z dostępności obiektu MC dla osób z niepełnosprawnościami wymagają umożliwienia komunikacji, w tym celu zapewniona jest możliwość połączenia z tłumaczem języka migowego"/>
    <s v="Tłumaczenia języka migowego (kolejny wniosek/umowa 01.01.2026 r.)"/>
    <n v="2"/>
    <m/>
    <n v="5"/>
    <n v="6"/>
    <n v="6"/>
    <n v="7"/>
    <s v="umowa 79/BA/24_x000a_zawarta do dnia 2026.03.21"/>
    <s v="POLSKI ZWIĄZEK  GŁUCHYCH - ODDZIAŁ MAZOWIECKI"/>
    <s v="-"/>
    <s v="zaangażowano środki w kwocie 553,5 zł"/>
    <x v="0"/>
  </r>
  <r>
    <x v="0"/>
    <x v="0"/>
    <x v="5"/>
    <n v="4000"/>
    <s v="n/d"/>
    <s v="D3"/>
    <s v="WB27.BP.PF"/>
    <s v="MC"/>
    <s v="4"/>
    <s v="0"/>
    <s v="2025.22.01.01.01."/>
    <s v="2025.22.01."/>
    <s v="centrala NOMA"/>
    <s v="Podłączenie central przeciwpożarowych w siedzibie MC do systemu NOMA (kolejny wniosek/umowa 01.01.2026 r.)"/>
    <n v="50"/>
    <m/>
    <n v="15"/>
    <n v="15"/>
    <n v="15"/>
    <n v="15"/>
    <s v="-"/>
    <s v="-"/>
    <s v="-"/>
    <m/>
    <x v="0"/>
  </r>
  <r>
    <x v="0"/>
    <x v="0"/>
    <x v="5"/>
    <n v="4000"/>
    <s v="n/d"/>
    <s v="D3"/>
    <s v="WB27.BP.PF"/>
    <s v="MC"/>
    <s v="4"/>
    <s v="0"/>
    <s v="2025.22.01.01.01."/>
    <s v="2025.22.01."/>
    <s v="bieżąca konserwacja windy"/>
    <s v="Bieżąca konserwacja urządzenia - wymóg prawny (Usługa przeglądu dźwigu towarowo-osobowego - nie mamy dźwigu towarowego ale w 2025 już będzie)"/>
    <m/>
    <m/>
    <n v="20"/>
    <n v="20"/>
    <n v="20"/>
    <n v="40"/>
    <s v="-"/>
    <s v="-"/>
    <s v="-"/>
    <m/>
    <x v="0"/>
  </r>
  <r>
    <x v="0"/>
    <x v="0"/>
    <x v="5"/>
    <n v="4270"/>
    <s v="n/d"/>
    <s v="D3"/>
    <s v="WB27.BP.PF"/>
    <s v="MC"/>
    <s v="4"/>
    <s v="0"/>
    <s v="2025.22.01.01.01."/>
    <s v="2025.22.01."/>
    <s v="bieżące remonty, naprawy, konserwacje"/>
    <s v="Wprowadzenia do budynku odpowiednich standardów dla pracowników (Remonty bieżące budynku związane z  dostosowaniem budynku do potrzeb pracowników)"/>
    <n v="700"/>
    <m/>
    <n v="2500"/>
    <n v="2500"/>
    <n v="2500"/>
    <n v="2500"/>
    <s v="wniosek 237/BA/25 na drzwi przesuwne"/>
    <s v="-"/>
    <s v="-"/>
    <s v="konserwacja drzwi przesuwnych na rok 2026 - 16.986,40 zł, na rok 2027 - 4.246,60 zł (do 31.03.2025 r.)"/>
    <x v="0"/>
  </r>
  <r>
    <x v="0"/>
    <x v="0"/>
    <x v="5"/>
    <n v="4000"/>
    <s v="n/d"/>
    <s v="D3"/>
    <s v="WB27.BP.PF"/>
    <s v="MC"/>
    <s v="4"/>
    <s v="0"/>
    <s v="2025.22.01.01.01."/>
    <s v="2025.22.01."/>
    <s v="NGFW - wsparcie techniczne i gwarancja, zakup urządzeń sieciowych - wsparciw techniczne i gwarancja"/>
    <s v="NGFW - wsparcie techniczne i gwarancja, zakup urządzeń sieciowych - wsparciw techniczne i gwarancja"/>
    <m/>
    <m/>
    <n v="232"/>
    <n v="192"/>
    <n v="119"/>
    <n v="0"/>
    <s v="1. wniosek 207/BA/25_x000a_2. wniosek 281/BA/25"/>
    <s v="-"/>
    <s v="-"/>
    <s v="1. zaangażowano środki w kwocie: 2026 r. - 140.000 zł, 2027 r. - 100.000 zł, 2028 r. - 50.000 zł_x000a_2. zaangażowano środki w kwocie: 2026 r. - 91.974,96 zł, 2027 r. - 91.974,96 zł, 2028 r. - 68.981,34 zł"/>
    <x v="0"/>
  </r>
  <r>
    <x v="0"/>
    <x v="0"/>
    <x v="5"/>
    <n v="4270"/>
    <s v="n/d"/>
    <s v="D3"/>
    <s v="WB27.BP.PF"/>
    <s v="MC"/>
    <s v="4"/>
    <s v="0"/>
    <s v="2025.22.01.01.01."/>
    <s v="2025.22.01."/>
    <s v="bieżące remonty, naprawy, konserwacje struktury obiektu"/>
    <s v="Konieczne naprawy bieżących usterek  i reakcja na uwagi odnotowane w przeglądach okresowych budynku (Bieżące nieprzewidziane wydatki związane z: remontami oraz  konserwacją i wyposażenia, znajdującego się na ul. Królewskiej 27) (w przypadku wystąpienia awarii lub usterki wskazanej w protokołach z przeglądu)"/>
    <n v="160"/>
    <m/>
    <n v="170"/>
    <n v="170"/>
    <n v="170"/>
    <n v="170"/>
    <s v="-"/>
    <s v="-"/>
    <s v="-"/>
    <m/>
    <x v="0"/>
  </r>
  <r>
    <x v="0"/>
    <x v="0"/>
    <x v="5"/>
    <n v="4270"/>
    <s v="n/d"/>
    <s v="D3"/>
    <s v="WB27.BP.PF"/>
    <s v="MC"/>
    <s v="4"/>
    <s v="0"/>
    <s v="2025.22.01.01.01."/>
    <s v="2025.22.01."/>
    <s v="bieżące remonty, naprawy, konserwacje instalacji elektrycznej"/>
    <s v="Bieżąca konserwacja urządzenia - wymóg prawny (Kompleksowa konserwacja i bieżące naprawy instalacji elektrycznej oraz zapewnienie bieżącej wymiany wyeksploatowanego osprzętu elektrycznego oraz źródeł światła wew. i na zew. budynku przy ul. Królewskiej 27 w Warszawie)"/>
    <n v="120"/>
    <m/>
    <n v="210"/>
    <n v="210"/>
    <n v="210"/>
    <n v="210"/>
    <s v="umowa 137/BA/25_x000a_zawarta do dnia 2027.09.02"/>
    <s v="EL-Service Instalacje Elektryczne Ewa Łepkowska "/>
    <s v="-"/>
    <s v="zaangażowano środki w kwocie 75.829,50 zł na &quot;kompleksową konserwację, wykonywanie przeglądów i bieżących napraw instalacji sanitarnych i instalacji elektrycznych oraz sprawowanie stałego nadzoru nad pracą w/w instalacji&quot; (będą dodatkowe umowy)"/>
    <x v="0"/>
  </r>
  <r>
    <x v="0"/>
    <x v="0"/>
    <x v="5"/>
    <n v="4270"/>
    <s v="n/d"/>
    <s v="D3"/>
    <s v="WB27.BP.PF"/>
    <s v="MC"/>
    <s v="4"/>
    <s v="0"/>
    <s v="2025.22.01.01.01."/>
    <s v="2025.22.01."/>
    <s v="bieżące remonty, naprawy, konserwacje instalacji wod.-kan."/>
    <s v="Bieżąca konserwacja urządzenia - wymóg prawny (Kompleksowa konserwacja i bieżące naprawy   instalacji wodno-kanalizacyjnej oraz konserwacja instalacji centralnego ogrzewania budynku  przy ul. Królewskiej 27 w Warszawie) "/>
    <n v="150"/>
    <m/>
    <n v="160"/>
    <n v="210"/>
    <n v="160"/>
    <n v="210"/>
    <s v="-"/>
    <s v="-"/>
    <s v="-"/>
    <m/>
    <x v="0"/>
  </r>
  <r>
    <x v="0"/>
    <x v="0"/>
    <x v="5"/>
    <n v="4270"/>
    <s v="n/d"/>
    <s v="D3"/>
    <s v="WB27.BP.PF"/>
    <s v="MC"/>
    <s v="4"/>
    <s v="0"/>
    <s v="2025.22.01.01.01."/>
    <s v="2025.22.01."/>
    <s v="bieżące remonty, naprawy, konserwacje drzwi przesuwnych"/>
    <s v="Bieżąca konserwacja urządzenia - wymóg prawny (Kompleksowa konserwacja i bieżące naprawy drzwi przesuwnych wejściowych budynku  przy ul. Królewskiej 27 w Warszawie) "/>
    <n v="50"/>
    <m/>
    <n v="55"/>
    <n v="55"/>
    <n v="55"/>
    <n v="55"/>
    <s v="-"/>
    <s v="-"/>
    <s v="-"/>
    <m/>
    <x v="0"/>
  </r>
  <r>
    <x v="0"/>
    <x v="0"/>
    <x v="5"/>
    <n v="6050"/>
    <m/>
    <s v="D3"/>
    <s v="WB27.BP.PF"/>
    <s v="MC"/>
    <s v="6"/>
    <s v="0"/>
    <s v="2025.22.01.01.01."/>
    <s v="2025.22.01."/>
    <s v="inwestycja budowlana - Budowa Systemu Ochrony Przeciwpożarowej w budynku przy ul. Królewskiej 27 w Warszawie"/>
    <s v="Cel realizacji zadania: zgodnie z posiadaną ekspertyzą techniczną i nakazami Państwowej Straży Pożarnej należy dostosować budynek do obecnie obowiązujących przepisów ppoż. (zaprojektuj i wybuduj)"/>
    <n v="6000"/>
    <m/>
    <n v="6866"/>
    <n v="0"/>
    <n v="0"/>
    <n v="0"/>
    <s v="umowa 282/BA/24_x000a_zawarta do dnia 2026.01.28"/>
    <s v="Grupa KDM Sp. z o.o. "/>
    <s v="-"/>
    <s v="zaangażowano środki w kwocie 6.865.679,60 zł"/>
    <x v="0"/>
  </r>
  <r>
    <x v="0"/>
    <x v="0"/>
    <x v="5"/>
    <n v="6050"/>
    <m/>
    <s v="D3"/>
    <s v="WB27.BP.PF"/>
    <s v="MC"/>
    <s v="6"/>
    <n v="0"/>
    <s v="2025.22.01.01.01."/>
    <s v="2025.22.01."/>
    <s v="nadzór inwestorski na inwestycję ppoż."/>
    <s v="Nadzór inwestorski na p.poż"/>
    <n v="400"/>
    <m/>
    <n v="155"/>
    <n v="0"/>
    <n v="0"/>
    <n v="0"/>
    <s v="umowa 270/BA/24_x000a_zawarta do dnia 2027.04.16"/>
    <s v="BOTI C.E.L. Sp z o.o."/>
    <s v="-"/>
    <s v="zaangażowano środki w kwocie 155.235,84 zł"/>
    <x v="0"/>
  </r>
  <r>
    <x v="0"/>
    <x v="0"/>
    <x v="5"/>
    <n v="6050"/>
    <m/>
    <s v="D3"/>
    <s v="WB27.BP.PF"/>
    <s v="MC"/>
    <s v="6"/>
    <s v="0"/>
    <s v="2025.22.01.01.01."/>
    <s v="2025.22.01."/>
    <s v="inwestycja budowlana - Przebudowa wentylacji i budowa klimatyzacji w budynku przy ul. Królewskiej 27 w Warszawie "/>
    <s v="Cel realizacji zadania: konieczność zapewnienia odpowiednich warunków wymiany powietrza w obiekcie oraz doprowadzenie schłodzonego powietrza do nagrzanych pomieszczeń w okresie letnim. Przebudowa wentylacji dostosuje budynek MC do wymagań § 147 Rozporządzenia Ministra Infrastruktury z dnia 12 kwietnia 2002 r. _x000a_w sprawie warunków technicznych, jakim powinny odpowiadać budynki i ich usytuowanie oraz _x000a_§ 31 rozporządzenia Ministra Pracy i Polityki Socjalnej z 26 września 1997 r. w sprawie ogólnych przepisów bezpieczeństwa i higieny pracy"/>
    <n v="6000"/>
    <m/>
    <n v="5000"/>
    <n v="0"/>
    <n v="0"/>
    <n v="0"/>
    <s v="wniosek 280/BA/24"/>
    <s v="-"/>
    <s v="-"/>
    <s v="zaangażowano środki w kwocie 5 mln zł"/>
    <x v="0"/>
  </r>
  <r>
    <x v="0"/>
    <x v="0"/>
    <x v="5"/>
    <n v="6050"/>
    <m/>
    <s v="D3"/>
    <s v="WB27.BP.PF"/>
    <s v="MC"/>
    <s v="6"/>
    <n v="0"/>
    <s v="2025.22.01.01.01."/>
    <s v="2025.22.01."/>
    <s v="nadzór inwestorski na inwestycję wentylacji i klimatyzacji "/>
    <s v="Nadzór inwestorski na wentylację i klimatyzację "/>
    <n v="400"/>
    <m/>
    <n v="155"/>
    <n v="0"/>
    <n v="0"/>
    <n v="0"/>
    <s v="umowa 287/BA/24_x000a_zawarta do dnia 2027.04.16"/>
    <s v="BOTI C.E.L. Sp z o.o."/>
    <s v="-"/>
    <s v="zaangażowano środki w kwocie 155.235,84 zł"/>
    <x v="0"/>
  </r>
  <r>
    <x v="0"/>
    <x v="0"/>
    <x v="5"/>
    <n v="6050"/>
    <m/>
    <s v="D3"/>
    <s v="WB27.BP.PF"/>
    <s v="MC"/>
    <s v="6"/>
    <s v="0"/>
    <s v="2025.22.01.01.01."/>
    <s v="2025.22.01."/>
    <s v="inwestycja budowlana - hydroizolacja fundamentów i modernizacja wybranych pomieszczeń zlokalizowanych na kondygnacji -1"/>
    <s v="Cel realizacji zadania: zapobieżenie przeciekania wody opadowej na najniższą kondygnację budynku, co spowoduje usunięcie przyczyny zalani i zawilgoceń. Efektem modernizacji wybranych pomieszczeń będzie możliwość wykorzystania ich na realizację kluczowych zadań Ministerstwa Cyfryzacji (archiwum, serwerownie)"/>
    <m/>
    <m/>
    <n v="150"/>
    <n v="4000"/>
    <n v="0"/>
    <n v="0"/>
    <s v="-"/>
    <s v="-"/>
    <s v="-"/>
    <m/>
    <x v="0"/>
  </r>
  <r>
    <x v="0"/>
    <x v="0"/>
    <x v="5"/>
    <n v="6050"/>
    <m/>
    <s v="D3"/>
    <s v="WB27.BP.PF"/>
    <s v="MC"/>
    <s v="6"/>
    <s v="0"/>
    <s v="2025.22.01.01.01."/>
    <s v="2025.22.01."/>
    <s v="inwestycja budowlana - modernizacja pomieszczeń sanitarno-higienicznych z dostosowaniem do osób ze szczególnymi potrzebami wraz z wymianą pionów wodno-kanalizacyjnych"/>
    <s v="Cel realizacji zadania: wymiana pionów wodnokanalizacyjnych oraz modernizacja pomieszczeń sanitarno-higienicznych. Aktualny stan technicznych pionów powoduje duże koszty usuwania awarii. Pomieszczenia sanitarno-higieniczne powinny zostać dostosowane do potrzeb osób ze szczególnymi potrzebami oraz spełniać normy BHP i prawa budowalnego"/>
    <m/>
    <m/>
    <n v="0"/>
    <n v="250"/>
    <n v="6750"/>
    <n v="5500"/>
    <s v="-"/>
    <s v="-"/>
    <s v="-"/>
    <m/>
    <x v="0"/>
  </r>
  <r>
    <x v="0"/>
    <x v="0"/>
    <x v="5"/>
    <n v="4000"/>
    <s v="n/d"/>
    <s v="D3"/>
    <s v="WB27.BP.PF"/>
    <s v="MC"/>
    <s v="4"/>
    <s v="0"/>
    <s v="2025.22.01.01.01."/>
    <s v="2025.22.01."/>
    <s v="bieżące remonty, naprawy, konserwacje - przygotowanie ekspertyz technicznych i dokumentacji"/>
    <s v="Udzielenie zamówienie ma na celu spełnienia warunków prawa budowlanego. (Opracowanie ekspertyz technicznych, programów funkcjonalno-użytkowych, opinii i  dokumentacji projektowej na potrzeby remontowych w budynku przy ul. Królewskiej 27 w Warszawie) (w przypadku wystąpienia awarii lub usterki wskazanej w protokołach z przeglądu)"/>
    <m/>
    <m/>
    <n v="250"/>
    <n v="300"/>
    <n v="350"/>
    <n v="400"/>
    <s v="-"/>
    <s v="-"/>
    <s v="-"/>
    <m/>
    <x v="0"/>
  </r>
  <r>
    <x v="0"/>
    <x v="0"/>
    <x v="5"/>
    <n v="4000"/>
    <s v="n/d"/>
    <s v="D3"/>
    <s v="WB27.BP.PF"/>
    <s v="MC"/>
    <s v="4"/>
    <s v="0"/>
    <s v="2025.22.01.01.01."/>
    <s v="2025.22.01."/>
    <s v="przeglądy okresowe budynków"/>
    <s v="Wymóg prawa budowlanego  (Przeglądy okresowe budynków w zakresie  budowlane elektryczne , budowalne (roczne i 5 letnie)) (umowa bieżąca obowiązuje do końca 2025 _ nowy wniosek w grudzień 2025)"/>
    <n v="5"/>
    <m/>
    <n v="15"/>
    <n v="15"/>
    <n v="40"/>
    <n v="20"/>
    <s v="-"/>
    <s v="-"/>
    <s v="-"/>
    <m/>
    <x v="0"/>
  </r>
  <r>
    <x v="0"/>
    <x v="0"/>
    <x v="5"/>
    <n v="4000"/>
    <s v="n/d"/>
    <s v="D3"/>
    <s v="WB27.BP.PF"/>
    <s v="MC"/>
    <s v="4"/>
    <s v="0"/>
    <s v="2025.22.01.01.01."/>
    <s v="2025.22.01."/>
    <s v="bieżące remonty, naprawy, konserwacje - UDT"/>
    <s v="Badanie urządzenia - wymóg prawny (Przegląd windy, platformy oraz innych urządzeń pod dozorem UDT)"/>
    <n v="20"/>
    <m/>
    <n v="25"/>
    <n v="50"/>
    <n v="50"/>
    <n v="50"/>
    <s v="-"/>
    <s v="-"/>
    <s v="-"/>
    <m/>
    <x v="0"/>
  </r>
  <r>
    <x v="0"/>
    <x v="0"/>
    <x v="5"/>
    <n v="4000"/>
    <s v="n/d"/>
    <s v="D3"/>
    <s v="WB27.BP.PF"/>
    <s v="MC"/>
    <s v="4"/>
    <s v="0"/>
    <s v="2025.22.01.01.01."/>
    <s v="2025.22.01."/>
    <s v="usługa dezynfekcji, dezynsekcji i deratyzacji"/>
    <s v="Udzielenie zamówienie ma na celu  wykluczenie  szkodników z budynku (Usługa dezynfekcji, dezynsekcji i deratyzacji w budynku przy ul. Królewskiej 27 w Warszawie) "/>
    <n v="24"/>
    <m/>
    <n v="65"/>
    <n v="70"/>
    <n v="75"/>
    <n v="80"/>
    <s v="-"/>
    <s v="-"/>
    <s v="-"/>
    <m/>
    <x v="0"/>
  </r>
  <r>
    <x v="0"/>
    <x v="0"/>
    <x v="5"/>
    <n v="4000"/>
    <s v="n/d"/>
    <s v="D3"/>
    <s v="WB27.BP.PF"/>
    <s v="MC"/>
    <s v="4"/>
    <s v="0"/>
    <s v="2025.22.01.01.01."/>
    <s v="2025.22.01."/>
    <s v="zakup książek, czasopism, wydawnictw specjalistycznych i branżowych"/>
    <s v="Niezbędne dla uzyskania wiedzy potrzebnej w realizacji inwestycji (dostawa książek, czasopism, wydawnictw specjalistycznych i branżowych)"/>
    <n v="15"/>
    <m/>
    <n v="15"/>
    <n v="20"/>
    <n v="20"/>
    <n v="20"/>
    <s v="-"/>
    <s v="-"/>
    <s v="-"/>
    <m/>
    <x v="0"/>
  </r>
  <r>
    <x v="0"/>
    <x v="0"/>
    <x v="5"/>
    <n v="4000"/>
    <s v="n/d"/>
    <s v="D3"/>
    <s v="WB27.BP.PF"/>
    <s v="MC"/>
    <s v="4"/>
    <s v="0"/>
    <s v="2025.22.01.01.01."/>
    <s v="2025.22.01."/>
    <s v="indywidualne środki ochrony osobistej"/>
    <s v="Niezbędna podczas nadzoru inwestora nad robotami budowlanymi (indywidualne środki ochrony osobistej)"/>
    <n v="5"/>
    <m/>
    <n v="5"/>
    <n v="5"/>
    <n v="5"/>
    <n v="0"/>
    <s v="-"/>
    <s v="-"/>
    <s v="-"/>
    <m/>
    <x v="0"/>
  </r>
  <r>
    <x v="0"/>
    <x v="0"/>
    <x v="5"/>
    <n v="4000"/>
    <s v="n/d"/>
    <s v="D3"/>
    <s v="WB27.BP.PF"/>
    <s v="MC"/>
    <s v="4"/>
    <s v="0"/>
    <s v="2025.22.01.01.01."/>
    <s v="2025.22.01."/>
    <s v="asortyment BHP"/>
    <s v="Udzielenie zamówienia jest konieczne w celu spełnienia wymogów przepisów BHP nałożonych na pracodawcę (Asortyment BHP: odzież ochronna, środki ochrony indywidualnej, środki higieny, wyposażenie apteczek, baterie i elektrody do defibrylatorów, znaki bezpieczeństwa, taśmy ostrzegawcze, akcesoria BHP poprawiające ergonomię stanowisk pracy tj. podnóżki, podstawki pod monitory."/>
    <n v="35"/>
    <m/>
    <n v="35"/>
    <n v="35"/>
    <n v="35"/>
    <n v="35"/>
    <s v="-"/>
    <s v="-"/>
    <s v="-"/>
    <m/>
    <x v="0"/>
  </r>
  <r>
    <x v="0"/>
    <x v="0"/>
    <x v="5"/>
    <n v="4000"/>
    <s v="n/d"/>
    <s v="D3"/>
    <s v="WB27.BP.PF"/>
    <s v="MC"/>
    <s v="4"/>
    <s v="0"/>
    <s v="2025.22.01.01.01."/>
    <s v="2025.22.01."/>
    <s v="dystrybutory wody pitnej"/>
    <s v="Udzielenie zamówienia jest konieczne w celu spełnienia wymogów przepisów BHP nałożonych na pracodawcę (Dostawa, montaż i najem dystrybutorów wody dla pracowników MC przy Królewskiej 27)"/>
    <n v="37"/>
    <m/>
    <n v="20"/>
    <n v="20"/>
    <n v="20"/>
    <n v="20"/>
    <s v="-"/>
    <s v="-"/>
    <s v="-"/>
    <m/>
    <x v="0"/>
  </r>
  <r>
    <x v="0"/>
    <x v="0"/>
    <x v="5"/>
    <n v="4000"/>
    <s v="n/d"/>
    <s v="D3"/>
    <s v="WB27.BP.PF"/>
    <s v="MC"/>
    <s v="4"/>
    <s v="0"/>
    <s v="2025.22.01.01.01."/>
    <s v="2025.22.01."/>
    <s v="podpis elektroniczny dla pracowników/kierownictwa"/>
    <s v="Podpis elektroniczny niezbędny do elektronizacji spraw załatwianych w urzędzie (Wniosek składany corocznie. Nie można określić kwoty z uwagi na nieznane zapotrzebowanie)"/>
    <n v="35"/>
    <m/>
    <n v="65"/>
    <n v="70"/>
    <n v="70"/>
    <n v="70"/>
    <s v="-"/>
    <s v="-"/>
    <s v="-"/>
    <m/>
    <x v="0"/>
  </r>
  <r>
    <x v="0"/>
    <x v="0"/>
    <x v="5"/>
    <n v="4000"/>
    <s v="n/d"/>
    <s v="D3"/>
    <s v="WB27.BP.PF"/>
    <s v="MC"/>
    <s v="4"/>
    <s v="0"/>
    <s v="2025.22.01.01.01."/>
    <s v="2025.22.01."/>
    <s v="usługi związane z wprowadzeniem EZD RP w MC"/>
    <s v="Niezbędne w ramach zmiany oprogramowania służącego do elektronicznego obiegu dokumentów"/>
    <n v="60"/>
    <m/>
    <n v="60"/>
    <n v="0"/>
    <n v="0"/>
    <n v="0"/>
    <s v="-"/>
    <s v="-"/>
    <s v="-"/>
    <m/>
    <x v="0"/>
  </r>
  <r>
    <x v="0"/>
    <x v="0"/>
    <x v="5"/>
    <n v="4000"/>
    <s v="n/d"/>
    <s v="D3"/>
    <s v="WB27.BP.PF"/>
    <s v="MC"/>
    <s v="4"/>
    <n v="0"/>
    <s v="2025.22.01.01.01."/>
    <s v="2025.22.01."/>
    <s v="zakup pieczęci elektronicznej"/>
    <s v="Pieczęć elektroniczna niezbędna do elektronizacji spraw załatwianych w urzędzie, dokumenty pieczętowane pieczęcią zachowują pełną moc prawną i dowodową. Ważność certyfikatu pieczęci zakupionej na 3 lata w 2025 roku zakończy się w 2028 roku."/>
    <m/>
    <m/>
    <n v="0"/>
    <n v="0"/>
    <n v="4"/>
    <n v="0"/>
    <s v="-"/>
    <s v="-"/>
    <s v="-"/>
    <m/>
    <x v="0"/>
  </r>
  <r>
    <x v="0"/>
    <x v="0"/>
    <x v="5"/>
    <n v="4000"/>
    <s v="n/d"/>
    <s v="D3"/>
    <s v="WB27.BP.PF"/>
    <s v="MC"/>
    <s v="4"/>
    <n v="0"/>
    <s v="2025.22.01.01.01."/>
    <s v="2025.22.01."/>
    <s v="brakowanie dokumentacji niearchiwalnej "/>
    <s v="Brakowanie dokumentacji niearchiwalnej, której okres przechowywania upłynął i straciła wartość dokumentacyjną jest wymogiem ustawy archiwalnej oraz zostało ujęte w zaleceniach pokontrolnych AAN"/>
    <m/>
    <m/>
    <n v="5"/>
    <n v="5"/>
    <n v="5"/>
    <n v="5"/>
    <s v="-"/>
    <s v="-"/>
    <s v="-"/>
    <m/>
    <x v="0"/>
  </r>
  <r>
    <x v="0"/>
    <x v="0"/>
    <x v="5"/>
    <n v="4000"/>
    <s v="n/d"/>
    <s v="D3"/>
    <s v="WB27.BP.PF"/>
    <s v="MC"/>
    <s v="4"/>
    <n v="0"/>
    <s v="2025.22.01.01.01."/>
    <s v="2025.22.01."/>
    <s v="fumigacja materiałów archiwalnych"/>
    <s v="Fumigacja niezbędna przed przekazanie materiałów archiwalnych kat. A zgodnie wymogami AAN"/>
    <m/>
    <m/>
    <n v="3"/>
    <n v="3"/>
    <n v="3"/>
    <n v="3"/>
    <s v="-"/>
    <s v="-"/>
    <s v="-"/>
    <m/>
    <x v="0"/>
  </r>
  <r>
    <x v="0"/>
    <x v="0"/>
    <x v="5"/>
    <n v="4000"/>
    <s v="n/d"/>
    <s v="D3"/>
    <s v="WB27.BP.PF"/>
    <s v="MC"/>
    <s v="4"/>
    <n v="0"/>
    <s v="2025.22.01.01.01."/>
    <s v="2025.22.01."/>
    <s v="koszty postępowania COAR"/>
    <s v="Wynagrodzenie COAR za realizację postępowania wspólnego do umowy o świadczenie usług ubezpieczenia majątku JAP"/>
    <m/>
    <m/>
    <n v="15"/>
    <n v="0"/>
    <n v="0"/>
    <n v="20"/>
    <s v="-"/>
    <s v="-"/>
    <s v="-"/>
    <m/>
    <x v="0"/>
  </r>
  <r>
    <x v="0"/>
    <x v="0"/>
    <x v="5"/>
    <n v="4000"/>
    <s v="n/d"/>
    <s v="D3"/>
    <s v="WB27.BP.PF"/>
    <s v="MC"/>
    <s v="4"/>
    <n v="0"/>
    <s v="2025.22.01.01.01."/>
    <s v="2025.22.01."/>
    <s v="Ustawowa opłata abonamentowa RTV"/>
    <s v="Abonament za użytkowanie w MC odbiorników telewizyjnych (oplata roczna)"/>
    <m/>
    <m/>
    <n v="6"/>
    <n v="7"/>
    <n v="8"/>
    <n v="9"/>
    <s v="-"/>
    <s v="-"/>
    <s v="-"/>
    <m/>
    <x v="0"/>
  </r>
  <r>
    <x v="0"/>
    <x v="0"/>
    <x v="5"/>
    <n v="4000"/>
    <s v="n/d"/>
    <s v="D3"/>
    <s v="WB27.BP.PF"/>
    <s v="MC"/>
    <s v="4"/>
    <n v="0"/>
    <s v="2025.22.01.01.01."/>
    <s v="2025.22.01."/>
    <s v="wdrożenie rozwiązania systemowego do inwentaryzacji majątku MC technologią RFID"/>
    <s v="Wdrożenie systemu inwentaryzacji RFID w celu usprawnienia procesu przeprowadzania inwentaryzacji majątku MC: zakup oprogramowania, kolektorów danych (czytników) i drukarek wraz z usługą wdrożenia rozwiązania (w tym oklejenie mienia nowymi etykietami)"/>
    <m/>
    <m/>
    <n v="0"/>
    <n v="50"/>
    <n v="0"/>
    <n v="0"/>
    <s v="-"/>
    <s v="-"/>
    <s v="-"/>
    <m/>
    <x v="0"/>
  </r>
  <r>
    <x v="0"/>
    <x v="0"/>
    <x v="5"/>
    <n v="4000"/>
    <s v="n/d"/>
    <s v="D3"/>
    <s v="WB27.BP.PF"/>
    <s v="MC"/>
    <s v="4"/>
    <n v="0"/>
    <s v="2025.22.01.01.01."/>
    <s v="2025.22.01."/>
    <s v="badanie sprzętu BHP będącego na wyposażeniu rozdzielni elektrycznych"/>
    <s v="Wymóg narzucony przez PN"/>
    <m/>
    <m/>
    <n v="10"/>
    <n v="10"/>
    <n v="10"/>
    <n v="10"/>
    <s v="-"/>
    <s v="-"/>
    <s v="-"/>
    <m/>
    <x v="0"/>
  </r>
  <r>
    <x v="0"/>
    <x v="0"/>
    <x v="5"/>
    <n v="4270"/>
    <s v="n/d"/>
    <s v="D3"/>
    <s v="WB27.BP.PF"/>
    <s v="MC"/>
    <s v="4"/>
    <n v="0"/>
    <s v="2025.22.01.01.01."/>
    <s v="2025.22.01."/>
    <s v="konserwacja i naprawy klimatyzacji na poziomie -1"/>
    <s v="Konserwacji wymaga klimatyzacja serwerowni pomieszczeń IT oraz rozdzielni LG1, która pozostaje poza projektem realizowanym w roku 2025-2026,"/>
    <m/>
    <m/>
    <n v="20"/>
    <n v="20"/>
    <n v="20"/>
    <n v="20"/>
    <s v="umowa 1086/BDG/21_x000a_zawarta do dnia 2026.03.20"/>
    <s v="Eltri Sp.z o.o."/>
    <m/>
    <s v="zaangażowano środki w kwocie 1.746 zł"/>
    <x v="0"/>
  </r>
  <r>
    <x v="0"/>
    <x v="0"/>
    <x v="5"/>
    <n v="4270"/>
    <s v="n/d"/>
    <s v="D3"/>
    <s v="WB27.BP.PF"/>
    <s v="MC"/>
    <s v="4"/>
    <n v="0"/>
    <s v="2025.22.01.01.01."/>
    <s v="2025.22.01."/>
    <s v="remont holu A i B oraz przebudowa recepcji"/>
    <s v="Remont holu A i B oraz przebudowa recepcji"/>
    <m/>
    <m/>
    <n v="0"/>
    <n v="3000"/>
    <n v="0"/>
    <n v="0"/>
    <s v="-"/>
    <s v="-"/>
    <s v="-"/>
    <m/>
    <x v="0"/>
  </r>
  <r>
    <x v="0"/>
    <x v="0"/>
    <x v="5"/>
    <n v="4270"/>
    <s v="n/d"/>
    <s v="D3"/>
    <s v="WB27.BP.PF"/>
    <s v="MC"/>
    <s v="4"/>
    <n v="0"/>
    <s v="2025.22.01.01.01."/>
    <s v="2025.22.01."/>
    <s v="remont korytarzy"/>
    <s v="Remont korytarzy"/>
    <m/>
    <m/>
    <n v="0"/>
    <n v="3200"/>
    <n v="3200"/>
    <n v="0"/>
    <s v="-"/>
    <s v="-"/>
    <s v="-"/>
    <m/>
    <x v="0"/>
  </r>
  <r>
    <x v="0"/>
    <x v="0"/>
    <x v="5"/>
    <n v="4270"/>
    <s v="n/d"/>
    <s v="D3"/>
    <s v="WB27.BP.PF"/>
    <s v="MC"/>
    <s v="4"/>
    <n v="0"/>
    <s v="2025.22.01.01.01."/>
    <s v="2025.22.01."/>
    <s v="sterowanie oświetleniem w pomieszczeniach socjalnych, kuchni, toaletach"/>
    <s v="Zamontowanie sterowania oświetleniem w pomieszczeniach socjalnych, kuchni i toaletach"/>
    <m/>
    <m/>
    <n v="0"/>
    <n v="0"/>
    <n v="17"/>
    <n v="17"/>
    <s v="-"/>
    <s v="-"/>
    <s v="-"/>
    <m/>
    <x v="0"/>
  </r>
  <r>
    <x v="0"/>
    <x v="0"/>
    <x v="5"/>
    <n v="4270"/>
    <s v="n/d"/>
    <s v="D3"/>
    <s v="WB27.BP.PF"/>
    <s v="MC"/>
    <s v="4"/>
    <n v="0"/>
    <s v="2025.22.01.01.01."/>
    <s v="2025.22.01."/>
    <s v="remont hydroforni"/>
    <s v="Remont hydroforni"/>
    <m/>
    <m/>
    <n v="0"/>
    <n v="130"/>
    <n v="0"/>
    <n v="0"/>
    <s v="-"/>
    <s v="-"/>
    <s v="-"/>
    <m/>
    <x v="0"/>
  </r>
  <r>
    <x v="0"/>
    <x v="0"/>
    <x v="5"/>
    <n v="4270"/>
    <s v="n/d"/>
    <s v="D3"/>
    <s v="WB27.BP.PF"/>
    <s v="MC"/>
    <s v="4"/>
    <n v="0"/>
    <s v="2025.22.01.01.01."/>
    <s v="2025.22.01."/>
    <s v="odnowienie lub wyczyszczenie elewacji"/>
    <s v="Potrzeba odnowienia lub wyczyszczenia elewacji"/>
    <m/>
    <m/>
    <n v="0"/>
    <n v="0"/>
    <n v="310"/>
    <n v="0"/>
    <s v="-"/>
    <s v="-"/>
    <s v="-"/>
    <m/>
    <x v="0"/>
  </r>
  <r>
    <x v="0"/>
    <x v="0"/>
    <x v="5"/>
    <n v="4000"/>
    <s v="n/d"/>
    <s v="D3"/>
    <s v="WB27.BP.PF"/>
    <s v="MC"/>
    <s v="4"/>
    <n v="0"/>
    <s v="2025.22.01.01.01."/>
    <s v="2025.22.01."/>
    <s v="przeniesienie Panelu Systemu PPOŻ z SSO "/>
    <s v="Przeniesienie Panelu Systemu PPOŻ obsługującego SSO z piwnicy do pomieszczenia ochrony konieczne jest w celu zapewnienia możliwości monitorowania systemu przez pracowników ochrony, oraz możliwości podjęcia natychmiastowej reakcji na zaistniałe zdarzenia. "/>
    <m/>
    <m/>
    <n v="50"/>
    <n v="0"/>
    <n v="0"/>
    <n v="0"/>
    <s v="-"/>
    <s v="-"/>
    <s v="-"/>
    <m/>
    <x v="0"/>
  </r>
  <r>
    <x v="0"/>
    <x v="0"/>
    <x v="5"/>
    <n v="4000"/>
    <s v="n/d"/>
    <s v="D3"/>
    <s v="WB27.BP.PF"/>
    <s v="MC"/>
    <s v="4"/>
    <n v="0"/>
    <s v="2025.22.01.01.01."/>
    <s v="2025.22.01."/>
    <s v="najem 6 miejsc garażowych"/>
    <s v="W związku z brakiem terenu przynależnego do MC oraz brakiem posiadania własnego garażu zachodzi konieczność najmu 6 miejsc garażowych poza siedzibą urzędu. Miejsca przeznaczone są dla pojazdów obsługujących kierownictwo ministerstwa"/>
    <m/>
    <m/>
    <n v="69"/>
    <n v="80"/>
    <n v="88"/>
    <n v="97"/>
    <s v="umowa 16/BA/24 _x000a_zawarta do dnia 2026.12.31_x000a_"/>
    <s v="REZYDENT S.A. "/>
    <m/>
    <s v="Na 2026 rok zaangażowano środki w kwocie 68.121,53 zł, na 2027 rok - 5.676,79 zł "/>
    <x v="0"/>
  </r>
  <r>
    <x v="0"/>
    <x v="0"/>
    <x v="5"/>
    <n v="4000"/>
    <s v="n/d"/>
    <s v="D3"/>
    <s v="WB27.BP.PF"/>
    <s v="MC"/>
    <s v="4"/>
    <n v="0"/>
    <s v="2025.22.01.01.01."/>
    <s v="2025.22.01."/>
    <s v="zakup materiałów do konserwacji nieruchomości"/>
    <s v="Dot. elektryki , instalacji wodno-kanaliozacyjnej"/>
    <m/>
    <m/>
    <n v="90"/>
    <n v="90"/>
    <n v="90"/>
    <n v="90"/>
    <s v="-"/>
    <s v="-"/>
    <s v="-"/>
    <m/>
    <x v="0"/>
  </r>
  <r>
    <x v="0"/>
    <x v="0"/>
    <x v="5"/>
    <n v="4270"/>
    <s v="n/d"/>
    <s v="D3"/>
    <s v="WB27.BP.PF"/>
    <s v="MC"/>
    <s v="4"/>
    <n v="0"/>
    <s v="2025.22.01.01.01."/>
    <s v="2025.22.01."/>
    <s v="Serwis stolarki okiennej"/>
    <s v="Przegląd stolarki okiennej w budynku wraz z serwisem"/>
    <m/>
    <m/>
    <n v="220"/>
    <n v="0"/>
    <n v="0"/>
    <n v="300"/>
    <s v="-"/>
    <s v="-"/>
    <s v="-"/>
    <m/>
    <x v="0"/>
  </r>
  <r>
    <x v="0"/>
    <x v="0"/>
    <x v="5"/>
    <n v="4000"/>
    <s v="n/d"/>
    <s v="D3"/>
    <s v="WB27.BP.PF"/>
    <s v="MC"/>
    <s v="4"/>
    <n v="0"/>
    <s v="2025.22.01.01.01."/>
    <s v="2025.22.01."/>
    <s v="Realizacja zaleceń z przeglądu budowalnego nieruchomości"/>
    <s v="Konieczność realizacji zaleceń inspektora nadzoru budowlanego wynika z przepisów prawa budowalnego, pozwoli także utrzymać nieruchomość MC w należytym stanie technicznym i zapobieży jego degradacji technicznej"/>
    <m/>
    <m/>
    <n v="62"/>
    <n v="15"/>
    <n v="15"/>
    <n v="20"/>
    <s v="-"/>
    <s v="-"/>
    <s v="-"/>
    <m/>
    <x v="0"/>
  </r>
  <r>
    <x v="0"/>
    <x v="0"/>
    <x v="5"/>
    <n v="4000"/>
    <s v="n/d"/>
    <s v="D3"/>
    <s v="WB27.BP.PF"/>
    <s v="MC"/>
    <s v="4"/>
    <n v="0"/>
    <s v="2025.22.01.01.01."/>
    <s v="2025.22.01."/>
    <s v="600 sztuk subskrypcji Office 365 E5 na okres 36 miesięcy od 1 czerwca 2026 do 31 maja 2029"/>
    <s v="Płatność co 3 lata - 600 subskrypcji"/>
    <m/>
    <m/>
    <n v="6000"/>
    <n v="0"/>
    <n v="0"/>
    <n v="0"/>
    <s v="-"/>
    <s v="-"/>
    <s v="-"/>
    <m/>
    <x v="0"/>
  </r>
  <r>
    <x v="0"/>
    <x v="0"/>
    <x v="5"/>
    <n v="4000"/>
    <s v="n/d"/>
    <s v="D3"/>
    <s v="WB27.BP.PF"/>
    <s v="MC"/>
    <s v="4"/>
    <s v="0"/>
    <s v="2025.22.01.01.01."/>
    <s v="2025.22.01."/>
    <s v="cykliczna dostawa napojów i art. spożywczych"/>
    <s v="Cykliczna dostawa napojów i art. spożywczych na potrzeby MC (zakup art. spożywczych) "/>
    <n v="100"/>
    <m/>
    <n v="120"/>
    <n v="120"/>
    <n v="130"/>
    <n v="130"/>
    <s v="umowa 172/BA/25"/>
    <s v="-"/>
    <s v="-"/>
    <s v="zaangażowano środki w kwocie 28.000 zł_x000a__x000a_obecna umowa 124/BA/24, _x000a_w procedowaniu nowa umowa 172/BA/25 (od 05.2025 r.)"/>
    <x v="0"/>
  </r>
  <r>
    <x v="0"/>
    <x v="0"/>
    <x v="5"/>
    <n v="4000"/>
    <s v="n/d"/>
    <s v="D3"/>
    <s v="WB27.BP.PF"/>
    <s v="MC"/>
    <s v="4"/>
    <s v="0"/>
    <s v="2025.22.01.01.01."/>
    <s v="2025.22.01."/>
    <s v="prasa drukowana"/>
    <s v="Sukcesywna dostaw prasy drukowanej na potrzeby MC umowa nr 24/BA/25/A zawarta na 12 miesięcy 02.2025 - 02.2026"/>
    <n v="65"/>
    <m/>
    <n v="75"/>
    <n v="75"/>
    <n v="75"/>
    <n v="75"/>
    <s v="umowa 24/BA/25/A_x000a_zawarta do dnia 2026.02.06"/>
    <s v="Kolporter SA"/>
    <s v="-"/>
    <s v="zaangażowano środki w kwocie 11.809,41 zł"/>
    <x v="0"/>
  </r>
  <r>
    <x v="0"/>
    <x v="0"/>
    <x v="5"/>
    <n v="4000"/>
    <s v="n/d"/>
    <s v="D3"/>
    <s v="WB27.BP.PF"/>
    <s v="MC"/>
    <s v="4"/>
    <s v="0"/>
    <s v="2025.22.01.01.01."/>
    <s v="2025.22.01."/>
    <s v="prasa elektroniczna"/>
    <s v="Dostępy do prasy w formie elektronicznej, umowa 24/BA/25/B zawarta na 12 miesięcy 02-2025 - 02.2026"/>
    <n v="52"/>
    <m/>
    <n v="45"/>
    <n v="45"/>
    <n v="45"/>
    <n v="45"/>
    <s v="wniosek 24/BA/25/B"/>
    <s v="-"/>
    <s v="-"/>
    <s v="zaangażowano środki w kwocie 5.375 zł"/>
    <x v="0"/>
  </r>
  <r>
    <x v="0"/>
    <x v="0"/>
    <x v="5"/>
    <n v="4000"/>
    <s v="n/d"/>
    <s v="D3"/>
    <s v="WB27.BP.PF"/>
    <s v="MC"/>
    <s v="4"/>
    <s v="0"/>
    <s v="2025.22.01.01.01."/>
    <s v="2025.22.01."/>
    <s v="zakup urządzeń teleinformatycznych"/>
    <s v="Zakup telefonów, laptopów, monitorów, stacji dokujących, tabletów i urządzeń peryferyjnych na potrzeby pracowników MC. "/>
    <n v="2400"/>
    <m/>
    <n v="1000"/>
    <n v="1000"/>
    <n v="1000"/>
    <n v="1000"/>
    <s v="-"/>
    <s v="-"/>
    <s v="-"/>
    <s v="trwa postępowanie COAR - umowa ramowa na 24 mies."/>
    <x v="0"/>
  </r>
  <r>
    <x v="0"/>
    <x v="0"/>
    <x v="5"/>
    <m/>
    <m/>
    <m/>
    <m/>
    <m/>
    <m/>
    <m/>
    <m/>
    <m/>
    <m/>
    <s v="Pozostała kwota w limicie wydatków na 2025 rok"/>
    <n v="2050"/>
    <m/>
    <m/>
    <m/>
    <m/>
    <m/>
    <m/>
    <m/>
    <m/>
    <m/>
    <x v="1"/>
  </r>
  <r>
    <x v="0"/>
    <x v="0"/>
    <x v="5"/>
    <m/>
    <m/>
    <m/>
    <m/>
    <m/>
    <m/>
    <m/>
    <m/>
    <m/>
    <m/>
    <s v="OGÓŁEM BA"/>
    <n v="56125"/>
    <n v="11857"/>
    <n v="60046"/>
    <n v="55209"/>
    <n v="51180"/>
    <n v="46831"/>
    <m/>
    <m/>
    <m/>
    <m/>
    <x v="1"/>
  </r>
  <r>
    <x v="0"/>
    <x v="0"/>
    <x v="6"/>
    <n v="4000"/>
    <s v="n/d"/>
    <s v="D3"/>
    <s v="WB27.BP.PF"/>
    <s v="MC"/>
    <s v="4"/>
    <s v="0"/>
    <s v="2025.16.05.02.02."/>
    <s v="2025.16.05."/>
    <s v="Audyty dostepności cyfrowej stron internetowych "/>
    <s v="Audyty dostepności cyfrowej stron internetowych podmiotów publicznych zgodnie z realizacją zadań nałożonych przez Ustawę z dnia 4 kwietnia 2019 r. o dostępności cyfrowej stron internetowych i aplikacji mobilnych podmiotów publicznych (art. 12 pkt 2)"/>
    <n v="500"/>
    <m/>
    <n v="600"/>
    <n v="600"/>
    <n v="600"/>
    <n v="600"/>
    <s v="-"/>
    <s v="-"/>
    <s v="art. 12 pkt 2ustawy z dnia 4 kwietnia 2019 r. o dostępności cyfrowej stron internetowych i aplikacji mobilnych podmiotów publicznych (Dz. U. z 2023 r. poz. 1440, z późn. zm.)"/>
    <s v="W 2026 r. procedowana będzie kolejna umowa na kolejne lata"/>
    <x v="0"/>
  </r>
  <r>
    <x v="0"/>
    <x v="0"/>
    <x v="6"/>
    <n v="4000"/>
    <s v="n/d"/>
    <s v="D3"/>
    <s v="WB27.BP.PF"/>
    <s v="MC"/>
    <s v="4"/>
    <s v="0"/>
    <s v="2025.16.05.02.02."/>
    <s v="2025.16.05."/>
    <s v="Audyty dostepności cyfrowej aplikacji mobilnych "/>
    <s v="Audyty dostepności cyfrowej aplikacji mobilnych podmiotów publicznych zgodne z realizacją zadań nałożonych przez Ustawę z dnia 4 kwietnia 2019 r. o dostępności cyfrowej stron internetowych i aplikacji mobilnych podmiotów publicznych (art. 12 pkt 2)"/>
    <n v="300"/>
    <m/>
    <n v="400"/>
    <n v="400"/>
    <n v="400"/>
    <n v="400"/>
    <s v="-"/>
    <s v="-"/>
    <s v="art. 12 pkt 2ustawy z dnia 4 kwietnia 2019 r. o dostępności cyfrowej stron internetowych i aplikacji mobilnych podmiotów publicznych (Dz. U. z 2023 r. poz. 1440, z późn. zm.)"/>
    <s v="W 2026 r. procedowana będzie kolejna umowa na kolejne lata"/>
    <x v="0"/>
  </r>
  <r>
    <x v="0"/>
    <x v="0"/>
    <x v="6"/>
    <n v="4000"/>
    <s v="n/d"/>
    <s v="D3"/>
    <s v="WB27.BP.PF"/>
    <s v="MC"/>
    <s v="4"/>
    <s v="0"/>
    <s v="2025.16.05.02.02."/>
    <s v="2025.16.05."/>
    <s v="Utrzymanie programu do badania dostepności cyfrowej stron internetowych "/>
    <s v="Utrzymanie programu do badania dostepności cyfrowej stron internetowych "/>
    <n v="300"/>
    <m/>
    <n v="300"/>
    <n v="300"/>
    <n v="300"/>
    <n v="300"/>
    <s v="-"/>
    <s v="-"/>
    <s v="-"/>
    <s v="W 2026 r. procedowana będzie kolejna umowa na kolejne lata"/>
    <x v="0"/>
  </r>
  <r>
    <x v="0"/>
    <x v="0"/>
    <x v="6"/>
    <n v="4000"/>
    <s v="n/d"/>
    <s v="D3"/>
    <s v="WB27.BP.PF"/>
    <s v="MC"/>
    <s v="4"/>
    <s v="0"/>
    <s v="2025.16.05.02.02."/>
    <s v="2025.16.05."/>
    <s v="Tłumaczenie dokumentów dot. dostępności cyfrowej (normy, WCAG)"/>
    <s v="Tłumaczenie dokumentów dot. dostępności cyfrowej (normy, WCAG)"/>
    <n v="20"/>
    <m/>
    <n v="20"/>
    <n v="20"/>
    <n v="20"/>
    <n v="20"/>
    <s v="-"/>
    <s v="-"/>
    <s v="-"/>
    <s v="W 2026 r. procedowana będzie kolejna umowa na kolejne lata - do decyzji Kierownictwa"/>
    <x v="1"/>
  </r>
  <r>
    <x v="0"/>
    <x v="0"/>
    <x v="6"/>
    <n v="4000"/>
    <s v="n/d"/>
    <s v="D3"/>
    <s v="WB27.BP.PF"/>
    <s v="MC"/>
    <s v="4"/>
    <s v="0"/>
    <s v="2025.16.05.02.02."/>
    <s v="2025.16.05."/>
    <s v="Badania i analizy"/>
    <s v="Realizacja badań i analiz w zakresie kompetencji cyfrowych wynika z regulaminu organizacyjnego"/>
    <n v="2000"/>
    <m/>
    <n v="2000"/>
    <n v="2000"/>
    <n v="2000"/>
    <n v="2000"/>
    <s v="-"/>
    <s v="-"/>
    <s v="-"/>
    <s v="do decyzji Kierownictwa"/>
    <x v="1"/>
  </r>
  <r>
    <x v="0"/>
    <x v="0"/>
    <x v="6"/>
    <n v="4000"/>
    <s v="n/d"/>
    <s v="D3"/>
    <s v="WB27.BP.PF"/>
    <s v="MC"/>
    <s v="4"/>
    <s v="0"/>
    <s v="2025.16.05.02.02."/>
    <s v="2025.16.05."/>
    <s v="Zakup narzędzia do tworzenia ankiet onlinie"/>
    <s v="Narzędzie jest niezbędne do realizacji niektórych badań własnymi zasobami "/>
    <n v="15"/>
    <m/>
    <n v="20"/>
    <n v="20"/>
    <n v="20"/>
    <n v="20"/>
    <s v="-"/>
    <s v="-"/>
    <s v="-"/>
    <s v="W 2026 r. procedowana będzie kolejna umowa na kolejne lata"/>
    <x v="0"/>
  </r>
  <r>
    <x v="0"/>
    <x v="0"/>
    <x v="6"/>
    <n v="4000"/>
    <s v="n/d"/>
    <s v="D3"/>
    <s v="WB27.BP.PF"/>
    <s v="MC"/>
    <s v="4"/>
    <s v="0"/>
    <s v="2025.16.05.02.02."/>
    <s v="2025.16.05."/>
    <s v="Pełnienie funkcji Podmiotu Zewnętrznego Zapewnienia Jakości "/>
    <s v="Pełnienie funkcji Podmiotu Zewnętrznego Zapewnienia Jakości przez Siecią Badawczą Łukasiewicz - Instytutem Technologii Eksploatacji oraz Grupę Gumułkę - Euroedukacja, w stosunku do Intytucji Certyfikujących"/>
    <n v="400"/>
    <m/>
    <n v="550"/>
    <n v="600"/>
    <n v="600"/>
    <n v="600"/>
    <s v="1. umowy 276/CRKC/24, od 414-do 441/CRKC/23_x000a_umowy zawarte do 2026.12.31, 2026.05.24, 2026.05.09, 2026.09.05, 2026.08.30_x000a_2. wnioski od 46 - do 59/CRKC/25"/>
    <s v="Sieć Badawcza Łukasiewicz – Instytut Technologii Eksploatacji, Grupa Gumułka - Euroedukacja Sp.z o.o."/>
    <s v="Ustawa z 22 grudnia 2015 r. o Zintegrowanym Systemie Kwalifikacji (Dz. U. z 2024 r. poz. 1606)"/>
    <s v="1. zaangażowano środki w kwocie 343.339,16 zł_x000a_2. zaangażowano środki w kwocie 136.283 zł"/>
    <x v="0"/>
  </r>
  <r>
    <x v="0"/>
    <x v="0"/>
    <x v="6"/>
    <n v="4170"/>
    <s v="n/d"/>
    <s v="D3"/>
    <s v="WB27.BP.PF"/>
    <s v="MC"/>
    <s v="4"/>
    <s v="0"/>
    <s v="2025.16.05.02.02."/>
    <s v="2025.16.05."/>
    <s v="Pełnienie funkcji Specjalisty bądź Eksperta"/>
    <s v="Wykonawca przyjmując do wykonania Zadanie działa jako specjalista  bądź ekspert powołany do zespołu ekspertów, o którym mowa w ustawie o ZSK i rozporządzeniu MEN"/>
    <n v="50"/>
    <m/>
    <n v="100"/>
    <n v="100"/>
    <n v="100"/>
    <n v="100"/>
    <s v="-"/>
    <s v="-"/>
    <s v="Ustawa z 22 grudnia 2015 r. o Zintegrowanym Systemie Kwalifikacji (Dz. U. z 2024 r. poz. 1606)"/>
    <m/>
    <x v="0"/>
  </r>
  <r>
    <x v="0"/>
    <x v="0"/>
    <x v="6"/>
    <n v="2810"/>
    <s v="n/d"/>
    <s v="D1"/>
    <s v="DGW27.BP.PF"/>
    <s v="MC"/>
    <s v="2"/>
    <s v="0"/>
    <s v="2025.16.05.02.02."/>
    <s v="2025.16.05."/>
    <s v="Program wieloletni &quot;Program Rozwoju Talentów Informatycznych na lata 2019-2029&quot;"/>
    <s v="Uchwała nr 43 Rady Ministrów z dnia 28 maja 2019 r. w sprawie ustanowienia programu wieloletniego &quot;Program Rozwoju Talentów Informatycznych na lata 2019-2029&quot;, zmienioną uchwałą nr 134 Rady Ministrów z dnia 25 września 2020 r. oraz uchwałą nr 138 Rady Ministrów z dnia 25 października 2021 r. zmieniającą uchwałę w sprawie ustanowienia programu wieloletniego &quot;Program Rozwoju Talentów Informatycznych na lata 2019-2029&quot;. Planowane jest ogłoszenie konkursów Ministra Cyfryzacji na przeprowadzenie konkursów: Mistrzostwa w Algorytmice i Programowaniu, Mistrzostwa w Projektowaniu Gier Komputerowych"/>
    <n v="9000"/>
    <m/>
    <n v="9000"/>
    <n v="9000"/>
    <n v="9000"/>
    <n v="6200"/>
    <s v="-"/>
    <s v="organizacje pozarządowe lub podmioty wymienione w art. 3 ust. 3 ustawy z dnia 24 kwietnia 2003 r. o działalności pożytku publicznego i o wolontariacie (Dz. U. z 2020 r. poz. 1057),"/>
    <s v="art. 16 ust. 1 ustawy z dnia 24 kwietnia 2003 r. o działalności pożytku publicznego i o wolontariacie (Dz. U. z 2020 r. poz. 1057 ze zm.)"/>
    <m/>
    <x v="0"/>
  </r>
  <r>
    <x v="0"/>
    <x v="0"/>
    <x v="6"/>
    <n v="2810"/>
    <s v="n/d"/>
    <s v="D1"/>
    <s v="DGW27.BP.PF"/>
    <s v="MC"/>
    <s v="2"/>
    <s v="0"/>
    <s v="2025.16.05.02.02."/>
    <s v="2025.16.05."/>
    <s v="Program współpracy Ministra Cyfryzacji z organizacjami pozarządowymi oraz podmiotami wymienionymi w art. 3 ust. 3 ustawy o działalności pożytku publicznego i o wolontariacie na lata 2022-2024"/>
    <s v="Program współpracy Ministra Cyfryzacji z organizacjami pozarządowymi oraz podmiotami wymienionymi w art. 3 ust. 3 ustawy o działalności pożytku publicznego i o wolontariacie na lata 2025-2027 na kwotę 35.000.000 zł. Podstawa prawna  -  art. 5b ust. 1 ustawy z dnia 24 kwietnia 2003 r. o działalności pożytku publicznego i o wolontariacie (Dz. U. z 2020 r. poz. 1057 oraz z 2021 r. poz. 1038, 1243 i 1535). Planowane jest ogłoszenie konkursów skierowanych do NGO m.in. w przedmocie szkoleń z zaawansowanych kompetancji cyfrowych dla kobiet oraz innych grup odbiorców. "/>
    <n v="25500"/>
    <m/>
    <n v="35000"/>
    <n v="35000"/>
    <n v="35000"/>
    <n v="35000"/>
    <s v="-"/>
    <s v="organizacje pozarządowe, o których mowa w art. 3 ust. 2 Ustawy o z dnia 24 kwietnia 2003 r. o działalności pożytku publicznego i o wolontariacie (Dz.U. z 2024 r. poz. 1491, z późn. zm.) oraz podmioty wymienione w art. 3 ust. 3 ww. ustawy"/>
    <s v="art. 16 ust. 1 ustawy z dnia 24 kwietnia 2003 r. o działalności pożytku publicznego i o wolontariacie (Dz. U. z 2020 r. poz. 1057 ze zm.)"/>
    <m/>
    <x v="0"/>
  </r>
  <r>
    <x v="0"/>
    <x v="0"/>
    <x v="6"/>
    <n v="4000"/>
    <s v="n/d"/>
    <s v="D3"/>
    <s v="WB27.BP.PF"/>
    <s v="MC"/>
    <s v="4"/>
    <s v="0"/>
    <s v="2025.16.05.02.02."/>
    <s v="2025.16.05."/>
    <s v="Przeciwdziałanie dezinformacji "/>
    <s v="Przeciwdziałanie dezinformacji _x000a_W ramach zadania planowane są działania związane z dezinformacją m.in. szkolenia, działania informacyjno – promocyjne ( w tym m.in. szkolenia, informacja oraz promocja w radiu i telewizji, internecie ). "/>
    <n v="2887"/>
    <m/>
    <n v="5000"/>
    <n v="5000"/>
    <n v="5000"/>
    <n v="5000"/>
    <s v="-"/>
    <s v="-"/>
    <s v="-"/>
    <m/>
    <x v="0"/>
  </r>
  <r>
    <x v="0"/>
    <x v="0"/>
    <x v="6"/>
    <n v="2800"/>
    <s v="n/d"/>
    <s v="D1"/>
    <s v="DGW27.BP.PF"/>
    <s v="MC"/>
    <s v="2"/>
    <s v="0"/>
    <s v="2025.16.05.02.02."/>
    <s v="2025.16.05."/>
    <s v="Rozwój kompetencji cyfrowych w zakresie inżynierii kwantowej "/>
    <s v="Dotacja celowa na wydatki bieżące  dla Instytutu Chemii Bioorganicznej PAN Poznańskie Centrum Superkomputerowo-Sieciowe w Poznaniu z przeznaczeniem na realizację projektu &quot;Rozwój kompetencji cyfrowych w zakresie inżynierii kwantowej &quot;-  na  podstawie   art. 10c ust 1,2 i 6  ustawy z dnia 8 sierpnia 1996 r. o Radzie Ministrów planowane jest wydanie decyzji Prezesa Rady Ministrów  powierzającej Instytutowi realizację ww. projektu . Przewiduje się wydtaki min. na, wsparcie w zakresie wykorzystania mocy obliczeniowych komputera kwantowego IBM Quantum,Opracowanie wytycznych/założeń do programów studiów w zakresie inżynierii kwantowej, Przeprowadzenie pilotażu szkoleń dla kadry akademickiej z zakresu tematyki inżynierii kwantowej"/>
    <n v="7335"/>
    <m/>
    <n v="10000"/>
    <n v="10000"/>
    <n v="10000"/>
    <n v="10000"/>
    <s v="-"/>
    <s v=" Instytut Chemii Bioorganicznej PAN  w Poznaniu "/>
    <s v="art. 10c ust 1,2 i 6  ustawy z dnia 8 sierpnia 1996 r. o Radzie Ministrów"/>
    <s v="do decyzji Kierownictwa"/>
    <x v="1"/>
  </r>
  <r>
    <x v="0"/>
    <x v="0"/>
    <x v="6"/>
    <n v="2830"/>
    <s v="n/d"/>
    <s v="D1"/>
    <s v="DGW27.BP.PF"/>
    <s v="MC"/>
    <s v="2"/>
    <s v="0"/>
    <s v="2025.16.05.02.02."/>
    <s v="2025.16.05."/>
    <s v="Monitoring treści o potencjale dezinformacyjnym w mediach społecznościowych i stronach internetowych oraz prace rozwojowe nad budowaniem odporności administracji publicznej oraz społeczeństwa wobec zjawiska dezinformacji poprzez działania naukowe i edukacyjne."/>
    <s v="Dotacja celowa na wydatki bieżące dla NASK-PIB  z przeznaczeniem na realizację zadania pn. „Monitoring treści o potencjale dezinformacyjnym w mediach społecznościowych i stronach internetowych oraz prace rozwojowe nad budowaniem odporności administracji publicznej oraz społeczeństwa wobec zjawiska dezinformacji poprzez działania naukowe i edukacyjne&quot;, na podstawie art. 37 ust. 1  ustawy z dnia 30 kwietnia 2010 r. o instytutach badawczych (Dz. U. z 2022 r. poz. 498)"/>
    <n v="14410"/>
    <m/>
    <n v="14409"/>
    <n v="14409"/>
    <n v="14409"/>
    <n v="14409"/>
    <s v="-"/>
    <s v="Naukowa i Akademicka Sieć Komputerowa – Państwowy Instytut Badawczy"/>
    <s v="art. 37 ust. 1  ustawy z dnia 30 kwietnia 2010 r. o instytutach badawczych (Dz. U. z 2024 r. poz. 534).  "/>
    <m/>
    <x v="0"/>
  </r>
  <r>
    <x v="0"/>
    <x v="0"/>
    <x v="6"/>
    <n v="2830"/>
    <s v="n/d"/>
    <s v="D1"/>
    <s v="DGW27.BP.PF"/>
    <s v="MC"/>
    <s v="2"/>
    <s v="0"/>
    <s v="2025.16.05.02.02."/>
    <s v="2025.16.05."/>
    <s v="Higiena cyfrowa"/>
    <s v="Dotacja celowa na wydatki bieżące dla NASK-PIB  z przeznaczeniem na realizację zadania pn. „Higiena cyfrowa&quot;, na podstawie.art. 21 ust. 6 i art. 22 pkt 2 lit. a ustawy ustawy z dnia 30 kwietnia 2010 r. o instytutach badawczych (Dz. U. z 2022 r. poz. 498)"/>
    <m/>
    <m/>
    <n v="3000"/>
    <n v="3000"/>
    <n v="3000"/>
    <n v="3000"/>
    <s v="-"/>
    <s v="Naukowa i Akademicka Sieć Komputerowa – Państwowy Instytut Badawczy"/>
    <s v="art. 21 ust. 6 i art. 22 pkt 2 lit. a  ustawy z dnia 30 kwietnia 2010 r. o instytutach badawczych (Dz. U. z 2024 r. poz. 534). "/>
    <s v="do decyzji Kierownictwa"/>
    <x v="1"/>
  </r>
  <r>
    <x v="0"/>
    <x v="0"/>
    <x v="6"/>
    <n v="2830"/>
    <s v="n/d"/>
    <s v="D1"/>
    <s v="DGW27.BP.PF"/>
    <s v="MC"/>
    <s v="2"/>
    <s v="0"/>
    <s v="2025.16.05.02.02."/>
    <s v="2025.16.05."/>
    <s v="Broń się w necie"/>
    <s v="Dotacja celowa na wydatki bieżące dla NASK-PIB  z przeznaczeniem na realizację zadania pn. „Broń się w necie&quot;, na podstawie.art. 21 ust. 6 i art. 22 pkt 2 lit. a ustawy ustawy z dnia 30 kwietnia 2010 r. o instytutach badawczych (Dz. U. z 2022 r. poz. 498)"/>
    <m/>
    <m/>
    <n v="3000"/>
    <n v="3000"/>
    <n v="3000"/>
    <n v="3000"/>
    <s v="-"/>
    <s v="Naukowa i Akademicka Sieć Komputerowa – Państwowy Instytut Badawczy"/>
    <s v="21 ust. 6 i art. 22 pkt 2 lit. a  ustawy z dnia 30 kwietnia 2010 r. o instytutach badawczych (Dz. U. z 2024 r. poz. 534). "/>
    <s v="do decyzji Kierownictwa"/>
    <x v="1"/>
  </r>
  <r>
    <x v="0"/>
    <x v="0"/>
    <x v="6"/>
    <n v="2830"/>
    <s v="n/d"/>
    <s v="D1"/>
    <s v="DGW27.BP.PF"/>
    <s v="MC"/>
    <s v="2"/>
    <s v="0"/>
    <s v="2025.16.05.02.02."/>
    <s v="2025.16.05."/>
    <s v="Szkolenia dla Policji i PSP"/>
    <s v="Dotacja celowa na wydatki bieżące dla NASK-PIB  z przeznaczeniem na realizację zadania pn. Szkolenia dla Policji i PSP&quot;, na podstawie art. 37 ust. 1 pkt 1 ustawy o instytutach badawczych"/>
    <m/>
    <m/>
    <n v="3000"/>
    <n v="3000"/>
    <n v="3000"/>
    <n v="3000"/>
    <s v="-"/>
    <s v="Naukowa i Akademicka Sieć Komputerowa – Państwowy Instytut Badawczy"/>
    <s v=" art. 45 ust. 1 pkt 4 i art. 36 ust. 7 pkt 1  ustawy o krajowym systemie cyberbezpieczeństwa oraz art. 37 ust. 1  ustawy z dnia 30 kwietnia 2010 r. o instytutach badawczych (Dz. U. z 2024 r. poz. 534).   "/>
    <s v="do decyzji Kierownictwa"/>
    <x v="1"/>
  </r>
  <r>
    <x v="0"/>
    <x v="0"/>
    <x v="6"/>
    <n v="2830"/>
    <s v="n/d"/>
    <s v="D1"/>
    <s v="DGW27.BP.PF"/>
    <s v="MC"/>
    <s v="2"/>
    <s v="0"/>
    <s v="2025.16.05.02.02."/>
    <s v="2025.16.05."/>
    <s v="Dotacja celowa dla NASK-PIB na wdrożenie przez NASK-PIB portalu o kompetencjach cyfrowych  oraz organizacji konferencji „Digital Skills Summit” realizowanych w ramach „Programu Rozwoju Kompetencji Cyfrowych”"/>
    <s v="Realizacja działań wynikających z  Programu Rozwoju Kompetencji Cyfrowych"/>
    <n v="1300"/>
    <m/>
    <n v="2200"/>
    <n v="2200"/>
    <n v="2200"/>
    <n v="2200"/>
    <s v="-"/>
    <s v="Naukowa i Akademicka Sieć Komputerowa – Państwowy Instytut Badawczy"/>
    <s v="art. 21 ust. 6 i art. 22 pkt 2 lit. a  ustawy z dnia 30 kwietnia 2010 r. o instytutach badawczych (Dz. U. z 2024 r. poz. 534). "/>
    <s v="do decyzji Kierownictwa"/>
    <x v="1"/>
  </r>
  <r>
    <x v="0"/>
    <x v="0"/>
    <x v="6"/>
    <n v="2830"/>
    <s v="n/d"/>
    <s v="D1"/>
    <s v="DGW27.BP.PF"/>
    <s v="MC"/>
    <s v="2"/>
    <s v="0"/>
    <s v="2025.16.05.02.02."/>
    <s v="2025.16.05."/>
    <s v="Dotacja celowa dla NASK-PIB na realizację projektu szkoleniowego dla seniorów i uczniów pn. Szkoła międzypokoleniowa"/>
    <s v="Realizacja działań wynikających z  Programu Rozwoju Kompetencji Cyfrowych"/>
    <n v="3000"/>
    <m/>
    <n v="6200"/>
    <n v="6200"/>
    <n v="6200"/>
    <n v="6200"/>
    <s v="-"/>
    <s v="Naukowa i Akademicka Sieć Komputerowa – Państwowy Instytut Badawczy"/>
    <s v="art. 21 ust. 6 i art. 22 pkt 2 lit. a  ustawy z dnia 30 kwietnia 2010 r. o instytutach badawczych (Dz. U. z 2024 r. poz. 534). "/>
    <s v="do decyzji Kierownictwa"/>
    <x v="1"/>
  </r>
  <r>
    <x v="0"/>
    <x v="0"/>
    <x v="6"/>
    <n v="2830"/>
    <s v="n/d"/>
    <s v="D1"/>
    <s v="DGW27.BP.PF"/>
    <s v="MC"/>
    <s v="2"/>
    <s v="0"/>
    <s v="2025.16.05.02.02."/>
    <s v="2025.16.05."/>
    <s v="Dotacja celowa dla NASK-PIB na realizację projektu szkoleniowego  w sanatoriach &quot;e-Fajfy&quot; "/>
    <s v="Realizacja działań wynikających z  Programu Rozwoju Kompetencji Cyfrowych"/>
    <m/>
    <m/>
    <n v="3500"/>
    <n v="3500"/>
    <n v="3500"/>
    <n v="3500"/>
    <s v="-"/>
    <s v="Naukowa i Akademicka Sieć Komputerowa – Państwowy Instytut Badawczy"/>
    <s v="art. 21 ust. 6 i art. 22 pkt 2 lit. a  ustawy z dnia 30 kwietnia 2010 r. o instytutach badawczych (Dz. U. z 2024 r. poz. 534). "/>
    <s v="do decyzji Kierownictwa"/>
    <x v="1"/>
  </r>
  <r>
    <x v="0"/>
    <x v="0"/>
    <x v="6"/>
    <m/>
    <m/>
    <m/>
    <m/>
    <m/>
    <m/>
    <m/>
    <m/>
    <m/>
    <m/>
    <s v="Pozostała kwota w limicie wydatków na 2025 rok"/>
    <n v="2983"/>
    <m/>
    <m/>
    <m/>
    <m/>
    <m/>
    <m/>
    <m/>
    <m/>
    <m/>
    <x v="1"/>
  </r>
  <r>
    <x v="0"/>
    <x v="0"/>
    <x v="6"/>
    <m/>
    <m/>
    <m/>
    <m/>
    <m/>
    <m/>
    <m/>
    <m/>
    <m/>
    <m/>
    <s v="OGÓŁEM CRKC"/>
    <n v="70000"/>
    <n v="39821"/>
    <n v="98299"/>
    <n v="98349"/>
    <n v="98349"/>
    <n v="95549"/>
    <m/>
    <m/>
    <m/>
    <m/>
    <x v="1"/>
  </r>
  <r>
    <x v="0"/>
    <x v="0"/>
    <x v="7"/>
    <n v="4000"/>
    <s v="n/d"/>
    <s v="D3"/>
    <s v="WB27.BP.PF"/>
    <s v="MC"/>
    <s v="4"/>
    <s v="0"/>
    <s v="2025.16.05.02.01."/>
    <s v="2025.16.05."/>
    <s v="Dzień Ochrony Danych Osobowych SPRP"/>
    <s v="Cykliczne wydarzenie, raz w roku"/>
    <n v="80"/>
    <m/>
    <n v="50"/>
    <n v="50"/>
    <n v="50"/>
    <n v="50"/>
    <s v="-"/>
    <s v="-"/>
    <s v="-"/>
    <s v="Coroczne wydarzenie przy współpracy z SP RP w Brukseli, MC refinansuje koszty związane z cateringiem"/>
    <x v="0"/>
  </r>
  <r>
    <x v="0"/>
    <x v="0"/>
    <x v="7"/>
    <n v="4000"/>
    <s v="n/d"/>
    <s v="D3"/>
    <s v="WB27.BP.PF"/>
    <s v="MC"/>
    <s v="4"/>
    <s v="0"/>
    <s v="2025.16.05.02.01."/>
    <s v="2025.16.05."/>
    <s v="Materiały informacyjno-promocyjne"/>
    <s v="Zakup materiałów informacyjno-promocyjnych"/>
    <m/>
    <m/>
    <n v="0"/>
    <n v="0"/>
    <n v="0"/>
    <n v="50"/>
    <s v="-"/>
    <s v="-"/>
    <s v="-"/>
    <s v="Materiały promocyjne dot otwierania danych oraz portali dane.gov.pl i kronika.gov.pl"/>
    <x v="1"/>
  </r>
  <r>
    <x v="0"/>
    <x v="0"/>
    <x v="7"/>
    <n v="6060"/>
    <m/>
    <s v="D3"/>
    <s v="WB27.BP.PF"/>
    <s v="MC"/>
    <s v="6"/>
    <s v="0"/>
    <s v="2025.16.05.02.01."/>
    <s v="2025.16.05."/>
    <s v="BUDOWA, MODERNIZACJA I ROZWÓJ INFRASTRUKTURY SYSTEMÓW, REJESTRÓW I EWIDENCJI PAŃSTWOWYCH: Funkcjonowanie portalu danych (dane.gov.pl)"/>
    <s v="Funkcjonowanie portalu danych (dane.gov.pl). Rozwój oprogramowania. Zgodnie z informacją uzyskaną w DTC za utrzymanie w ramach Programu Wieloletniego u ma odpowiadać DTC, natomiast rozwój portalu powinien być zabezpieczony przez k.o."/>
    <m/>
    <m/>
    <n v="6000"/>
    <n v="6600"/>
    <n v="7100"/>
    <n v="8000"/>
    <s v="-"/>
    <s v="-"/>
    <s v="-"/>
    <s v="Dane w oparciu o szacunki COI dot. rozwoju portalu dane.gov.pl zamieszczone w projekcie założeń budzetowych dla Programu wieloletniego stanowiącego dokument wykonawczy do Strategii Cyfryzacji "/>
    <x v="0"/>
  </r>
  <r>
    <x v="0"/>
    <x v="0"/>
    <x v="7"/>
    <n v="4000"/>
    <s v="n/d"/>
    <s v="D3"/>
    <s v="WB27.BP.PF"/>
    <s v="MC"/>
    <s v="4"/>
    <s v="0"/>
    <s v="2025.16.05.02.01."/>
    <s v="2025.16.05."/>
    <s v="Ewaluacja Programu otwierania danych na lata 2021-2027"/>
    <s v="Ewaluacja Programu otwierania danych na lata 2021-2027"/>
    <n v="150"/>
    <m/>
    <n v="0"/>
    <n v="150"/>
    <n v="0"/>
    <n v="0"/>
    <s v="-"/>
    <s v="-"/>
    <s v="-"/>
    <s v="Ewaluacja programu na zakończenie jego realizacji"/>
    <x v="1"/>
  </r>
  <r>
    <x v="0"/>
    <x v="0"/>
    <x v="7"/>
    <n v="4000"/>
    <s v="n/d"/>
    <s v="D3"/>
    <s v="WB27.BP.PF"/>
    <s v="MC"/>
    <s v="4"/>
    <s v="0"/>
    <s v="2025.16.05.02.01."/>
    <s v="2025.16.05."/>
    <s v="Realizacja programu otwierania danych na lata 2021-2027"/>
    <s v="Realizacja programu otwierania danych na lata 2021-2027"/>
    <n v="150"/>
    <m/>
    <n v="100"/>
    <n v="100"/>
    <n v="0"/>
    <n v="0"/>
    <s v="-"/>
    <s v="-"/>
    <s v="-"/>
    <s v="Realizacja programu otwierania danych na lata 2021-2027"/>
    <x v="0"/>
  </r>
  <r>
    <x v="0"/>
    <x v="0"/>
    <x v="7"/>
    <n v="4000"/>
    <s v="n/d"/>
    <s v="D3"/>
    <s v="WB27.BP.PF"/>
    <s v="MC"/>
    <s v="4"/>
    <s v="0"/>
    <s v="2025.16.05.02.01."/>
    <s v="2025.16.05."/>
    <s v="Koszty organizacji i obsługi  konferencji "/>
    <s v="Koszty organizacji i obsługi  konferencji The Future is Data"/>
    <n v="483"/>
    <m/>
    <n v="0"/>
    <n v="0"/>
    <n v="0"/>
    <n v="300"/>
    <s v="-"/>
    <s v="-"/>
    <s v="-"/>
    <s v="Konferencja odbywa się cyklicznie, w latach 2026-2028 zakładamy realizację konferencji ze środków projektowych"/>
    <x v="1"/>
  </r>
  <r>
    <x v="0"/>
    <x v="0"/>
    <x v="7"/>
    <n v="4000"/>
    <s v="n/d"/>
    <s v="D3"/>
    <s v="WB27.BP.PF"/>
    <s v="MC"/>
    <s v="4"/>
    <s v="0"/>
    <s v="2025.16.05.02.01."/>
    <s v="2025.16.05."/>
    <s v="Usługa hostingu dla Krajowego Repozytorium Obiektów Nauki i Kultury (kronika.gov.pl)"/>
    <s v="Usługa niezbędna dla funkcjonowania Krajowego Repozytorium Obiektów Nauki i Kultury (kronika.gov.pl)."/>
    <m/>
    <m/>
    <n v="2962"/>
    <n v="183"/>
    <n v="0"/>
    <n v="0"/>
    <s v="umowa 76/DZD/24_x000a_zawarta do dnia 2026.12.31"/>
    <s v="Apex IT Sp. z o. o."/>
    <s v="-"/>
    <s v="Na 2026 rok zaangażowano środki w kwocie 2.961.800,64 zł, a na 2027 rok - 182.827,20 zł_x000a__x000a_Obecna umowa z dostawcą zewnętrznym obowiązuje do k. 2026 r., ostatnia płatność w 2027 r. _x000a_Od 2027 r. usługa hostingu ma zostać zapewniona przez Instytut Łączności. _x000a_Zmiana nazwy zadania z: Funkcjonowanie Krajowego Repozytorium Obiektów Nauki i Kultury(kronika.gov.pl) Utrzymanie (rozwój) oprogramowania na: Usługa hostingu dla Krajowego Repozytorium Obiektów Nauki i Kultury (kronika.gov.pl)."/>
    <x v="0"/>
  </r>
  <r>
    <x v="0"/>
    <x v="0"/>
    <x v="7"/>
    <n v="4000"/>
    <s v="n/d"/>
    <s v="D3"/>
    <s v="WB27.BP.PF"/>
    <s v="MC"/>
    <s v="4"/>
    <s v="0"/>
    <s v="2025.16.05.02.01."/>
    <s v="2025.16.05."/>
    <s v="Oprogramowanie "/>
    <s v="Oprogramowanie graficzne typu Adobe do opracowań info-promo dotyczących portali dane.gov.pl i kronika.gov.pl"/>
    <n v="5"/>
    <m/>
    <n v="5"/>
    <n v="5"/>
    <n v="5"/>
    <n v="5"/>
    <s v="-"/>
    <s v="-"/>
    <s v="-"/>
    <s v="Oprogramowanie graficzne typu Adobe do opracowań info-promo dotyczących portali dane.gov.pl i kronika.gov.pl"/>
    <x v="0"/>
  </r>
  <r>
    <x v="0"/>
    <x v="0"/>
    <x v="7"/>
    <n v="4610"/>
    <s v="n/d"/>
    <s v="D3"/>
    <s v="WB27.BP.PF"/>
    <s v="MC"/>
    <s v="4"/>
    <s v="0"/>
    <s v="2025.16.05.02.01."/>
    <s v="2025.16.05."/>
    <s v="Pozew"/>
    <s v="Pozew o zapłatę kar umownych nałożonych w związku z nieprawidłowościami w realizacji umowy z dnia 6 maja 2019 r. nr 10/DODiRK/KRONIK@/2020 (koszty postępowania sądowego)"/>
    <n v="25"/>
    <m/>
    <n v="25"/>
    <n v="0"/>
    <n v="0"/>
    <n v="0"/>
    <s v="-"/>
    <s v="-"/>
    <s v="-"/>
    <s v="Powodem w sprawie jest MC przeciwko Softblue S.A. wartość przedmiotu sporu wraz z odetkami: 363.665,58 złotych. Radca prowadzący : Dorota Paliga. Kwota minimalna wskazana przez Departament Prawny to kwota nie mniejsza niż 25 tyś, która może ulec zmianie, koszty mogą okazać się wyższe."/>
    <x v="0"/>
  </r>
  <r>
    <x v="0"/>
    <x v="0"/>
    <x v="7"/>
    <n v="4610"/>
    <s v="n/d"/>
    <s v="D3"/>
    <s v="WB27.BP.PF"/>
    <s v="MC"/>
    <s v="4"/>
    <s v="0"/>
    <s v="2025.16.05.02.01."/>
    <s v="2025.16.05."/>
    <s v="Pozew"/>
    <s v="Pozew o zapłatę w związku ze świadczonymi usługami ponad umowę z dnia 6 maja 2019 r. nr 10/DODiRK/KRONIK@/2020 (umowa dot. świadczenia usług doradczych i wsparcia technicznego w zakresie działań Zamawiającego związanych z realizacją projektu KRONIK@ - na 2026r. koszty postępowania sądowego "/>
    <n v="25"/>
    <m/>
    <n v="25"/>
    <n v="0"/>
    <n v="0"/>
    <n v="0"/>
    <s v="-"/>
    <s v="-"/>
    <s v="-"/>
    <s v="Powodem w sprawie jest Softblue przeciwko MC S.A. wartość przedmiotu sporu wraz z odetkami: 1 889 706 złotych.  Radca prowadzący  Dorota Paliga. Kwota minimalna wskazana przez Departament Prawny to kwota nie mniejsza niż 25 tyś, która może ulec zmianie, koszty mogą okazać się wyższe."/>
    <x v="0"/>
  </r>
  <r>
    <x v="0"/>
    <x v="0"/>
    <x v="7"/>
    <n v="4000"/>
    <s v="n/d"/>
    <s v="D3"/>
    <s v="WB27.BP.PF"/>
    <s v="MC"/>
    <s v="4"/>
    <s v="0"/>
    <s v="2025.16.05.02.01."/>
    <s v="2025.16.05."/>
    <s v="Pozew"/>
    <s v="Pozew o zapłatę w związku ze świadczonymi usługami ponad umowę z dnia 6 maja 2019 r. nr 10/DODiRK/KRONIK@/2020 (umowa dot. świadczenia usług doradczych i wsparcia technicznego w zakresie działań Zamawiającego związanych z realizacją projektu KRONIK@ - w 2027r. koszty wynikające z ewentualnego niekorzystnego dla MC rozstrzygnięcia sprawy sądowej"/>
    <m/>
    <m/>
    <n v="0"/>
    <n v="1900"/>
    <n v="0"/>
    <n v="0"/>
    <s v="-"/>
    <s v="-"/>
    <s v="-"/>
    <s v="Powodem w sprawie jest Softblue przeciwko MC S.A. wartość przedmiotu sporu wraz z odetkami: 1 889 706 złotych.  Radca prowadzący  Dorota Paliga. Kwota minimalna wskazana przez Departament Prawny to kwota nie mniejsza niż 25 tyś, która może ulec zmianie, koszty mogą okazać się wyższe."/>
    <x v="1"/>
  </r>
  <r>
    <x v="0"/>
    <x v="0"/>
    <x v="7"/>
    <n v="4610"/>
    <s v="n/d"/>
    <s v="D3"/>
    <s v="WB27.BP.PF"/>
    <s v="MC"/>
    <s v="4"/>
    <s v="0"/>
    <s v="2025.16.05.02.01."/>
    <s v="2025.16.05."/>
    <s v="Postępowania admistracyjnosądowe przed WSA i NSA "/>
    <s v="Postępowania admistracyjnosądowe przed WSA i NSA (koszty postępowania sądowego)"/>
    <n v="2"/>
    <m/>
    <n v="2"/>
    <n v="2"/>
    <n v="2"/>
    <n v="2"/>
    <s v="-"/>
    <m/>
    <s v="-"/>
    <s v="Koszty postępowań administracyjnosądowych MC jako organu odwoławczego w sprawach ponownego wykorzystywania informacji sektora publicznego jak np. opłaty sądowe, zwrot zasądzonych stronie przeciwnej kosztów sądowych"/>
    <x v="0"/>
  </r>
  <r>
    <x v="0"/>
    <x v="0"/>
    <x v="7"/>
    <n v="4000"/>
    <s v="n/d"/>
    <s v="D3"/>
    <s v="WB27.BP.PF"/>
    <s v="MC"/>
    <s v="4"/>
    <s v="0"/>
    <s v="2025.16.05.02.01."/>
    <s v="2025.16.05."/>
    <s v="Migracja zero zasobów do Krajowego Repozytorium Obiektów Nauki i Kultury"/>
    <s v="Usługa umożliwająca szybkie wgranie kopii zapasowej zasobów z instytucji kultury do Krajowego Repozytorium Obiektów Nauki i Kultury"/>
    <m/>
    <m/>
    <n v="100"/>
    <n v="100"/>
    <n v="100"/>
    <n v="100"/>
    <s v="-"/>
    <s v="-"/>
    <s v="-"/>
    <s v="Ta usługa ma na celu umożliwienie jednorazowo przeniesienie dużego wolumenu zasobów (40-50TB i więcej) z instytucji kultury bezpośrednio do pamięci obiektowej (S3) KRONIK@. "/>
    <x v="0"/>
  </r>
  <r>
    <x v="0"/>
    <x v="0"/>
    <x v="7"/>
    <n v="2830"/>
    <s v="n/d"/>
    <s v="D3"/>
    <s v="WB27.BP.PF"/>
    <s v="MC"/>
    <n v="2"/>
    <s v="0"/>
    <s v="2025.16.05.02.01."/>
    <s v="2025.16.05."/>
    <s v="Utrzymanie funkcjonowania Krajowego Repozytorium Obiektów Nauki i Kultury (kronika.gov.pl)"/>
    <s v="Usługa niezbędna dla prawidłwego i stabilnego funkcjonowania warstwy aplikacyjnej Krajowego Repozytorium Obiektów Nauki i Kultury (kronika.gov.pl)"/>
    <n v="6371"/>
    <m/>
    <n v="750"/>
    <n v="750"/>
    <n v="750"/>
    <n v="750"/>
    <s v="-"/>
    <s v="IŁ-PIB"/>
    <s v="art. 150 w zw. z art. 127 ust. 1 pkt 1 ustawy z dnia 27 sierpnia 2009 r. o finansach publicznych (Dz. U. 2024 r. poz. 1530, z późn. zm.) oraz art. 21 ust. 6 oraz art. 22 pkt 2 ustawy z dnia _x000a_30 kwietnia 2010 r. o instytutach badawczych (Dz. U. 2024 r. poz. 534)"/>
    <s v="Kwota w oparciu o szacunki IŁ. Zgodnie z uzgodnieniami od 2026 r. utrzymanie portalu kronika.gov.pl zostanie przeniesione z COI do IŁ. Niezbędne będzie podpisanie właściwej umowy dotacyjnej z IŁ. Klasyfikacja wydatku może się zmienić, o czym niezwłocznie poinformujemy (IŁ-PIB)"/>
    <x v="0"/>
  </r>
  <r>
    <x v="0"/>
    <x v="0"/>
    <x v="7"/>
    <n v="6230"/>
    <m/>
    <s v="D3"/>
    <s v="WB27.BP.PF"/>
    <s v="MC"/>
    <s v="6"/>
    <s v="0"/>
    <s v="2025.16.05.02.01."/>
    <s v="2025.16.05."/>
    <s v="Zakup i utrzymanie infrastruktury (sprzęt informatyczny) niezbędny do zapewnienia usługi hostingu  dla Krajowego Repozytorium Obiektów Nauki i Kultury (kronika.gov.pl)"/>
    <s v="Zakup infrastruktury jest niezbędny do zapewnienia prawidołwego i stabilnego funkcjonowania Krajowego Repozytorium Obiektów Nauki i Kultury (kronika.gov.pl). Utrzymanie infrastruktury po uruchomieniu od 2027 r._x000a_Kwota w oparciu o szacunki IŁ. Jest planowana do sfinansowania w ramach projektu KRONIK@ 2.0 dofinansowanego z FE, jeżeli otrzyma pozytywną akceptację ekspertów oceniających projekt. Klasyfikacja wydatku może się zmienić, o czym niezwłocznie poinformujemy (IŁ-PIB)"/>
    <m/>
    <m/>
    <n v="15750"/>
    <n v="1300"/>
    <n v="1050"/>
    <n v="1050"/>
    <s v="-"/>
    <s v="IŁ-PIB"/>
    <s v="art. 150 w zw. z art. 127 ust. 1 pkt 1 ustawy z dnia 27 sierpnia 2009 r. o finansach publicznych (Dz. U. 2024 r. poz. 1530, z późn. zm.) oraz art. 21 ust. 6 oraz art. 22 pkt 2 ustawy z dnia _x000a_30 kwietnia 2010 r. o instytutach badawczych (Dz. U. 2024 r. poz. 534)"/>
    <s v="Kwota w oparciu o szacunki IŁ. Jest planowana do sfinansowania w ramach projektu KRONIK@ 2.0 dofinansowanego z FE, jeżeli otrzyma pozytywną akceptację ekspertów oceniających projekt. Klasyfikacja wydatku może się zmienić, o czym niezwłocznie poinformujemy (IŁ-PIB)"/>
    <x v="0"/>
  </r>
  <r>
    <x v="0"/>
    <x v="0"/>
    <x v="7"/>
    <m/>
    <m/>
    <m/>
    <m/>
    <m/>
    <m/>
    <m/>
    <m/>
    <m/>
    <m/>
    <s v="Pozostała kwota w limicie wydatków na 2025 rok"/>
    <n v="1001"/>
    <m/>
    <m/>
    <m/>
    <m/>
    <m/>
    <m/>
    <m/>
    <m/>
    <m/>
    <x v="1"/>
  </r>
  <r>
    <x v="0"/>
    <x v="0"/>
    <x v="7"/>
    <m/>
    <m/>
    <m/>
    <m/>
    <m/>
    <m/>
    <m/>
    <m/>
    <m/>
    <m/>
    <s v="OGÓŁEM DZD"/>
    <n v="8292"/>
    <n v="2063"/>
    <n v="25769"/>
    <n v="11140"/>
    <n v="9057"/>
    <n v="10307"/>
    <m/>
    <m/>
    <m/>
    <m/>
    <x v="1"/>
  </r>
  <r>
    <x v="0"/>
    <x v="0"/>
    <x v="8"/>
    <n v="4000"/>
    <s v="n/d"/>
    <s v="D3"/>
    <s v="WB27.BP.PF"/>
    <s v="MC"/>
    <s v="4"/>
    <s v="0"/>
    <s v="2025.16.05.02.02."/>
    <s v="2025.16.05."/>
    <s v="Organizacja wydarzeń wspierających proces wdrażania nowych technologii w administracji publicznej "/>
    <s v="Zorganizowanie konferencji, cyklu warsztatów oraz Hackatonu mającego na celu popularyzację i pozyskanie rozwiązań technicznych i organizacyjnych wdrażających nowoczesne, innowacyjne technologie do podmiotów sektora publicznego (Organizacja kompleksowej obsługi spotkań, szkoleń i wydarzeń, w tym Hackatonu)"/>
    <n v="1200"/>
    <m/>
    <n v="3320"/>
    <n v="3452"/>
    <n v="3500"/>
    <n v="3500"/>
    <s v="-"/>
    <s v="-"/>
    <s v="-"/>
    <s v="W związku z realizacją zadań powierzonych Departamentowi GovTech, na 2026 rok zaplanowano następujące inicjatywy, które będą realizowane w trzech kluczowych obszarach:_x000a__x000a_1. Współpraca i wsparcie polskiego sektora ICT poprzez obecność na międzynarodowych wydarzeniach branżowych_x000a_Celem działań jest zwiększenie rozpoznawalności polskiego sektora technologicznego na arenie międzynarodowej oraz wspieranie promocji rodzimych innowacji:_x000a_•_x0009_Forum Ekonomiczne w Davos – 500 000 PLN brutto_x000a_•_x0009_Targi MWC Barcelona (wydarzenie cykliczne do 2029) – 1 300 000 PLN brutto_x000a_•_x0009_Web Summit Lizbona (wydarzenie cykliczne do 2029) – 2 000 000 PLN brutto_x000a__x000a_2. Współpraca administracji publicznej ze środowiskiem innowatorskim (start-upy, koła naukowe, organizacje pozarządowe)_x000a_Działania mają na celu rozwój ekosystemu innowacji w Polsce, wspieranie talentów technologicznych oraz budowanie mostów między administracją publiczną a środowiskami innowatorskimi:_x000a_•_x0009_Hackathony Wojewódzkie – 1 600 000 PLN brutto_x000a_•_x0009_HackNation 2026 (hackathon administracji publicznej wydarzenie cykliczne rok rocznie) – 3 200 000 PLN brutto_x000a_•_x0009_Inicjatywy partnerskie i współorganizacja wydarzeń – 500 000 PLN brutto_x000a__x000a_3. Wsparcie rozwoju e-sportu w Polsce_x000a_W ramach działalności zespołu ds. funkcjonowania e-sportu w Polsce przewidziano realizację inicjatyw partnerskich, mających na celu promocję oraz profesjonalizację branży:_x000a_•_x0009_Inicjatywy partnerskie – 300 000 PLN brutto_x000a__x000a_Powyższe działania odpowiadają na potrzeby wskazane przez kierownictwo oraz są zgodne z celami strategicznymi Departamentu GovTech w zakresie wspierania innowacyjności i rozwoju technologii w Polsce."/>
    <x v="0"/>
  </r>
  <r>
    <x v="0"/>
    <x v="0"/>
    <x v="8"/>
    <n v="4000"/>
    <s v="n/d"/>
    <s v="D3"/>
    <s v="WB27.BP.PF"/>
    <s v="MC"/>
    <s v="4"/>
    <s v="0"/>
    <s v="2025.16.05.02.02."/>
    <s v="2025.16.05."/>
    <s v="Wspomaganie wdrażania nowych technologii w administracji publicznej"/>
    <s v="Pokrycie kosztów wdrożenia rozwiązania/rozwiązań najwyżej ocenionych podczas Hackatonu (Hackathon -  wdrożenie wybranego rozwiązania)"/>
    <n v="75"/>
    <m/>
    <n v="2625"/>
    <n v="2737"/>
    <n v="3000"/>
    <n v="3000"/>
    <s v="-"/>
    <s v="-"/>
    <s v="-"/>
    <m/>
    <x v="0"/>
  </r>
  <r>
    <x v="0"/>
    <x v="0"/>
    <x v="8"/>
    <n v="4190"/>
    <s v="n/d"/>
    <s v="D3"/>
    <s v="WB27.BP.PF"/>
    <s v="MC"/>
    <s v="4"/>
    <s v="0"/>
    <s v="2025.16.05.02.02."/>
    <s v="2025.16.05."/>
    <s v="Nagrody pieniężne dla lauratów konkursów programistycznych dot. nowych technologii w administracji publicznej "/>
    <s v="Wyłonione w ramach konkurencji zwycięskie zespoły otrzymają nagrody pieniężne (Hackathon -  nagrody pieniężne dla zwycięskich 3 zespołów biorących udział w wydarzeniu)"/>
    <n v="90"/>
    <m/>
    <n v="200"/>
    <n v="200"/>
    <n v="200"/>
    <n v="200"/>
    <s v="-"/>
    <s v="-"/>
    <s v="-"/>
    <m/>
    <x v="0"/>
  </r>
  <r>
    <x v="0"/>
    <x v="0"/>
    <x v="8"/>
    <n v="4000"/>
    <s v="n/d"/>
    <s v="D3"/>
    <s v="WB27.BP.PF"/>
    <s v="MC"/>
    <s v="4"/>
    <s v="0"/>
    <s v="2025.16.05.02.02."/>
    <s v="2025.16.05."/>
    <s v="Udział w konferencjach tematycznych, wsparcie instytucji publicznych na terenie kraju (udział w spotkaniach, konferencjach i seminariach krajowych) "/>
    <s v="Udział w konferencjach tematycznych, wspracie instytucji publicznych na terenie kraju (udział w spotkaniach, konferencjach i seminariach krajowych) "/>
    <n v="70"/>
    <m/>
    <n v="50"/>
    <n v="60"/>
    <n v="60"/>
    <n v="60"/>
    <s v="-"/>
    <s v="-"/>
    <s v="-"/>
    <m/>
    <x v="0"/>
  </r>
  <r>
    <x v="0"/>
    <x v="0"/>
    <x v="8"/>
    <n v="4000"/>
    <s v="n/d"/>
    <s v="D3"/>
    <s v="WB27.BP.PF"/>
    <s v="MC"/>
    <s v="4"/>
    <s v="0"/>
    <s v="2025.16.05.02.02."/>
    <s v="2025.16.05."/>
    <s v="Organizacja stoiska na MWC Barcelona"/>
    <s v="Udział w grupach roboczych, obsługa spotkań międzynarodowych, zwłaszcza gremiów europejskich"/>
    <n v="890"/>
    <m/>
    <n v="50"/>
    <n v="55"/>
    <n v="55"/>
    <n v="55"/>
    <s v="-"/>
    <s v="-"/>
    <s v="-"/>
    <m/>
    <x v="0"/>
  </r>
  <r>
    <x v="0"/>
    <x v="0"/>
    <x v="8"/>
    <n v="4000"/>
    <s v="n/d"/>
    <s v="D3"/>
    <s v="WB27.BP.PF"/>
    <s v="MC"/>
    <s v="4"/>
    <s v="0"/>
    <s v="2025.16.05.02.02."/>
    <s v="2025.16.05."/>
    <s v="Identyfikacja obszaru e-sportu w celu opracowania wstępnych założeń legislacyjnych oraz identyfikacja obszaru Interentu Rzeczy, w szczególności w energetyce, transporcie, rolnictwie i przemyśle;"/>
    <s v="Opracowanie materiałów pozwalajacych na efektywne prowadzenie działań zmierzających do popularyzacji i wdrażania innowacyjnych technologii w sektorze publicznym oraz analiz zwiazanych ze zmianami legislacyjnymi (Zamawianie badań, analiz i ekspertyz oraz prowadzenia ewaluacji polityk publicznych)"/>
    <n v="400"/>
    <m/>
    <n v="440"/>
    <n v="484"/>
    <n v="450"/>
    <n v="450"/>
    <s v="-"/>
    <s v="-"/>
    <s v="-"/>
    <m/>
    <x v="0"/>
  </r>
  <r>
    <x v="0"/>
    <x v="0"/>
    <x v="8"/>
    <n v="4170"/>
    <s v="n/d"/>
    <s v="D3"/>
    <s v="WB27.BP.PF"/>
    <s v="MC"/>
    <s v="4"/>
    <s v="0"/>
    <s v="2025.16.05.02.02."/>
    <s v="2025.16.05."/>
    <s v="Doradztwo instytucjom publicznym "/>
    <s v="Zatrudnienie ekspertów w ramach zapewnienia wspracia dla Ministerstwa Cyfryzacji i współpracujących instytucji publicznych (Opiniowanie i doradzanie instytucjom publicznym w zakresie rozpoznania potrzeb technologicznych)"/>
    <n v="750"/>
    <m/>
    <n v="825"/>
    <n v="908"/>
    <n v="825"/>
    <n v="908"/>
    <s v="-"/>
    <s v="-"/>
    <s v="-"/>
    <m/>
    <x v="0"/>
  </r>
  <r>
    <x v="0"/>
    <x v="0"/>
    <x v="8"/>
    <n v="6060"/>
    <m/>
    <s v="D3"/>
    <s v="WB27.BP.PF"/>
    <s v="MC"/>
    <s v="6"/>
    <s v="0"/>
    <s v="2025.16.05.02.02."/>
    <s v="2025.16.05."/>
    <s v="ZAKUP LICENCJI: Zakup narzędzi informatycznych i licencji niezbędnych do prowadzenia warsztatów "/>
    <s v="Zakup specjalistycznych narzędzi informatycznych i licencji wspomagajacych zespół w prowadzeniu warsztatów wewnętrznych i międzyinstytucjonalnych, prowadzących do wypracowania modelu pozyskiwania i wdrażania innowacji w sektorze publicznym  "/>
    <n v="20"/>
    <m/>
    <n v="22"/>
    <n v="24"/>
    <n v="100"/>
    <n v="100"/>
    <s v="-"/>
    <s v="-"/>
    <s v="-"/>
    <m/>
    <x v="0"/>
  </r>
  <r>
    <x v="0"/>
    <x v="0"/>
    <x v="8"/>
    <n v="4000"/>
    <s v="n/d"/>
    <s v="D3"/>
    <s v="WB27.BP.PF"/>
    <s v="MC"/>
    <s v="4"/>
    <s v="0"/>
    <s v="2025.16.05.02.02."/>
    <s v="2025.16.05."/>
    <s v="Środki na wdrożenie i utrzymanie rozwiązania informatyczego "/>
    <s v="Zaprojektowanie i wdrożenie oraz utrzymanie i rozwój systemu służącego stworzeniu odpowiedniego zaplecza technicznego (platformy) w celu kompleksowej obsługi konkursów czy dialogów technicznych."/>
    <n v="1500"/>
    <m/>
    <n v="300"/>
    <n v="300"/>
    <n v="300"/>
    <n v="300"/>
    <s v="-"/>
    <s v="-"/>
    <s v="-"/>
    <m/>
    <x v="0"/>
  </r>
  <r>
    <x v="0"/>
    <x v="0"/>
    <x v="8"/>
    <m/>
    <m/>
    <m/>
    <m/>
    <m/>
    <m/>
    <m/>
    <m/>
    <m/>
    <m/>
    <s v="Pozostała kwota w limicie wydatków na 2025 rok"/>
    <n v="5"/>
    <m/>
    <m/>
    <m/>
    <m/>
    <m/>
    <m/>
    <m/>
    <m/>
    <m/>
    <x v="1"/>
  </r>
  <r>
    <x v="0"/>
    <x v="0"/>
    <x v="8"/>
    <m/>
    <m/>
    <m/>
    <m/>
    <m/>
    <m/>
    <m/>
    <m/>
    <m/>
    <m/>
    <s v="OGÓŁEM DGT"/>
    <n v="5000"/>
    <n v="1736"/>
    <n v="7832"/>
    <n v="8220"/>
    <n v="8490"/>
    <n v="8573"/>
    <m/>
    <m/>
    <m/>
    <m/>
    <x v="1"/>
  </r>
  <r>
    <x v="0"/>
    <x v="0"/>
    <x v="9"/>
    <n v="2830"/>
    <s v="n/d"/>
    <s v="D1"/>
    <s v="DGW27.BP.PF"/>
    <s v="MC"/>
    <s v="2"/>
    <s v="0"/>
    <s v="2025.16.05.02.02."/>
    <s v="2025.16.05."/>
    <s v="Dotacja dla NASK - system EBSI - wydatki bieżące"/>
    <s v="Realizacja zadania pn. „Pełnienie roli operatora węzła EBSI POLSKA” zakłada dofinansowanie działań Naukowej i Akademickiej Sieci Komputerowej – Państwowego Instytutu Badawczego (NASK – PIB), których celem jest realizacja działań związanych z rozwojem EBSI, budową, utrzymaniem i obsługą węzłów EBSI wg wymagań określanych przez EUROPEUM-EDIC, pracami nad cyberbezpieczeństwem technologii blockchain, rozwojem polskiej infrastruktury sieci EBSI i obsługiwanych z jej użyciem przypadków użycia wybranych w ramach europejskiej współpracy EUROPEUM, podjętych do realizacji i świadczenia usług publicznych i zastosowaniami technologii blockchain przez stosowne instytucje lub inne podmioty w Polsce. Zadanie ciągłe - utrzymanie i rozwój polskich węzłów istniejącej infrastruktury europejskiej EBSI"/>
    <n v="4310"/>
    <m/>
    <n v="3310"/>
    <n v="3310"/>
    <n v="3310"/>
    <n v="3310"/>
    <s v="-"/>
    <s v="NASK-PIB"/>
    <s v="art. 150 w zw. z art. 127 ust. 1 ustawy z dnia 27 sierpnia 2009 r. o finansach publicznych (Dz. U. z 2023 r. poz. 1270, z późn. zm.) oraz art. 21 ust. 6 w związku z art. 22 pkt 2 lit. a ustawy z dnia 30 kwietnia 2010 r. o instytutach badawczych (Dz. U. z 2024 r. poz. 534 z późn.zm.)"/>
    <m/>
    <x v="0"/>
  </r>
  <r>
    <x v="0"/>
    <x v="0"/>
    <x v="9"/>
    <n v="4000"/>
    <s v="n/d"/>
    <s v="D3"/>
    <s v="WB27.BP.PF"/>
    <s v="MC"/>
    <s v="4"/>
    <s v="0"/>
    <s v="2025.16.05.02.02."/>
    <s v="2025.16.05."/>
    <s v="Konferencje / materiały promocyjne / kampanie edukacyjne"/>
    <s v="Organizacja konferencji służących promocji zastosowań technologii przełomowych w różnych sektorach gospodarki i w społeczeństwie,  ze szczególnym uwzględnieniem Internetu Rzeczy, Sztucznej Inteligencji"/>
    <n v="250"/>
    <m/>
    <n v="800"/>
    <n v="800"/>
    <n v="800"/>
    <n v="800"/>
    <s v="-"/>
    <s v="NASK-PIB"/>
    <s v="-"/>
    <m/>
    <x v="1"/>
  </r>
  <r>
    <x v="0"/>
    <x v="0"/>
    <x v="9"/>
    <n v="4000"/>
    <s v="n/d"/>
    <s v="D3"/>
    <s v="WB27.BP.PF"/>
    <s v="MC"/>
    <s v="4"/>
    <s v="0"/>
    <s v="2025.16.05.02.02."/>
    <s v="2025.16.05."/>
    <s v="Szkolenia z AI dla administracji i JST"/>
    <s v="Wdrożenie rozwiązań opartych o AI w usługach publicznych  wiąże się z różnymi wyzwaniami, nie tylko natury prawnej czy technologicznej. To również kwestia edukacji na temat tego, jak działa ta technologia i, jakie dostarcza nam możliwości. Istotne jest zwiększanie świadomości, że te rozwiązania są bezpieczne, a ich adopcja nie będzie skutkowała np. redukcją zatrudnienia, co z resztą jest dość powszechną obawą wśród pracowników w każdym sektorze"/>
    <m/>
    <m/>
    <n v="200"/>
    <n v="200"/>
    <n v="200"/>
    <n v="200"/>
    <s v="-"/>
    <s v="NASK-PIB"/>
    <s v="-"/>
    <m/>
    <x v="0"/>
  </r>
  <r>
    <x v="0"/>
    <x v="0"/>
    <x v="9"/>
    <n v="4000"/>
    <s v="n/d"/>
    <s v="D3"/>
    <s v="WB27.BP.PF"/>
    <s v="MC"/>
    <s v="4"/>
    <s v="0"/>
    <s v="2025.16.05.02.02."/>
    <s v="2025.16.05."/>
    <s v="Serwis AI HUB Poland (AI.gov.pl) - wdrożenie i rozwój"/>
    <s v="Serwis jest częśćia projektu pn.​​Platforma centralnego zarządzania, rozwijania i wdrażania technologii AI w Polsce [AI Hub Poland] ​, który został  zaakceptowanego przez Radę Portfela w MC w dn. 11 marca 2025. Serwis służyć będzie realizacji głównego celu projektu - stworzenie zintegrowanego środowiska technologicznego wspierającego rozwój, wdrażanie i monitorowanie sztucznej inteligencji (AI) w kluczowych obszarach funkcjonowania państwa i społeczeństwa. Serwis AI.gov.pl będzie stanowić jedno miejsce dostępu do informacji i narzędzi AI, tym samym uprości proces wdrażania sztuczej inteligencji w polskich instytucjach państwowych oraz w firmach. Kluczowe elementy serwisu AI.gov.pl to:_x000a_1) Katalog narzędzi i rozwiązań AI – ułatwiający wybór odpowiednich aplikacji.                                                                                                                                                                                       2) Platforma networkingowa – łączenie interesariuszy: naukowców, przedsiębiorców i urzędników. _x000a_3) Centrum wiedzy – materiały edukacyjne i aktualne informacje o AI.                                                                                                                                                                                                                  Serwis zastąpi prowadzony dotychczas przez MC  Portal sztucznej inteligencji https://www.gov.pl/ai"/>
    <m/>
    <m/>
    <n v="2000"/>
    <n v="2000"/>
    <n v="2000"/>
    <n v="2000"/>
    <s v="-"/>
    <s v="-"/>
    <s v="-"/>
    <s v="Nowe zadanie - wydatek bieżący nie majątkowy"/>
    <x v="0"/>
  </r>
  <r>
    <x v="0"/>
    <x v="0"/>
    <x v="9"/>
    <n v="4540"/>
    <s v="n/d"/>
    <s v="D3"/>
    <s v="WB27.BP.PF"/>
    <s v="MC"/>
    <n v="4"/>
    <n v="0"/>
    <s v="2025.16.05.02.02."/>
    <s v="2025.16.05."/>
    <s v="Budowa fabryki AI w Poznaniu"/>
    <s v="Budowa w Polsce fabtyki szktucznej inteligencji  z 50% wkładu z EU, Podnoszenie potencjału Polski w zakresie sztucznej sztucznej inteligencji i technologii przełomowych"/>
    <m/>
    <m/>
    <n v="30000"/>
    <n v="0"/>
    <n v="0"/>
    <n v="0"/>
    <s v="-"/>
    <s v="-"/>
    <s v="-"/>
    <s v="132 700 000,00 zł. z rezerwy celowej, 30 000 000,00 zł z cz.27"/>
    <x v="0"/>
  </r>
  <r>
    <x v="0"/>
    <x v="0"/>
    <x v="9"/>
    <n v="4540"/>
    <s v="n/d"/>
    <s v="D3"/>
    <s v="WB27.BP.PF"/>
    <s v="MC"/>
    <s v="4"/>
    <s v="0"/>
    <s v="2025.16.05.02.02."/>
    <s v="2025.16.05."/>
    <s v="Rozwój zastosowań technologii przełomowych w programie &quot;Droga ku cyfrowej dekadzie&quot;"/>
    <s v="list intencyjny podpisany - Polska zadeklarowała swój udział w pracach nad wnioskiem o utworzenie ALT EDIC - Alliance for Language Technologies. Głównym celem projektu jest zachowanie różnorodności językowej i kulturowej w Europie oraz promowanie doskonałości technologicznej i przywództwa. Inne wyzwania obejmują zarządzanie tendencyjnością, frugal AI, wyjaśnialność lub możliwość ponownego wykorzystania modeli. Zakres EDIC wpisuje się w następujące obszary działań cyfrowej dekady: europejskie wspólne infrastruktura i usługi w zakresie danych, nabywanie superkomputerów i komputerów kwantowych i włączanie ich do Wspólnego Przedsięwzięcia w dziedzinie Europejskich Obliczeń Wielkiej Skali (Wspólnego Przedsięwzięcia EuroHPC); podłączona do sieci administracja publiczna; europejskie centra innowacji cyfrowych. Oczekiwane rezultaty obejmują m.in.: stworzenie platformy do gromadzenia tekstowych i głosowych baz danych, inkluzywne i reprezentatywne gromadzenie danych do modelowania języka czy kompilowanie i udostępnianie modeli językowych typu open source do ponownego wykorzystania w przemyśle"/>
    <n v="2500"/>
    <m/>
    <n v="2145"/>
    <n v="2145"/>
    <n v="2145"/>
    <n v="2145"/>
    <s v="-"/>
    <s v="-"/>
    <s v="-"/>
    <s v="ALT EDIC"/>
    <x v="0"/>
  </r>
  <r>
    <x v="0"/>
    <x v="0"/>
    <x v="9"/>
    <n v="4540"/>
    <s v="n/d"/>
    <s v="D3"/>
    <s v="WB27.BP.PF"/>
    <s v="MC"/>
    <s v="4"/>
    <s v="0"/>
    <s v="2025.16.05.02.02."/>
    <s v="2025.16.05."/>
    <s v="Rozwój zastosowań technologii przełomowych w programie &quot;Droga ku cyfrowej dekadzie&quot;"/>
    <s v="Zapewnienie wkładu własnego Polski w konsorcjum EDIC blockchain (EUROPEUM_EDIC) na podstawie decyzji Parlamentu Europejskiego i Rady ustanawiajacego program &quot;Droga ku cyfrowej dekadzie&quot;.  Minister Cyfryzacji zadeklarował w imieniu Polski udział w EUROPEUM-EDIC, obejmujący coroczną składkę członkowską oraz utrzymanie produkcyjnego węzła sieci EBSI. Komisja Europejska na podstawie deklaracji państw członkowskich wydała decyzję o utworzeniu EUROPEUM-EDIC (Decyzja wykonawcza KE 24/1342).  EUROPEUM jest zarejestrowane jako organizacja międzynarodowa w jurysdykcji belgijskiej.  EUROPEUM zapewni wzmocnienie i rozszerzenie dotychczas funkcjonującej wspólnej inicjatywy European Blockchain Partnership (EBP). Celem jest stworzenie solidnych ram instytucjonalnych, które ułatwią rozwój europejskiej infrastruktury blokchain i budowanie na niej usług. EUROPEUM zapewnieni nową generację bezpieczniejszych i wydajniejszych usług poprzez integrację zdecentralizowanych technologii w różnych obszarach rozwoju gospodarczego i społecznego, przy jednoczesnym zapewnieniu przestrzegania zasad zaufania, przejrzystości oraz osiągnięcia korzyści dla szerszej społeczności europejskiej. Zakres EUROEPUM-EDIC wpisuje się w szczególności w cele cyfrowej dekady dotyczące cyfryzacji usług publicznych oraz transformacji cyfrowej przedsiębiorstw, ale również rozwoju kompetencji cyfrowych. Oczekiwane rezultaty to: wspieranie transformacji cyfrowej usług publicznych i prywatnych, wzmocnienie zaufania i cyberodporności usług poprzez wykorzystanie technologii rejestrów rozproszonych i blockchain, przyspieszenie absorpcji rozwiązań infrastruktury cyfrowej przez rząd i przemysł, wspieranie rozwoju otwartych standardów i wspólnych praktyk, wzmocnienie umiejętności i kompetencji cyfrowych, wzmocnienie europejskiego ekosystemu usług i europejskiej autonomii. (Składka w EUROPEUM-EDIC (europejskie konsorcjum European Digital Infrastructure Consortium)"/>
    <n v="655"/>
    <m/>
    <n v="644"/>
    <n v="644"/>
    <n v="644"/>
    <n v="644"/>
    <s v="-"/>
    <s v="-"/>
    <s v="-"/>
    <s v="EUROPEUM EDIC"/>
    <x v="0"/>
  </r>
  <r>
    <x v="0"/>
    <x v="0"/>
    <x v="9"/>
    <n v="2830"/>
    <s v="n/d"/>
    <s v="D1"/>
    <s v="DGW27.BP.PF"/>
    <s v="MC"/>
    <s v="2"/>
    <s v="0"/>
    <s v="2025.16.05.02.02."/>
    <s v="2025.16.05."/>
    <s v="Dotacja dla NASK - Badania: Obszar innowacji, trendów i zagrożeń przyszłości"/>
    <s v="Przeprowadzenie badań oraz przygotowanie raportu podsumowującego wyniki analiz przeprowadzonych w ramach działań badawczych w obszarze innowacji, trendów i zagrożeń przyszłości. Ma to na celu realizację działań i wskaźników określonych w Strategii Cyfryzacji Państwa do 2035 r. Wspiera również realizację działań określonych w Strategii Produktywności do 2030 r., w ramach której zakłada się rozwój polskiej gospodarki do 2030 r. oraz określa kierunki interwencji i instrumenty wsparcia, które rząd będzie wykorzystywał, aby pobudzić wzrost inwestycji i produktywności przedsiębiorstw z wykorzystaniem nowoczesnych technologii, w tym AI. Działania te będą również stanowić bazę do podejmowania w przyszłości ewentualnych działań związanych z rozwojem społeczeństwa informacyjnego i przeciwdziałaniu wykluczeniu cyfrowemu, spowodowanemu nienadążaniem za zmianami technologicznymi. Badania przyczyniają się do realizacji programów przygotowujących społeczeństwo do zmian wywołanych rozwojem gospodarki algorytmicznej w Polsce. Jako narzędzie określono m.in.: stworzenie nowych i agregacja istniejących baz wiedzy i materiałów edukacyjnych w ramach jednego punktu kontaktowego dla osób przekwalifikowujących się w kierunku branży nowoczesnych technologii"/>
    <n v="800"/>
    <m/>
    <n v="700"/>
    <n v="700"/>
    <n v="700"/>
    <n v="700"/>
    <s v="-"/>
    <s v="NASK-PIB"/>
    <s v="Strategia Cyfryzacji Państwa do 2035 r. oraz Art. 21 ust. 6 ustawy z dnia 30 kwietnia 2010 r. o instytutach badawczych (Dz. U. z 2022 r. poz. 498, z późn. zm.) oraz art. 22 pkt 2 lit. a ww. ustawy"/>
    <m/>
    <x v="0"/>
  </r>
  <r>
    <x v="0"/>
    <x v="0"/>
    <x v="9"/>
    <n v="2830"/>
    <s v="n/d"/>
    <s v="D1"/>
    <s v="DGW27.BP.PF"/>
    <s v="MC"/>
    <s v="2"/>
    <s v="0"/>
    <s v="2025.16.05.02.02."/>
    <s v="2025.16.05."/>
    <s v="Dotacja dla NASK - Badania: Obszar obecnych problemów społecznych wynikających z cyfryzacji życia społecznego"/>
    <s v="Przeprowadzenie badań oraz przygotowanie raportu podsumowującego wyniki analiz przeprowadzonych w ramach działań badawczych  obejmujących obecne problemy społeczne wynikację z znacznego postępu z cyfryzacji życia społecznego. Ma to na celu realizację działań i wskaźników określonych w Strategii Cyfryzacji Państwa do 2035 r. m.in. pkt 4.2 Sztuczna Inteligencja. Wspiera również realizację działań określonych w Strategii Produktywności do 2030 r. w ramach której zakłada się rozwój polskiej gospodarki do 2030 r. oraz określa kierunki interwencji i instrumenty wsparcia, które rząd będzie wykorzystywał, aby pobudzić wzrost inwestycji i produktywności przedsiębiorstw. Działania te będą również stanowić bazę do podejmowania w przyszłości ewentualnych działań związanych z rozwojem społeczeństwa informacyjnego i przeciwdziałaniu wykluczeniu cyfrowemu, spowodowanemu nienadążaniem za zmianami technologicznymi. Badania przyczyniają się do realizacji programów przygotowujących społeczeństwo do zmian wywołanych rozwojem gospodarki algorytmicznej w Polsce. Jako narzędzie określono m.in.: stworzenie nowych i agregacja istniejących baz wiedzy i materiałów edukacyjnych w ramach jednego punktu kontaktowego dla osób przekwalifikowujących się w kierunku branży nowoczesnych technologii"/>
    <n v="800"/>
    <m/>
    <n v="700"/>
    <n v="700"/>
    <n v="700"/>
    <n v="700"/>
    <s v="-"/>
    <s v="NASK-PIB"/>
    <s v="Strategia Cyfryzacji Państwa do 2035 r. oraz Art. 21 ust. 6 ustawy z dnia 30 kwietnia 2010 r. o instytutach badawczych (Dz. U. z 2022 r. poz. 498, z późn. zm.) oraz art. 22 pkt 2 lit. a ww. ustawy"/>
    <m/>
    <x v="0"/>
  </r>
  <r>
    <x v="0"/>
    <x v="0"/>
    <x v="9"/>
    <n v="2830"/>
    <s v="n/d"/>
    <s v="D1"/>
    <s v="DGW27.BP.PF"/>
    <s v="MC"/>
    <s v="2"/>
    <s v="0"/>
    <s v="2025.16.05.02.02."/>
    <s v="2025.16.05."/>
    <s v="Dotacja dla NASK - Badania: Obszar obecnych programów/projektów ministerialnych i ich funkcjonalność społeczna"/>
    <s v="Przeprowadzenie badań oraz przygotowanie raportu podsumowującego wyniki analiz przeprowadzonych w ramach działań badawczych pod kątem inicjatyw ministerialnych i ich funkcjonalność społeczna. Ma to na celu realizację działań i wskaźników określonych w Strategii Cyfryzacji Państwa do 2035 r. m.in. pkt 4.2 Sztuczna Inteligencja. Działania te będą również stanowić bazę do podejmowania w przyszłości ewentualnych działań związanych z rozwojem społeczeństwa informacyjnego i przeciwdziałaniu wykluczeniu cyfrowemu np. projektów czy programów"/>
    <n v="800"/>
    <m/>
    <n v="700"/>
    <n v="700"/>
    <n v="700"/>
    <n v="700"/>
    <s v="-"/>
    <s v="NASK-PIB"/>
    <s v="Strategia Cyfryzacji Państwa do 2035 r. oraz Art. 21 ust. 6 ustawy z dnia 30 kwietnia 2010 r. o instytutach badawczych (Dz. U. z 2022 r. poz. 498, z późn. zm.) oraz art. 22 pkt 2 lit. a ww. ustawy"/>
    <m/>
    <x v="1"/>
  </r>
  <r>
    <x v="0"/>
    <x v="0"/>
    <x v="9"/>
    <n v="2830"/>
    <s v="n/d"/>
    <s v="D1"/>
    <s v="DGW27.BP.PF"/>
    <s v="MC"/>
    <s v="2"/>
    <s v="0"/>
    <s v="2025.16.05.02.02."/>
    <s v="2025.16.05."/>
    <s v="Dotacja dla NASK - Normalizacja AI"/>
    <s v="Obsługa działań związanych ze standaryzacją i normalizacją w obszarzę AI - w szczególności analizowanie dokumentów i wytycznych KE w przedmiotowym zakresie, przygotowywanie rekomendacji dalszych działań, analizowanie i badanie stanowisk rynku"/>
    <m/>
    <m/>
    <n v="400"/>
    <n v="400"/>
    <n v="400"/>
    <n v="400"/>
    <s v="-"/>
    <s v="NASK-PIB"/>
    <s v="Art. 21 ust. 6 ustawy z dnia 30 kwietnia 2010 r. o instytutach badawczych (Dz. U. z 2022 r. poz. 498, z późn. zm.) oraz art. 22 pkt 2 lit. a ww. ustawy"/>
    <m/>
    <x v="0"/>
  </r>
  <r>
    <x v="0"/>
    <x v="0"/>
    <x v="9"/>
    <n v="4000"/>
    <s v="n/d"/>
    <s v="D3"/>
    <s v="WB27.BP.PF"/>
    <s v="MC"/>
    <s v="4"/>
    <s v="0"/>
    <s v="2025.16.05.02.02."/>
    <s v="2025.16.05."/>
    <s v="Ekspertyzy i wsparcie w zakresie AI"/>
    <s v="Zapewnienie wsparcia eksperckiego dla Departamentu"/>
    <n v="350"/>
    <m/>
    <n v="1000"/>
    <n v="1000"/>
    <n v="1000"/>
    <n v="1000"/>
    <s v="-"/>
    <s v="-"/>
    <s v="-"/>
    <s v="NASK-PIB"/>
    <x v="0"/>
  </r>
  <r>
    <x v="0"/>
    <x v="0"/>
    <x v="9"/>
    <n v="4000"/>
    <s v="n/d"/>
    <s v="D3"/>
    <s v="WB27.BP.PF"/>
    <s v="MC"/>
    <n v="4"/>
    <n v="0"/>
    <s v="2025.16.05.02.02."/>
    <s v="2025.16.05."/>
    <s v="Kampanie informacyjne"/>
    <s v="Kampanie mające na celu podniesienie świadomości z zakresu wpływu technologii AI, sposobu ich bezpiecznego i odpowiedzialnego wykorzystania w administracji publicznej"/>
    <m/>
    <m/>
    <n v="2000"/>
    <n v="2000"/>
    <n v="2000"/>
    <n v="2000"/>
    <s v="-"/>
    <s v="-"/>
    <s v="-"/>
    <m/>
    <x v="1"/>
  </r>
  <r>
    <x v="0"/>
    <x v="0"/>
    <x v="9"/>
    <s v="-"/>
    <s v="n/d"/>
    <s v="D3"/>
    <s v="WB27.BP.PF"/>
    <s v="MC"/>
    <n v="2"/>
    <n v="0"/>
    <s v="2025.16.05.02.02."/>
    <s v="2025.16.05."/>
    <s v="Funkcjonowanie Komisji Rozwoju i Bezpieczeństwa Sztucznej Inteligencji oraz Biura Komisji "/>
    <s v="Finansowanie zadań wynikających z ustawy o systemach sztucznej inteligencji - zgodnie z OSR_x000a_Koszty w roku 2026 wynoszą 20 250 000,00 zł i obejmują: _x000a_a) wydatki jednorazowe: _x000a_- zakup 85 laptopów z dodatkowymi monitorami oraz stacjami dokującymi, akcesoriami i systemami informatycznymi - 700 000 ,00 zł, _x000a_- zakup mebli i wyposażenia - 550 000,00 zł, _x000a_b) wydatki związane z wynajęciem powierzchni biurowej – 1 320 000,00 zł, _x000a_c) wydatki na wynagrodzenie Przewodniczącego Komisji i jego dwóch zastępców, z wynagrodzeniem dodatkowym – 910 000,00 zł, _x000a_d) wydatki na wynagrodzenia dla 50 etatów – 9 000 000,00 zł, _x000a_e) pochodne planistyczne od wynagrodzeń (18,69%) - 1 993 000,00 zł,_x000a_f) Pracownicze Plany Kapitałowe - 150 000,00 zł,_x000a_g) wydatki bieżące - 5 627 000,00 zł, _x000a__x000a_Koszty roczne w latach 2027 i kolejnych wynoszą 31 100 000,00 zł i obejmują:  _x000a_a) wydatki na odnowienie zasobów majątkowych – 300 000,00 zł, _x000a_b) wydatki związane z wynajęciem powierzchni biurowej – 1 320 000,00 zł, _x000a_c) wydatki na wynagrodzenie i dodatkową nagrodę roczną Przewodniczącego Komisji i jego zastępców – 910 000,00 zł, _x000a_d) wydatki na wynagrodzenia i dodatkową nagrodę roczną dla 100 etatów – 19 500 000,00 zł,  _x000a_e) pochodne planistyczne od wynagrodzeń (18,69%) – 3 815 000,00 zł _x000a_f) Pracownicze Plany Kapitałowe – 286 000,00 zł,_x000a_g) wydatki bieżące - 4 969 000,00 zł"/>
    <m/>
    <m/>
    <n v="20250"/>
    <n v="31100"/>
    <n v="31100"/>
    <n v="31100"/>
    <s v="-"/>
    <s v="-"/>
    <s v="-"/>
    <s v="Komisja Rozwoju i Bezpieczeństwa Sztucznej Inteligencji  _x000a_Podstawa prawna: Ustawa o systemach sztucznej inteligencji (obecnie projekt jest po etapie konsultacji publicznych). Termin wejścia w życie ustawy 2.08.2025 - zgodnie z AI Act. _x000a__x000a_UWAGA BBF: Do OSR zostały przekazane uwagi BBF, m.in. &quot;wydatki państwowej jednostki budżetowej (tj. MC) pokrywane są bezpośrednio z budżetu państwa (art.11 uofp) to oszacowane skutki finansowe związane z wejściem w życie opiniowanej ustawy muszą być sfinansowane z budżetu państwa poprzez zwiększenie limitu wydatków części 27-Informatyzacja w ustawie budżetowej na rok 2026 i lata następne. W przeciwnej sytuacji Minister Cyfryzacji będzie zobligowany do sfinansowania wydatków powstałej jednostki w latach następnych z dotychczasowego budżetu poprzez zmniejszenie „własnych” wydatków. Zatem zaznaczoną treść należy odpowiednio przeredagować&quot;"/>
    <x v="0"/>
  </r>
  <r>
    <x v="0"/>
    <x v="0"/>
    <x v="9"/>
    <s v="-"/>
    <s v="n/d"/>
    <s v="D1"/>
    <s v="DGW27.BP.PF"/>
    <s v="MC"/>
    <n v="2"/>
    <n v="0"/>
    <s v="2025.16.05.02.02."/>
    <s v="2025.16.05."/>
    <s v="IDEAS - wsparcie MON w realizacji zadań IDEAS"/>
    <s v="Na mocy rozporządzenia Rady Ministrów z dnia 25.02.2025 roku powołano Instytut Badawczy IDEAS, jednostkę nadzorowaną wspólnie przez Ministra Cyfryzacji oraz Ministra Obrony Narodowej. Zadanie polega na współpracy z MON w realizacji nadzoru nad IDEAS oraz w zakresie finansowania dodatkowych zadań zleconych do realizacji przez instytut spoza planu jego działalności (art. 37 ustawy o instytutach badawczych)"/>
    <m/>
    <m/>
    <n v="32000"/>
    <n v="32000"/>
    <n v="32000"/>
    <n v="32000"/>
    <s v="-"/>
    <s v="-"/>
    <s v="-"/>
    <s v="Środki do przekazania w 2026 r. do MON - przesunięcie między częściami nie jako dotacja (uwaga BBF)"/>
    <x v="0"/>
  </r>
  <r>
    <x v="0"/>
    <x v="0"/>
    <x v="9"/>
    <n v="2830"/>
    <s v="n/d"/>
    <s v="D1"/>
    <s v="DGW27.BP.PF"/>
    <s v="MC"/>
    <n v="2"/>
    <n v="0"/>
    <s v="2025.16.05.02.02."/>
    <s v="2025.16.05."/>
    <s v="Doskonalenie i rozwój zastosowań modeli PLLuM w administracji publicznej "/>
    <s v="Kontynuacja zadań związanych z wdrażaniem narzędzi AI w administracji publicznej "/>
    <m/>
    <m/>
    <n v="10000"/>
    <n v="10000"/>
    <n v="10000"/>
    <n v="10000"/>
    <s v="-"/>
    <s v="NASK-PIB"/>
    <s v="art. 150 w zw. z art. 127 ust. 1 ustawy z dnia 27 sierpnia 2009 r. o finansach publicznych (Dz. U. z 2023 r. poz. 1270, z późn. zm.) oraz art. 21 ust. 6 w związku z art. 22 pkt 2 lit. a ustawy z dnia 30 kwietnia 2010 r. o instytutach badawczych (Dz. U. z 2024 r. poz. 534 z późn.zm.)"/>
    <m/>
    <x v="0"/>
  </r>
  <r>
    <x v="0"/>
    <x v="0"/>
    <x v="9"/>
    <m/>
    <m/>
    <m/>
    <m/>
    <m/>
    <m/>
    <m/>
    <m/>
    <m/>
    <m/>
    <s v="Pozostała kwota w limicie wydatków na 2025 rok"/>
    <n v="83567"/>
    <m/>
    <m/>
    <m/>
    <m/>
    <m/>
    <m/>
    <m/>
    <m/>
    <m/>
    <x v="1"/>
  </r>
  <r>
    <x v="0"/>
    <x v="0"/>
    <x v="9"/>
    <m/>
    <m/>
    <m/>
    <m/>
    <m/>
    <m/>
    <m/>
    <m/>
    <m/>
    <m/>
    <s v="OGÓŁEM DBI"/>
    <n v="94032"/>
    <n v="43840"/>
    <n v="106849"/>
    <n v="87699"/>
    <n v="87699"/>
    <n v="87699"/>
    <m/>
    <m/>
    <m/>
    <s v="Zmniejszono potrzeby z kwoty 242.975 zł do 239.575 zł"/>
    <x v="1"/>
  </r>
  <r>
    <x v="0"/>
    <x v="0"/>
    <x v="10"/>
    <n v="4000"/>
    <s v="n/d"/>
    <s v="D3"/>
    <s v="WB27.BP.PF"/>
    <s v="MC"/>
    <s v="4"/>
    <s v="0"/>
    <s v="2025.16.05.03.04."/>
    <s v="2025.16.05."/>
    <s v="Opłata za abonament SKR-Z, związany z realizacją - porozumienia  NASK - MC"/>
    <s v="Podstawa prawna: art. 37 ust. 1 ustawy z dnia 30 kwietnia 2010 r. o instytutach badawczych (t.j. Dz.U. z 2022 r. poz. 498)"/>
    <n v="40"/>
    <m/>
    <n v="15"/>
    <n v="16"/>
    <n v="17"/>
    <n v="18"/>
    <s v="Porozumienie NASK-MC dot. systemu SKR-Z"/>
    <s v="NASK-PIB"/>
    <s v="art. 37 ust. 1 ustawy z dnia 30 kwietnia 2010 r. o instytutach badawczych (t.j. Dz.U. z 2022 r. poz. 498)"/>
    <s v="zaangażowano środki w kwocie 6.150 zł_x000a__x000a_Kontynuacja Porozumienia NASK-MC. Środki zaangażowane na rok 2026 (6.150 zł) - kwoty zostały urealnione w związku z planowanymi potrzebami"/>
    <x v="0"/>
  </r>
  <r>
    <x v="0"/>
    <x v="0"/>
    <x v="10"/>
    <n v="4000"/>
    <s v="n/d"/>
    <s v="D3"/>
    <s v="WB27.BP.PF"/>
    <s v="MC"/>
    <s v="4"/>
    <s v="0"/>
    <s v="2025.16.05.03.04."/>
    <s v="2025.16.05."/>
    <s v="Zakup usługi konfiguracji i uruchomienia Oprogramowania na Platformie oraz zapewnienie dostępu do Usługi, która polega na udostępnieniu Oprogramowania zainstalowanego na Platformie w modelu usługowym (SaaS) w tym Abonament Panelu Agenta komunikatora Threema"/>
    <s v="Utrzymanie i rozwój komunikatora Threema (wersja mobilna, desktop i web)."/>
    <n v="4968"/>
    <m/>
    <n v="5473"/>
    <n v="5474"/>
    <n v="5475"/>
    <n v="5576"/>
    <s v="-"/>
    <s v="-"/>
    <s v="-"/>
    <s v="planowana kolejna umowa/ Pzp. Obecna umowa nr 692/DC/22 obowiązuje do marca 2026r. Umowa udzielona z wyłączeniem ustawy PZP na podstawie art. 12 ust. 1 pkt 1 litera b z uwagi na istotny interes bezpieczeństwa państwa.Abonament niezbędny do komunikatora Threema"/>
    <x v="0"/>
  </r>
  <r>
    <x v="0"/>
    <x v="0"/>
    <x v="10"/>
    <n v="2830"/>
    <s v="n/d"/>
    <s v="D1"/>
    <s v="DGW27.BP.PF"/>
    <s v="MC"/>
    <s v="2"/>
    <s v="0"/>
    <s v="2025.16.05.03.02."/>
    <s v="2025.16.05."/>
    <s v="Dotacja celowa dla NASK-PIB na Utrzymanie i rozwój systemu łączności mobilnej umożliwiającej przetwarzanie informacji niejawnych do klauzuli „zastrzeżone” SKR-Z"/>
    <s v="Kontynuacja  zadania pn.: Utrzymanie i rozwój systemu łączności mobilnej umożliwiającej przetwarzanie informacji niejawnych do klauzuli „zastrzeżone” SKR-Z w latach 2025-2026.  Podstawa prawna: art. 37 ust. 1 ustawy z dnia 30 kwietnia 2010 r. o instytutach badawczych (t.j. Dz.U. z 2022 r. poz. 498)."/>
    <n v="39230"/>
    <m/>
    <n v="54914"/>
    <n v="48668"/>
    <n v="53894"/>
    <n v="51434"/>
    <s v="umowa 2/DC/D/2025_x000a_zawarta do dnia 2026.12.31"/>
    <s v="NASK-PIB"/>
    <s v="Podstawa prawna: art. 37 ust. 1 ustawy z dnia 30 kwietnia 2010 r. o instytutach badawczych (t.j. Dz.U. z 2022 r. poz. 498)."/>
    <s v="środki zaangażowano w kwocie 47.769.386,95 zł_x000a_Jednakże, w ostatnim okresie widać duże zainteresowanie użytkowaniem systemu SKR-Z przez jednostki nie tylko samorzadowe ale również podmioty gospodarcze (IK), dlatego planowane jest aneksowanie umowy dotacji (zwiększenie kwoty)"/>
    <x v="0"/>
  </r>
  <r>
    <x v="0"/>
    <x v="0"/>
    <x v="10"/>
    <n v="6230"/>
    <m/>
    <s v="D1"/>
    <s v="DGW27.BP.PF"/>
    <s v="MC"/>
    <s v="6"/>
    <n v="0"/>
    <s v="2025.16.05.03.02."/>
    <s v="2025.16.05."/>
    <s v="Dotacja celowa dla NASK-PIB na Utrzymanie i rozwój systemu łączności mobilnej umożliwiającej przetwarzanie informacji niejawnych do klauzuli „zastrzeżone” SKR-Z"/>
    <s v="Kontynuacja  zadania pn.: Utrzymanie i rozwój systemu łączności mobilnej umożliwiającej przetwarzanie informacji niejawnych do klauzuli „zastrzeżone” SKR-Z w latach 2025-2026.  Podstawa prawna: art. 37 ust. 1 ustawy z dnia 30 kwietnia 2010 r. o instytutach badawczych (t.j. Dz.U. z 2022 r. poz. 498)."/>
    <n v="7235"/>
    <m/>
    <n v="11910"/>
    <n v="5851"/>
    <n v="9630"/>
    <n v="10859"/>
    <s v="umowa 2/DC/D/2025_x000a_zawarta do dnia 2026.12.31"/>
    <s v="NASK-PIB"/>
    <s v="Podstawa prawna: art. 37 ust. 1 ustawy z dnia 30 kwietnia 2010 r. o instytutach badawczych (t.j. Dz.U. z 2022 r. poz. 498)."/>
    <s v="środki zaangażowano w kwocie 11.909.359 zł"/>
    <x v="0"/>
  </r>
  <r>
    <x v="0"/>
    <x v="0"/>
    <x v="10"/>
    <n v="4000"/>
    <s v="n/d"/>
    <s v="D3"/>
    <s v="WB27.BP.PF"/>
    <s v="MC"/>
    <n v="4"/>
    <n v="0"/>
    <s v="2025.22.01.01.01."/>
    <s v="2025.22.01."/>
    <s v="Obsługa i serwis agregatu prądotwórczego"/>
    <s v="Agregat prądotwórczy jest na stanie MC. Podstawa prawna: art. 12 ustawy z dnia ustawy z dnia 26 kwietnia 2007 r. o zarządzaniu kryzysowym (Dz.U. z 2023 r., poz.122). Realizacja zadań w zakresie m.in. organizację monitoringu zagrożeń i realizację zadań stałego dyżuru w ramach podwyższania gotowości obronnej państwa;"/>
    <m/>
    <m/>
    <n v="40"/>
    <n v="40"/>
    <n v="45"/>
    <n v="45"/>
    <s v="-"/>
    <s v="-"/>
    <s v="-"/>
    <s v="art. 12 ustawy z dnia ustawy z dnia 26 kwietnia 2007 r. o zarządzaniu kryzysowym (Dz.U. z 2023 r., poz.122). Realizacja zadań w zakresie m.in. organizację monitoringu zagrożeń i realizację zadań stałego dyżuru w ramach podwyższania gotowości obronnej państwa;"/>
    <x v="0"/>
  </r>
  <r>
    <x v="0"/>
    <x v="1"/>
    <x v="10"/>
    <n v="2430"/>
    <s v="n/d"/>
    <s v="D1"/>
    <s v="DGW27.BP.PF"/>
    <s v="MC"/>
    <n v="2"/>
    <n v="0"/>
    <s v="2025.16.05.03.04."/>
    <s v="2025.16.05."/>
    <s v="dotacja z budżetu państwa"/>
    <s v="Dotacja z budżetu państwa do Funduszu Cyberbezpieczeństwa na podstawie art. 2 ust. 4 pkt 3 ustawy z dnia 2 grudnia 2021 r. o szczególnych zasadach wynagradzania osób realizujących zadania z zakresu cyberbezpieczeństwa. Cel zadania: Wspieranie działań zmierzających do zapewnienia bezpieczeństwa systemów teleinformatycznych przed cyberzagrożeniami (świadczenie teleinformatyczne i koszty z nim związane)."/>
    <n v="250000"/>
    <m/>
    <n v="250000"/>
    <n v="500000"/>
    <n v="500000"/>
    <n v="500000"/>
    <s v="-"/>
    <s v="-"/>
    <s v="-"/>
    <s v="Fundusz Cyberbezpieczeństwa art. 2 ust. 4 pkt 3 ustawy z dnia 2 grudnia 2021 r. o szczególnych zasadach wynagradzania osób realizujących zadania z zakresu cyberbezpieczeństwa"/>
    <x v="0"/>
  </r>
  <r>
    <x v="0"/>
    <x v="0"/>
    <x v="10"/>
    <n v="2830"/>
    <s v="n/d"/>
    <s v="D1"/>
    <s v="DGW27.BP.PF"/>
    <s v="MC"/>
    <s v="2"/>
    <s v="0"/>
    <s v="2025.16.05.03.01."/>
    <s v="2025.16.05."/>
    <s v="Współfinansowanie przedsięwzięcia pod nazwą Podłączenie 385 nowych podmiotów krajowego systemu cyberbezpieczeństwa do zintegrowanego systemu zrządzania cyberbezpieczeństwem (system S46) oraz dalszy rozwój tego systemu (S46-KPO) realizowanego ze środków KPO "/>
    <s v="Zadanie współfinansowanie przedsięwzięcia pn.: „Podłączenie 385 nowych podmiotów krajowego systemu cyberbezpieczeństwa do zintegrowanego systemu zarządzania cyberbezpieczeństwem (system S46) oraz dalszy rozwój tego systemu (S46-KPO)”, realizowanego ze środków Krajowego Planu Odbudowy i Wzmacniania Odporności polega na realizacji zakupów ze środków inwestycyjnych oraz bieżących, które są współfinansowane w ramach przedsięwzięcia S46-KPO, dzięki czemu utrzymywana jest zdolność Beneficjenta do realizacji wyżej wymienionego przedsięwzięcia. Wysokość dofinansowania zakupów w ramach niniejszego Zadania jest równa wartości VAT realizowanych zakupów. Cel zadania: Realizacja przedsięwzięcia S46-KPO wspomaga rozwój systemu S46, który wypełnia założenia systemu teleinformatycznego określone w art. 46 ust 1 ustawy o krajowym systemie cyberbezpieczeństwa."/>
    <m/>
    <m/>
    <n v="126"/>
    <n v="0"/>
    <n v="0"/>
    <n v="0"/>
    <s v="wniosek S46KPO"/>
    <s v="NASK-PIB"/>
    <s v="art. 127 ust. 2 pkt 5 Ustawy z dnia 27 sierpnia 2009 r. o finansach publicznych[1]  oraz w związku z art. 47 ust. 1 i 2 ustawy z dnia 5 lipca 2018 r. o krajowym systemie cyberbezpieczeństwa "/>
    <s v="zaangażowano środki w kwocie 125.630,71 zł"/>
    <x v="0"/>
  </r>
  <r>
    <x v="0"/>
    <x v="0"/>
    <x v="10"/>
    <n v="2580"/>
    <s v="n/d"/>
    <s v="D1"/>
    <s v="DGW27.BP.PF"/>
    <s v="MC"/>
    <s v="2"/>
    <s v="0"/>
    <s v="2025.16.05.03.01."/>
    <s v="2025.16.05."/>
    <s v="Dotacja podmiotowa CSIRT - NASK-PIB"/>
    <s v="Podstawa prawna: art. 26 ust. 9 ustawy z dnia 5 lipca 2018 r. o krajowym systemie cyberbezpieczeństwa._x000a_Utrzymanie i rozwój Zespołu Reagowania na Incydenty Bezpieczeństwa Komputerowego (CSIRT) przy Naukowej i Akademickiej Sieci Komputerowej Państwowym Instytucie Badawczym polega na realizacji zadań ściśle określonych w ustawie o krajowym systemie cyberbezpieczeństwa wprost wymienionych w zadań wymienionych w art. 26 oraz w związku z art. 26 ust. 9 w ustawie z dnia 5 lipca 2018 r. o krajowym systemie cyberbezpieczeństwa"/>
    <n v="39186"/>
    <m/>
    <n v="45455"/>
    <n v="52728"/>
    <n v="61165"/>
    <n v="70951"/>
    <s v="-"/>
    <s v="NASK-PIB"/>
    <s v="art. 26 ust. 9 ustawy z dnia 5 lipca 2018 r. o krajowym systemie cyberbezpieczeństwa"/>
    <s v="Dotacja podmiotowa dla NASK-PIB - kontynuacja dotacji, dla każdego roku jest zawierana oddzielna umowa."/>
    <x v="0"/>
  </r>
  <r>
    <x v="0"/>
    <x v="0"/>
    <x v="10"/>
    <n v="4000"/>
    <s v="n/d"/>
    <s v="D3"/>
    <s v="WB27.BP.PF"/>
    <s v="MC"/>
    <s v="4"/>
    <s v="0"/>
    <s v="2025.16.05.03.02."/>
    <s v="2025.16.05."/>
    <s v="Kampania informacyjna nt. systemu samorejestracji podmiotów KSC"/>
    <s v="Przygotowanie strategii, koncepcji kreatywnej oraz realizacja kampanii informacyjnej dot. wdrożenia NIS 2 w Polsce, w tym objęcia nowych kategorii podmiotów obowiązkami w zakresie cyberbezpieczeństwa oraz systemu samorejestracji podmiotów w celu opracowania i uzyskania możliwie pełnego wykazu podmiotów kluczowych i ważnych. Zgodnie z art. 3 ust. 3 Dyrektywy NIS 2: Do dnia 17 kwietnia 2025 r. państwa członkowskie ustanawiają wykaz podmiotów kluczowych i ważnych, a także podmiotów świadczących usługi rejestracji nazw domen. Państwa członkowskie regularnie, i nie rzadziej niż co dwa lata po wyżej wymienionej dacie, dokonują przeglądu i – w stosownych przypadkach – aktualizacji tego wykazu."/>
    <n v="615"/>
    <m/>
    <n v="615"/>
    <n v="615"/>
    <n v="615"/>
    <n v="615"/>
    <s v="-"/>
    <s v="-"/>
    <s v="-"/>
    <m/>
    <x v="0"/>
  </r>
  <r>
    <x v="0"/>
    <x v="0"/>
    <x v="10"/>
    <n v="4000"/>
    <s v="n/d"/>
    <s v="D3"/>
    <s v="WB27.BP.PF"/>
    <s v="MC"/>
    <s v="4"/>
    <s v="0"/>
    <s v="2025.16.05.03.02."/>
    <s v="2025.16.05."/>
    <s v=" Współtworzenie Europejskiego Kongresu Gospodarczego w Katowicach w obszarze ścieżkimerytorycznej w obszarze cyberbezpieczeństwa"/>
    <s v="Europejski Kongres Gospodarczy jest jedynym z największych kongresów ekonomiczno-gospodarczych w Polsce, stanowiących szerokie, różnorodne i otwarte forum debaty o przyszłości polskiej i europejskiej gospodarki. Wspołtworzenie ścieżki merytorycznej w obszarze cyberbezpieczeństwa w tym prestiżowym wydarzeniu jest podstawą dialogu z  top menedżerami największych globalnych firm, politykow, oraz najwyższej klasy ekspertów, którzy dyskutują o najważniejszych wyzwaniach w perspektywie długofalowej, jakie stoją przed krajem.  Wydarzenie stanowi unikatową platformę spotkań, na której dyskutuje się o najważniejszych wyzwaniach i kierunkach rozwoju państwa na styku działań administracji publicznej i biznesu.  "/>
    <n v="200"/>
    <m/>
    <n v="600"/>
    <n v="0"/>
    <n v="0"/>
    <n v="0"/>
    <s v="-"/>
    <s v="-"/>
    <s v="-"/>
    <m/>
    <x v="0"/>
  </r>
  <r>
    <x v="0"/>
    <x v="0"/>
    <x v="10"/>
    <n v="4000"/>
    <s v="n/d"/>
    <s v="D3"/>
    <s v="WB27.BP.PF"/>
    <s v="MC"/>
    <s v="4"/>
    <s v="0"/>
    <s v="2025.16.05.03.02."/>
    <s v="2025.16.05."/>
    <s v="Forum Cyberbezpieczeństwa"/>
    <s v="Od 6 lat organizacja cyklicznego Forum Cyberbezpieczeństwa mającego na celu promocję projektów cyfrowych z obszaru cyberbezpieczeństwa realizowanych przez Ministerstwo Cyfryzacji oraz podmioty mu podległe. Tematyka poruszana poMC_DC MCzas Forum Cyberbezpieczeństwa służy podniesieniu efektywności działania administracji publicznej i samorządów oraz  prowadzeniu działań informacyjno-promocyjnych polityki cyfrowej z obszaru cyberbezpieczeństwa prowadzonej przez Ministerstwo Cyfryzacji wraz z propagowaniem projektów cyfrowych z tego obszaru wśród samorządów i społeczeństwa. Organizacja forum cyberbezpieczeństwa - w ramach Formu Ekonomicznego w Krapaczu (opłaceniestrefy konferencyjnej,  udział w forum, delegacje, przejazdy zorganizowane, obsługa logistyczna)"/>
    <n v="1600"/>
    <m/>
    <n v="2000"/>
    <n v="0"/>
    <n v="0"/>
    <n v="0"/>
    <s v="-"/>
    <s v="-"/>
    <s v="-"/>
    <m/>
    <x v="0"/>
  </r>
  <r>
    <x v="0"/>
    <x v="0"/>
    <x v="10"/>
    <n v="4000"/>
    <s v="n/d"/>
    <s v="D3"/>
    <s v="WB27.BP.PF"/>
    <s v="MC"/>
    <s v="4"/>
    <s v="0"/>
    <s v="2025.16.05.03.02."/>
    <s v="2025.16.05."/>
    <s v="4 edycja międzynarodowego szkolenia z cyberbezpieczeństwa dla sektora energetycznego"/>
    <s v="Organizacja IV edycji międzynarodowego szkolenia z cyberbezpieczeństwa dla sektora energetycznego planowana w formule Train the trainers, dla reprezentantów karjów UE a także Ukrainy mające na celu budowę wspólnego bezpieczeństwa energetycznego."/>
    <n v="400"/>
    <m/>
    <n v="1000"/>
    <n v="0"/>
    <n v="0"/>
    <n v="0"/>
    <s v="-"/>
    <s v="-"/>
    <s v="-"/>
    <m/>
    <x v="0"/>
  </r>
  <r>
    <x v="0"/>
    <x v="0"/>
    <x v="10"/>
    <n v="4000"/>
    <s v="n/d"/>
    <s v="D3"/>
    <s v="WB27.BP.PF"/>
    <s v="MC"/>
    <s v="4"/>
    <s v="0"/>
    <s v="2025.16.05.03.02."/>
    <s v="2025.16.05."/>
    <s v="Organizacja stoiska MC w trakcie Festiwalu muzycznego"/>
    <s v="Open’er Festival – festiwal muzyczny odbywający się w Gdyni od 2003 r. Od kilku lat festiwal przerodził się w miejsce spotkań - angażujących środowiska NGO, prospołeczne, edukacyjne. Strefa Let's Talk podczas wydarzenia podejmuje istotnie społeczne tematy, m.in. takie jak cyberbezpieczeństwo. Festiwal jest dobrym miejscem edukującym społeczeństwo w zakresie cyberbezpieczeństwa i nowych technologii. "/>
    <m/>
    <m/>
    <n v="700"/>
    <n v="0"/>
    <n v="0"/>
    <n v="0"/>
    <s v="-"/>
    <s v="-"/>
    <s v="-"/>
    <m/>
    <x v="0"/>
  </r>
  <r>
    <x v="0"/>
    <x v="0"/>
    <x v="10"/>
    <n v="4000"/>
    <s v="n/d"/>
    <s v="D3"/>
    <s v="WB27.BP.PF"/>
    <s v="MC"/>
    <s v="4"/>
    <s v="0"/>
    <s v="2025.16.05.03.02."/>
    <s v="2025.16.05."/>
    <s v="Realizacje projektu w ramach Mechanizum Tallińskiego i platformy projektów stworzonej przez Ukrainę"/>
    <s v="Minister Cyfryzacji zarządzeniem NR Z-1/2023 powołał do funkcjonowania Zespół do spraw wsparcia merytoryczno-organizacyjnego dla grupy państw sojuszniczych w ramach NATO wspierających Ukrainę w obszarze cyberbezpieczeństwa w związku ze zbrojną napaścią Federacji Rosyjskiej_x000a_Na podstawie ww. zarządzenia oraz MISSION STATEMENT wszystkich Państw Mechanizmu, Polska pełni rolę Back Office, realizując komunikację dotyczącą zapotrzebowania strony Ukraińskiej i przekazywanie tych informacji do pozostałych członków inicjatywy."/>
    <n v="250"/>
    <m/>
    <n v="500"/>
    <n v="0"/>
    <n v="0"/>
    <n v="0"/>
    <s v="-"/>
    <s v="-"/>
    <s v="-"/>
    <m/>
    <x v="0"/>
  </r>
  <r>
    <x v="0"/>
    <x v="0"/>
    <x v="10"/>
    <n v="4000"/>
    <s v="n/d"/>
    <s v="D3"/>
    <s v="WB27.BP.PF"/>
    <s v="MC"/>
    <s v="4"/>
    <s v="0"/>
    <s v="2025.16.05.03.02."/>
    <s v="2025.16.05."/>
    <s v="Przygotowanie Strategii Działań Promocyjnych w zakresie cyberbezpieczeństwa"/>
    <s v="Promocja i edukacja w zakresie cyberbezpieczeństwa jest kluczowa. Opracowanie i wdrożenie takiej strategii pomoże zrealizować ten cel i ułatwi to działanie w krótkoterminowych czy ad hocowych zadaniach ni wydarzeniach  (konferencjach, spotkaniach), co pozwoli zaoszczędzić czas i środki finansowe. "/>
    <m/>
    <m/>
    <n v="1500"/>
    <n v="0"/>
    <n v="0"/>
    <n v="0"/>
    <s v="-"/>
    <s v="-"/>
    <s v="-"/>
    <m/>
    <x v="0"/>
  </r>
  <r>
    <x v="0"/>
    <x v="0"/>
    <x v="10"/>
    <n v="4000"/>
    <s v="n/d"/>
    <s v="D3"/>
    <s v="WB27.BP.PF"/>
    <s v="MC"/>
    <s v="4"/>
    <s v="0"/>
    <s v="2025.22.01.01.01."/>
    <s v="2025.22.01."/>
    <s v="Zakup sprzętu i materiałów eksploatacyjnych"/>
    <s v="Wydatki na sprzęt dla kancelarii tajnej, w tym: Zakup biurowego sprzętu informatycznego (przykładowo: laptopy, monitory, telefony VoIP, smartfony, tablety i akcesoria i materiały eksploatacyjne"/>
    <n v="30"/>
    <m/>
    <n v="30"/>
    <n v="30"/>
    <n v="30"/>
    <n v="30"/>
    <s v="-"/>
    <s v="-"/>
    <s v="-"/>
    <m/>
    <x v="0"/>
  </r>
  <r>
    <x v="0"/>
    <x v="0"/>
    <x v="10"/>
    <n v="6060"/>
    <m/>
    <s v="D3"/>
    <s v="WB27.BP.PF"/>
    <s v="MC"/>
    <s v="6"/>
    <s v="0"/>
    <s v="2025.22.01.01.01."/>
    <s v="2025.22.01."/>
    <s v="ZAKUP SPRZĘTU SPECJALISTYCZNEGO: niszczarka (2026 r.), sprzęt teleinformatyczny (2027-2029)"/>
    <s v="Na rok 2026 planuje się wydatek na sprzęt specjalistyczny, przeeznaczony do niszczenia, wg normy DIN66399, informatycznych nośników danych (dyski HDD, dyski SSD, dyski optyczne)._x000a_Zakup niszczarki niezbędny ze względu na potrzebę utylizacji znacznych ilości informatycznych nośników danych, należących do Ministerstwa Cyfryzacji, zawierających informacje niejawne oraz dane wrażliwe. Nośniki będą zniszczone zgodnie z zasadami obowiązującymi w Ustawie o Ochronie Informacji Niejawnych (Dz.U.2024 poz.632), zapisami dotyczącymi ochronie danych osobowych (Dz.U.2019 poz.1781), przepisami kancelaryjnymi, zapisami dotyczącymi zasad i sposobu niszczenia informatycznych nośników danych wykorzystywanych w akredytowanych niejawnych systemach teleinformatycznych. Urządzenie ma spełniać specjalistyczne wymagania, dotyczące klasy niszczenia takowych nośników, spełniających normę DIN66399 na poziomie E-2/H-5/O-2/T-3._x000a_W kolejnych latach planowany jest zakup sprzetu teleinformatycznego (komputer, drukarka, dyski twarde) w ramach modernizacji systemów teleinforatycznych przeznaczonych do przetwarzania inforacji niejawnych spełniających norme SDIP-27 level A."/>
    <n v="70"/>
    <m/>
    <n v="200"/>
    <n v="150"/>
    <n v="150"/>
    <n v="150"/>
    <s v="-"/>
    <s v="-"/>
    <s v="-"/>
    <s v="Wydatku nie zgłoszono na etapie planowania inwestycji, niemniej jednak powstała potrzeba niezbędnego zakupu."/>
    <x v="0"/>
  </r>
  <r>
    <x v="0"/>
    <x v="0"/>
    <x v="10"/>
    <n v="4000"/>
    <s v="n/d"/>
    <s v="D3"/>
    <s v="WB27.BP.PF"/>
    <s v="MC"/>
    <s v="4"/>
    <s v="0"/>
    <s v="2025.16.05.03.02."/>
    <s v="2025.16.05."/>
    <s v="Zakup systemu i usługi do symulowania ataków typu phishing i podnoszenia świadomości użytkowników MC"/>
    <s v="Podnoszenie świadomości z zakresu cyberbezpieczeństwa, w szczególności reagowania na ataki typu phishing._x000a_Głównym celem wskaznym w &quot;Strategii Cyberbezpieczeństwa RP na lata 2019-2024&quot; jest podniesienie poziomu odporności na cyberzagrożenia oraz zwięksenie poziomu ochrony informacji w sektorze publicznym, (...) oraz promowanie wiedzy i dobrych praktyk umożliwiających obywatelom lepszą ochronę ich informacji. Jednym z celów szczegółowych Strategii jest budowanie świadomości i kompetencji społecznych w zakresie cyberbezpieczeństwa - zwiększanie kompetencji kadry podmiotów istotnych dla cyberbezpieczeństwa RP._x000a_Dodatkowo, zgodnie z ustawą o krajowym systemie cyberbezpieczeństwa, podmioty realizujące zadania publiczne zobowiązane są do zapewnienia zarządzania incydentami. Z prowadzonych przez MC_DC MC zadań związanych z obsługą incydentów cyberbezpieczeństwa wynika, że wiele z nich dotyczy phishingu"/>
    <n v="100"/>
    <m/>
    <n v="15"/>
    <n v="15"/>
    <n v="10"/>
    <n v="0"/>
    <s v="wniosek 321/DC/24"/>
    <s v="-"/>
    <s v="-"/>
    <s v="W 2026 roku środki zaangażowanmo w kwocie 12.152,40 zł, 2027 rok - 12.152,40 zł, 2028 - 6.076,20 zł_x000a_"/>
    <x v="0"/>
  </r>
  <r>
    <x v="0"/>
    <x v="0"/>
    <x v="10"/>
    <n v="4000"/>
    <s v="n/d"/>
    <s v="D3"/>
    <s v="WB27.BP.PF"/>
    <s v="MC"/>
    <s v="4"/>
    <s v="0"/>
    <s v="2025.16.05.03.02."/>
    <s v="2025.16.05."/>
    <s v="Zakup usługi przygotowania szkolenia e-learningowego z cyberhigieny"/>
    <s v="Podnoszenie świadomości pracowników MC z zakresu cyberbezpieczeństwa. Podstawa prawna: art. 45 ust. 1 pkt 4 ustawy o krajowym systemie cyberbezpieczeństwa"/>
    <n v="60"/>
    <m/>
    <n v="0"/>
    <n v="60"/>
    <n v="0"/>
    <n v="0"/>
    <s v="-"/>
    <s v="-"/>
    <s v="-"/>
    <m/>
    <x v="0"/>
  </r>
  <r>
    <x v="0"/>
    <x v="0"/>
    <x v="10"/>
    <n v="4000"/>
    <s v="n/d"/>
    <s v="D3"/>
    <s v="WB27.BP.PF"/>
    <s v="MC"/>
    <s v="4"/>
    <s v="0"/>
    <s v="2025.16.05.03.04."/>
    <s v="2025.16.05."/>
    <s v="Utrzymanie i rozwój CSIRT Cyfra (wydatki bieżące)"/>
    <s v="Zapewnienie funkcjonowania sektorowego zespołu cyberbezpieczeństwa/CSIRT sektorowego w Ministerstwie Cyfryzacji dla sektora infrastruktury cyfrowej. Koniecznoczność zapewnienia trwałości (3 lata od daty zatwierdzenia wniosku o płatność końcową) projektu finansowanego w latach 2025-2026 (do końca czerwca) z Krajowego Planu Odbudowy i Zwiększania Odporności. Wydatki bieżące: dostawy inne niż środki trwałe, usługi zewnętrzne, subckrypcje, licencje._x000a_Podstawa prawna: art. ust 1. UKSC 44."/>
    <m/>
    <m/>
    <n v="2082"/>
    <n v="3594"/>
    <n v="4133"/>
    <n v="4753"/>
    <s v="-"/>
    <s v="-"/>
    <s v="-"/>
    <m/>
    <x v="0"/>
  </r>
  <r>
    <x v="0"/>
    <x v="0"/>
    <x v="10"/>
    <n v="6060"/>
    <m/>
    <s v="D3"/>
    <s v="WB27.BP.PF"/>
    <s v="MC"/>
    <s v="6"/>
    <s v="0"/>
    <s v="2025.16.05.03.04."/>
    <s v="2025.16.05."/>
    <s v="ZAKUP SPRZĘTU SPECJALISTYCZNEGO: Utrzymanie i rozwój CSIRT Cyfra (wydatki inwestycyjne)"/>
    <s v="Zapewnienie funkcjonowania sektorowego zespołu cyberbezpieczeństwa/CSIRT sektorowego w Ministerstwie Cyfryzacji dla sektora infrastruktury cyfrowej. Koniecznoczność zapewnienia trwałości (3 lata od daty zatwierdzenia wniosku o płatność końcową) projektu finansowanego w latach 2025-2026 (do końca czerwca) z Krajowego Planu Odbudowy i Zwiększania Odporności. Wydatki inwestycyjne._x000a_Podstawa prawna: art. ust 1. UKSC 44._x000a_ Przedsięwzięcie o nazwie „CSIRT Cyfra - utworzenie w Ministerstwie Cyfryzacji CSIRT sektorowego dla sektora infrastruktury cyfrowej” jest obecnie na etapie oceny wniosku o przyznanie funduszy KPO. Zadanie to będzie finansowane z KPO maksymalnie do czerwca 2026 r. _x000a_W związku z obowiązkiem zapewnienia trwałości zadania przez 3 lata, wstępnie zgłoszono do budżetu środki także z zakresu inwestycji (środki bieżące zostały wskazane we wcześniejszym wierszu). Obecnie nie ma możliwości określenia na co będą przeznaczone te środki w kolejnych latach."/>
    <m/>
    <m/>
    <n v="200"/>
    <n v="500"/>
    <n v="575"/>
    <n v="660"/>
    <s v="-"/>
    <s v="-"/>
    <s v="-"/>
    <m/>
    <x v="0"/>
  </r>
  <r>
    <x v="0"/>
    <x v="0"/>
    <x v="10"/>
    <n v="4000"/>
    <s v="n/d"/>
    <s v="D3"/>
    <s v="WB27.BP.PF"/>
    <s v="MC"/>
    <s v="4"/>
    <s v="0"/>
    <s v="2025.16.05.03.02."/>
    <s v="2025.16.05."/>
    <s v="Zakup systemu cyber threat intelligence poziomu operacyjnego dla podmiotów krajowego systemu cyberbezpieczeństwa"/>
    <s v="Celem zadania jest zakup rocznego dostępu do systemu rozpoznawania zagrożeń w cyberprzestrzeni (CTI) poziomu operacyjnego,  wspomagającego pracę zespołów cyberbezpieczeństwa , w tym zespów reagowania na incydenty komputerowe wchodzące w skład krajowego systemu cyberbezpieczeństwa. Dostęp do informacji CTI poziomu operacyjnego przyczyni się do zwiększenia skuteczności wykrywania oraz przewidywania cyberataków i reagowania na nie. System będzie pozyskany na potrzeby Ministerstwa Cyfryzacji i innych podmiotów zapewniających cyberbezpieczeństwo na poziomie krajowym._x000a_Podstawa prawna: art. 62 ustawy z dnia 5 lipca 2018 r. o krajowym systemie cyberbezpieczeństwa (Dz.U. z 2023 r. poz. 913 z późn. zm.)"/>
    <n v="21000"/>
    <m/>
    <n v="23000"/>
    <n v="23000"/>
    <n v="23000"/>
    <n v="0"/>
    <s v="-"/>
    <s v="-"/>
    <s v="-"/>
    <s v="W roku 2024 zawarto umowę nr 82/C/MC/23planowana kolejna umowa/Pzp"/>
    <x v="0"/>
  </r>
  <r>
    <x v="0"/>
    <x v="0"/>
    <x v="10"/>
    <n v="4000"/>
    <s v="n/d"/>
    <s v="D3"/>
    <s v="WB27.BP.PF"/>
    <s v="MC"/>
    <s v="4"/>
    <s v="0"/>
    <s v="2025.16.05.03.02."/>
    <s v="2025.16.05."/>
    <s v="Zakup systemu cyber threat intelligence poziomu strategicznego dla podmiotów krajowego systemu cyberbezpieczeństwa"/>
    <s v="Celem zadania jest zakup rocznego dostępu do systemu rozpoznawania zagrożeń w cyberprzestrzeni (CTI) poziomu strategicznego,  wspomagającego pracę zespołów cyberbezpieczeństwa , w tym zespów reagowania na incydenty komputerowe wchodzące w skład krajowego systemu cyberbezpieczeństwa. Dostęp do systemu CTI poziomu strategicznego pozwoli na gromadzenie, analizowanie i wykorzystywania informacji o cyberzagrożeniach w celu podejmowania decyzji dotyczących cyberbezpieczeństwa państwa oraz w ramach danej organizacji. System będzie pozyskany na potrzeby Ministerstwa Cyfryzacji i innych podmiotów zapewniających cyberbezpieczeństwo na poziomie krajowym._x000a_Podstawa prawna: art. 62 ustawy z dnia 5 lipca 2018 r. o krajowym systemie cyberbezpieczeństwa (Dz.U. z 2023 r. poz. 913 z późn. zm.)"/>
    <n v="7000"/>
    <m/>
    <n v="10000"/>
    <n v="10000"/>
    <n v="10000"/>
    <n v="0"/>
    <s v="-"/>
    <s v="-"/>
    <s v="-"/>
    <m/>
    <x v="0"/>
  </r>
  <r>
    <x v="0"/>
    <x v="0"/>
    <x v="10"/>
    <n v="6230"/>
    <m/>
    <s v="D1"/>
    <s v="DGW27.BP.PF"/>
    <s v="MC"/>
    <s v="6"/>
    <s v="0"/>
    <s v="2025.16.05.03.01."/>
    <s v="2025.16.05."/>
    <s v="Dotacja celowa dla NASK-PIB -  zakup urządzeń i oprogramowania na potrzeby rozwoju i utrzymania systemu teleinformatycznego S46 "/>
    <s v="Cel realizacji zadania: zapewnienie bezpieczeństwa systemów informacyjnych oraz ochrony danych w kontekście cyberbezpieczeństwa poprzez spełnienie wymogów prawnych określonych w art. 46 ust. 1 ustawy z dnia 5 lipca 2018 r. o Krajowym Systemie Cyberbezpieczeństwa._x000a_Planowane do osiągnięcia efekty rzeczowe: modernizacja środowisk w kontekście zapewnienia nieprzerwanego działania systemu w kilku lokalizacjach oraz uruchomienia części niejawnej systemu S46. Planowany zakup sprzętu/urządzeń/licencji:_x000a_- zakup serwerów, macierzy oraz urządzeń sieciowych dla środowisk S46 (2026-2028), - zakup licencji oprogramowania do analizy zdarzeń oraz wymiana urządzeń HSM (2027),_x000a_- zakup serwerów, macierzy, urządzeń sieciowych oraz oprogramowania do uruchomienia środowisk do analizy Bigdata (2028)_x000a_- zakup serwerów, macierzy, urządzeń sieciowych oraz oprogramowania do uruchomienia części niejawnej S46 (2029"/>
    <n v="12215"/>
    <m/>
    <n v="2345"/>
    <n v="6572"/>
    <n v="8894"/>
    <n v="18450"/>
    <s v="umowa 201/DC/D/2024_x000a_zawarta do dnia 2026.12.31."/>
    <s v="NASK-PIB"/>
    <s v="art. 47 ust. 1 i 2 w związku z art. 46 ust. 1 ustawy z dnia 5 lipca 2018 r. o krajowym systemie cyberbezpieczeństwa (Dz. U. z 2024 r. poz. 1077) w zw. z art. 150 ustawy z dnia 27 sierpnia 2009 r. o finansach publicznych (Dz. U. z 2024 r. poz. 1530)"/>
    <s v="zaangażowano środki w kwocie 1.906.500 zł_x000a__x000a_Kontynuacja dotacji, umowa nr 201/DC/D/2-24 - środki zaangażowane na lata 2025-2026. Na rok 2026 środki zaangażowano obecnie w kwocie 1.906.500 zł  (umowa) ze względu na obowiązującą regułę wydatkową, która zwiększy się w przypadku przyjęcia Ustawy KSC "/>
    <x v="0"/>
  </r>
  <r>
    <x v="0"/>
    <x v="0"/>
    <x v="10"/>
    <n v="2830"/>
    <s v="n/d"/>
    <s v="D1"/>
    <s v="DGW27.BP.PF"/>
    <s v="MC"/>
    <s v="2"/>
    <s v="0"/>
    <s v="2025.16.05.03.01."/>
    <s v="2025.16.05."/>
    <s v="Dotacja Celowa dla NASK-PIB - ochrona i rozwój systemu teleinformatycznego S46 (wydatki bieżące)"/>
    <s v="Podstawa prawna: art. 47 ust. 2 ustawy z dnia 5 lipca 2018 r. o krajowym systemie cyberbezpieczeństwa._x000a_Zadanie polega na utrzymaniu i rozwoju warstwy technologicznej i aplikacyjnej S46 oraz działanie systemu S46 w trybie ciągłym, zwiększenia odporności na katastrofy oraz zwiększenia korzyści z wykorzystania systemu poprzez zwiększenie liczby podłączonych do S46 podmiotów krajowego systemu cyberbezpieczeństwa. Za utrzymanie systemu S46, zgodnie z art. 46 ustawy o krajowym systemie cyberbezpieczeństwa, odpowiada minister właściwy do spraw informatyzacji. Jest to zadanie ciągłe. "/>
    <n v="22624"/>
    <m/>
    <n v="25661"/>
    <n v="22437"/>
    <n v="30246"/>
    <n v="32064"/>
    <s v="umowa 201/DC/D/2024_x000a_zawarta do dnia 2026.12.31."/>
    <s v="NASK-PIB"/>
    <s v="art. 47 ust. 1 i 2 w związku z art. 46 ust. 1 ustawy z dnia 5 lipca 2018 r. o krajowym systemie cyberbezpieczeństwa (Dz. U. z 2024 r. poz. 1077) w zw. z art. 150 ustawy z dnia 27 sierpnia 2009 r. o finansach publicznych (Dz. U. z 2024 r. poz. 1530)"/>
    <s v="zaangażowano środki w kwocie 7.593.500 zł_x000a__x000a_Kontynuacja dotacji, umowa nr 201/DC/D/2-24 - środki zaangażowane na lata 2025-2026. Na rok 2026 środki zaangażowano obecnie w kwocie 7.593.500 zł  (umowa) ze względu na obowiązującą regułę wydatkową, która zwiększy się w przypadku przyjęcia Ustawy KSC "/>
    <x v="0"/>
  </r>
  <r>
    <x v="0"/>
    <x v="0"/>
    <x v="10"/>
    <n v="4000"/>
    <s v="n/d"/>
    <s v="D3"/>
    <s v="WB27.BP.PF"/>
    <s v="MC"/>
    <s v="4"/>
    <s v="0"/>
    <s v="2025.16.05.03.02."/>
    <s v="2025.16.05."/>
    <s v="Oprogramowanie wspierające analizy cyberbezpieczeństwa"/>
    <s v="Zakup orogramowania wspierającego analizy cyberbezpieczeństwa, m.in. w zakresie gromadzenia i analizowania informacji w mediach; skanerów i wyszukiwarek podatności, portów, adresów URL; zarządzania hasłami; obróbką graficzną. Podstawa prawna: Regulamin MC, ustawa o KSC (art. 45 i 63)."/>
    <n v="75"/>
    <m/>
    <n v="90"/>
    <n v="90"/>
    <n v="90"/>
    <n v="0"/>
    <s v="-"/>
    <s v="-"/>
    <s v="-"/>
    <s v="Zmiana kwoty z 70 na 90 tys. Zmiana wynika z potrzeby większej automatyzacji przygotowywania analiz, raportów, briefów, zgodnie z obowiązkami wydziału, w związku z jego ograniczonymi zasobami osobywmi"/>
    <x v="0"/>
  </r>
  <r>
    <x v="0"/>
    <x v="0"/>
    <x v="10"/>
    <n v="2830"/>
    <s v="n/d"/>
    <s v="D1"/>
    <s v="DGW27.BP.PF"/>
    <s v="MC"/>
    <n v="2"/>
    <s v="0"/>
    <s v="2025.16.05.03.04."/>
    <s v="2025.16.05."/>
    <s v="Dotacja celowa dla NASK-PIB „Bieżące utrzymanie i rozwój portalu ,,bezpiecznedane.gov.pl&quot;&quot;"/>
    <s v="Serwis Bezpiecznedane.gov.pl powstał w celu niwelowania skutków wycieku danych. Za pomocą Bezpiecznedane.gov.pl, obywatele RP mogą sprawdzić czy ich dane pojawiły się w wycieku. W ramach portalu bezpiecznedane.gov.pl umożliwiono uzyskanie potwierdzenia upublicznienia danych obywateli w zgłoszonym wycieku danych w sieci Internet. Celem realizacji Zadania jest kontynuowanie bieżącego utrzymania i rozwoju portalu ,,bezpiecznedane.gov.pl w 2025 roku, gwarantujące dostępność portalu dla obywateli PL. "/>
    <n v="2413"/>
    <m/>
    <n v="1609"/>
    <n v="0"/>
    <n v="0"/>
    <n v="0"/>
    <s v="-"/>
    <s v="NASK-PIB"/>
    <s v=" art. 150 w zw. z art. 127 ust. 1 pkt 1 ustawy z dnia 27 sierpnia 2009 r. o finansach _x000a_publicznych (Dz. U. z 2024 r. poz. 1530, z późn. zm.) oraz w zw. z art. 45 ust. 1 pkt 4, art. 47 ust. 1 i 2 _x000a_ustawy z dnia 5 lipca 2018 r. o krajowym systemie cyberbezpieczeństwa"/>
    <s v="Umowa nr 208/DC/2025 jest zawarta na rok 2025. Pełna kwota  planowanej na 2026.dotacji to 1 608 551,78 zł"/>
    <x v="0"/>
  </r>
  <r>
    <x v="0"/>
    <x v="0"/>
    <x v="10"/>
    <n v="2830"/>
    <s v="n/d"/>
    <s v="D1"/>
    <s v="DGW27.BP.PF"/>
    <s v="MC"/>
    <s v="2"/>
    <s v="0"/>
    <s v="2025.16.05.03.02."/>
    <s v="2025.16.05."/>
    <s v="Dotacja celowa dla NASK-PIB &quot;Działania_x000a_wspierające nauczanie o cyberbezpieczeństwie – Cyberlekcje&quot;"/>
    <s v="Zadanie adresowane do uczniów szkół podstawowych i średnich,  nawiązujące do zadania realizowanego w latach 2021-2024. Wnioski po reazlizacji projektu w poprzednich latach wyrażnie wskazały na zasadność kontynuacji projektu, a także rozszerzenie jego zakresu o nowe scenariusze oraz przeprowadzenie szkoleń we wszystkich województwach. "/>
    <n v="600"/>
    <m/>
    <n v="1325"/>
    <n v="1500"/>
    <n v="1500"/>
    <n v="0"/>
    <s v="umowa 203/DC/D/2025_x000a_zawarta do dnia 2026.12.31"/>
    <s v="NASK-PIB"/>
    <s v="art. 150 w zw. z art. 127 ust. 1 pkt 1 ustawy z dnia 27 sierpnia 2009 r. o finansach_x000a_publicznych (Dz. U. z 2024 r. poz. 1530, z późn. zm.), oraz art. 47 ust. 1 i 2 ustawy z dnia 5 lipca_x000a_2018 r. o krajowym systemie cyberbezpieczeństwa (Dz. U. z 2024 r. poz. 1077, z późn. zm.),"/>
    <s v="zaangażowano środki w kwocie 1.324.198,79 zł"/>
    <x v="0"/>
  </r>
  <r>
    <x v="0"/>
    <x v="0"/>
    <x v="10"/>
    <n v="2830"/>
    <s v="n/d"/>
    <s v="D1"/>
    <s v="DGW27.BP.PF"/>
    <s v="MC"/>
    <s v="2"/>
    <s v="0"/>
    <s v="2025.16.05.03.02."/>
    <s v="2025.16.05."/>
    <s v="Dotacja celowa dla NASK-PIB na realizację zadania pn. Działania prewencyjno-edukacyjne z zakresu cyberbezpieczeństwa w latach 2025-2026 – podnoszenie odporności Rzeczypospolitej Polskiej na zagrożenia w przestrzeni cyfrowej"/>
    <s v="Realizacja zadania jest odpowiedzią na stale rosnącą liczbę zgłaszanych zdarzeń i incydentów cyberbezpieczeństwa, co wymaga podjęcia skoordynowanych działań w skali całego kraju odpowiednio dopasowanych do jak najszerszego kręgu odbiorców. Realizacja zadania przyczyni się do wzmocnienia poziomu odporności struktur państwa na zagrożenia w przestrzeni cyfrowej. Zwiększanie świadomości zagrożeń oraz budowanie kompetencji kadry zarząMC_DC MCzej i personelu instytucji kluczowych dla bezpieczeństwa publicznego i dobra obywateli jest istotnym narzędziem w zakresie ochrony państwa przed próbami destabilizacji funkcjonowania Rzeczypospolitej Polskiej._x000a_Podstawa prawna: art. 37 ust. 1 ustawy o instytutach badawczych"/>
    <n v="7000"/>
    <m/>
    <n v="10831"/>
    <n v="10000"/>
    <n v="10000"/>
    <n v="0"/>
    <s v="umowa 209/DC/D/2025_x000a_zawarta do dnia 2026.12.31"/>
    <s v="NASK-PIB"/>
    <s v="Podstawa prawna: art. 37 ust. 1 ustawy o instytutach badawczych"/>
    <s v="zaangażowano środki w kwocie 10.830.124,77 zł_x000a_"/>
    <x v="0"/>
  </r>
  <r>
    <x v="0"/>
    <x v="0"/>
    <x v="10"/>
    <n v="4000"/>
    <s v="n/d"/>
    <s v="D3"/>
    <s v="WB27.BP.PF"/>
    <s v="MC"/>
    <s v="4"/>
    <s v="0"/>
    <s v="2025.16.05.03.02."/>
    <s v="2025.16.05."/>
    <s v="Ćwiczenia cyberbezpieczeństwa dla podmiotów krajowego systemu cyberbezpieczeństwa"/>
    <s v="Podstawa prawna: Inicjowanie krajowych ćwiczeń - art.62 ust 1 pkt 5 ustawy o krajowym systemie cyberbezpieczeństwa "/>
    <n v="600"/>
    <m/>
    <n v="500"/>
    <n v="500"/>
    <n v="500"/>
    <n v="500"/>
    <s v="-"/>
    <s v="-"/>
    <s v="-"/>
    <s v="Nowa umowa (zadanie realizowane od 2024 r.)."/>
    <x v="0"/>
  </r>
  <r>
    <x v="0"/>
    <x v="0"/>
    <x v="10"/>
    <n v="4000"/>
    <s v="n/d"/>
    <s v="D3"/>
    <s v="WB27.BP.PF"/>
    <s v="MC"/>
    <s v="4"/>
    <s v="0"/>
    <s v="2025.16.05.03.02."/>
    <s v="2025.16.05."/>
    <s v="Zakup oprogramowania do mailingu"/>
    <s v="Prowadzenie szkoleń online dla dużej liczby uczestników oraz utrzymywanie własnej bazy subskrybentów bazy wiedzy cyberbezpieczeństwa, wiąże się z częstą wysyłką maili do dużej liczby odbiorców (powyżej 2000 i ciągle rośnie). Oprogramowanie to zapewni prawidłowe dostarczenie maili, bez obawy o zakwalifikowanie ich jako spam z jednoczesnym spadkiem wiarygodności naszej domeny pocztowej._x000a_Kwota została uśredniona z uwagi na różnicę w cenach producentów oprogramowania do mailingu w złotówkach i w walutach obcych. _x000a_Podstawa prawna: Działania podnoszące świadomość - art.45 ust 1 pkt 4 ustawy o krajowym systemie cyberbezpieczeństwa oraz realizacja celu szczegółowego nr 4 Strategii Cyberbezpieczeństwa RP na lata 2019-2024, a także §14 pkt 2 reg. org. MC."/>
    <n v="12"/>
    <m/>
    <n v="75"/>
    <n v="0"/>
    <n v="0"/>
    <n v="0"/>
    <s v="-"/>
    <s v="-"/>
    <s v="-"/>
    <s v="Z uwagi na brak możliwości korzystania  z rozwiązań rynkowych, konieczne jest utworzenie dedykowanego rozwiązania.  "/>
    <x v="0"/>
  </r>
  <r>
    <x v="0"/>
    <x v="0"/>
    <x v="10"/>
    <n v="4000"/>
    <s v="n/d"/>
    <s v="D3"/>
    <s v="WB27.BP.PF"/>
    <s v="MC"/>
    <s v="4"/>
    <s v="0"/>
    <s v="2025.16.05.03.03."/>
    <s v="2025.16.05."/>
    <s v="Zakup subskrypcji translatora maszynowego"/>
    <s v="Subskrypcja dostępu do translatora maszynowego jest niezbędna do realizacji bieżących zadań Wydziału Szkoleń i Standaryzacji Cyberbezpieczeństwa (oraz w razie potrzeby pozostałych wydziałów MC_DC MC), w szczególności w zakresie opracowywania i aktualizacji rekomendacji i dobrych praktyk z obszaru cyberbezpieczeństwa oraz przygotowywania i prowadzenia działań na rzecz poszerzania wiedzy i budowania świadomości z zakresu cyberbezpieczeństwa, a także opiniowania norm, standardów, rekomendacji, wytycznych oraz zaleceń wydawanych przez ISO/IEC, ENISA, PKN i inne organizacje normalizacyjne._x000a_Podstawa prawna: Realizacja celu szczegółowego nr 2 Strategii Cyberbezpieczeństwa RP na lata 2019-2024, a także §14 pkt 2 reg. org. MC."/>
    <n v="2"/>
    <m/>
    <n v="2"/>
    <n v="0"/>
    <n v="0"/>
    <n v="0"/>
    <s v="-"/>
    <s v="-"/>
    <s v="-"/>
    <m/>
    <x v="0"/>
  </r>
  <r>
    <x v="0"/>
    <x v="0"/>
    <x v="10"/>
    <n v="4000"/>
    <s v="n/d"/>
    <s v="D3"/>
    <s v="WB27.BP.PF"/>
    <s v="MC"/>
    <s v="4"/>
    <s v="0"/>
    <s v="2025.16.05.03.02."/>
    <s v="2025.16.05."/>
    <s v="_x000a_Usługa wydruku i opracowania graficznego materiałów informacyjnych i publikacji związanych z Programem PWCyber"/>
    <s v="Program PWCyber stanowi realizacje zadań Ministra Cyfryzacji w zakresie ustawy o krajowym systemie cyberbezpieczeństwa, tj. rekomendowania obszarów współpracy z sektorem prywatnym w celu zwiększenia cyberbezpieczeństwa Rzeczypospolitej Polskiej. W celu zapewnienia skuteczności działań Programu oraz informowania o realizowanych działaniach zaplanowano cykliczne opracowanie, korektę, skład, wydruk i rozpowszechnienie materiałów informacyjnych dotyczących programu. _x000a_Podstawa prawna: Rekomendowanie obszarów współpracy - art.45 ust 1 pkt 2 ustawy o krajowym systemie cyberbezpieczeństwa oraz realizacja celu szczegółowego nr 3 Strategii Cyberbezpieczeństwa RP na lata 2019-2024, a także §14 pkt 1 reg. org. MC."/>
    <n v="30"/>
    <m/>
    <n v="70"/>
    <n v="0"/>
    <n v="0"/>
    <n v="0"/>
    <s v="-"/>
    <s v="-"/>
    <s v="-"/>
    <m/>
    <x v="0"/>
  </r>
  <r>
    <x v="0"/>
    <x v="0"/>
    <x v="10"/>
    <n v="4190"/>
    <s v="n/d"/>
    <s v="D3"/>
    <s v="WB27.BP.PF"/>
    <s v="MC"/>
    <s v="4"/>
    <s v="0"/>
    <s v="2025.16.05.03.02."/>
    <s v="2025.16.05."/>
    <s v="Nagroda Ministra Cyfryzacji - konkurs na najlepszą pracę licencjacką, magisterską i inżynierską w tematyce cyberbezpieczeńśtwa "/>
    <s v="Nagroda w formie kursów z obszaru cyberbezpieczeńtwa zakończonych certyfikatem"/>
    <n v="130"/>
    <m/>
    <n v="125"/>
    <n v="125"/>
    <n v="125"/>
    <n v="125"/>
    <s v="-"/>
    <s v="-"/>
    <s v="-"/>
    <s v="konkurs"/>
    <x v="0"/>
  </r>
  <r>
    <x v="0"/>
    <x v="0"/>
    <x v="10"/>
    <n v="4000"/>
    <s v="n/d"/>
    <s v="D3"/>
    <s v="WB27.BP.PF"/>
    <s v="MC"/>
    <s v="4"/>
    <s v="0"/>
    <s v="2025.16.05.03.02."/>
    <s v="2025.16.05."/>
    <s v="Spotkanie z partnerami Programu PWCyber "/>
    <s v="Program PWCyber stanowi realizacje zadań Ministra Cyfryzacji w zakresie ustawy o krajowym systemie cyberbezpieczeństwa, tj. rekomendowania obszarów współpracy z sektorem prywatnym w celu zwiększenia cyberbezpieczeństwa Rzeczypospolitej Polskiej. W ramach Programu przewidzeniane jest coroczne spotkanie ze wszystkimi partnerami.  Spotkanie ma służyć zacieśnianiu współpracy oraz rozwijania wspólnych działań podnoszących poziom cyberbezpieczeństwa RP (mi. szkoleń, certyfikacji, legislacji, czy nowych technologii)._x000a_Kwota obejmuje usługę kompleksowej organizacji w tym m.in. wynajem sali konferencyjnej, wyposażenia technicznego, cateringu, prowadzenia zapisów). _x000a_Podstawa prawna: Rekomendowanie obszarów współpracy - art.45 ust 1 pkt 2 ustawy o krajowym systemie cyberbezpieczeństwa oraz realizacja celu szczegółowego nr 3 Strategii Cyberbezpieczeństwa RP na lata 2019-2024, a także §14 pkt 1 reg. org. MC"/>
    <n v="130"/>
    <m/>
    <n v="125"/>
    <n v="125"/>
    <n v="125"/>
    <n v="125"/>
    <s v="-"/>
    <s v="-"/>
    <s v="-"/>
    <m/>
    <x v="0"/>
  </r>
  <r>
    <x v="0"/>
    <x v="0"/>
    <x v="10"/>
    <n v="4000"/>
    <s v="n/d"/>
    <s v="D3"/>
    <s v="WB27.BP.PF"/>
    <s v="MC"/>
    <s v="4"/>
    <s v="0"/>
    <s v="2025.16.05.03.02."/>
    <s v="2025.16.05."/>
    <s v="Tłumaczenia podczas szkoleń on-line na język migowy"/>
    <s v="tłumaczenia na polski język migowy szkoleń z zakresu cyberbezpieczeństwa prowadzonych przez MC_DC MC online. Tłumaczenie na PJM jest konieczne w celu zapewnienia dostępności dla osób ze szczególnymi potrzebami szkoleń online z zakresu cyberbezpieczeństwa, które organizuje Departament Cyberbezpieczeństwa."/>
    <n v="15"/>
    <m/>
    <n v="15"/>
    <n v="15"/>
    <n v="15"/>
    <n v="15"/>
    <s v="-"/>
    <s v="-"/>
    <s v="-"/>
    <m/>
    <x v="0"/>
  </r>
  <r>
    <x v="0"/>
    <x v="0"/>
    <x v="10"/>
    <n v="4000"/>
    <s v="n/d"/>
    <s v="D3"/>
    <s v="WB27.BP.PF"/>
    <s v="MC"/>
    <s v="4"/>
    <n v="0"/>
    <s v="2025.16.05.03.02."/>
    <s v="2025.16.05."/>
    <s v="Materiały promocyjne na potrzeby Programu PWCYber"/>
    <s v="Program PWCyber stanowi realizacje zadań Ministra Cyfryzacji w zakresie ustawy o krajowym systemie cyberbezpieczeństwa, tj. rekomendowania obszarów współpracy z sektorem prywatnym w celu zwiększenia cyberbezpieczeństwa Rzeczypospolitej Polskiej. W celu zapewnienia skuteczności działań, dlaszego rozwoju Programu oraz organizacji corocznego spotkania z parnerami Programu potrzebne są materiały promocyjne_x000a_Podstawa prawna: Rekomendowanie obszarów współpracy - art.45 ust 1 pkt 2 ustawy o krajowym systemie cyberbezpieczeństwa oraz realizacja celu szczegółowego nr 3 Strategii Cyberbezpieczeństwa RP na lata 2019-2024, a także §14 pkt 1 reg. org. MC"/>
    <n v="50"/>
    <m/>
    <n v="0"/>
    <n v="100"/>
    <n v="0"/>
    <n v="100"/>
    <s v="-"/>
    <s v="-"/>
    <s v="-"/>
    <m/>
    <x v="0"/>
  </r>
  <r>
    <x v="0"/>
    <x v="0"/>
    <x v="10"/>
    <n v="2830"/>
    <s v="n/d"/>
    <s v="D1"/>
    <s v="DGW27.BP.PF"/>
    <s v="MC"/>
    <s v="2"/>
    <s v="0"/>
    <s v="2025.16.05.03.04."/>
    <s v="2025.16.05."/>
    <s v="Realizowanie zadań Uczestnika oraz akredytowanej Jednostki Certyfikującej spełniającej wymagania"/>
    <s v="Podstawą do udzielenia dotacji celowej jest art. 21 ust. 6 w zw. z art. 22 pkt 2 lit. a) ustawy z dnia 30 kwietnia 2010 r. o instytutach badawczych (Dz.U. z 2022 r. poz. 498). W związku z powierzeniem przez Ministra Cyfryzacji Naukowej i Akademickiej Sieci Komputerowej – Państwowemu Instytutowi Badawczemu pełnienia roli Jednostki Certyfikującej (pismo z 30.03.2022 r. nr MC_DC MC.WRCiS.1106.7.2022) oraz pismem Ministra Cyfryzacji potwierdzającym wykonywanie przez Instytut zadań uczestnika umowy SOG-IS oraz porozumienia CCRA, NASK-PIB będzie realizował zadania na poziomie operacyjnym polegające na: a) wykonywaniu w imieniu Rządu RP zadań Uczestnika w ramach Umowy o wzajemnym uznawaniu certyfikatów oceny bezpieczeństwa teleinformatycznego oraz w ramach Porozumienia o sprawie uznawania Certyfikatów Common Criteria w dziedzinie bezpieczeństwa teleinformatycznego; b) wykonywaniu zadań Jednostki Certyfikującej spełniającej wymagania, odpowiedzialnej za zarządzanie Programem Oceny i Certyfikacji Bezpieczeństwa IT oraz za autoryzację laboratoriów badawczych w zakresie spełniania i przestrzegania przez te jednostki przyjętych kryteriów i metod oceny produktów teleinformatycznych w Programie Oceny i Certyfikacji Bezpieczeństwa IT. Planowane kategorie wydatków: 1. Wynagrodzenia osobowe; 2. Usługi obce; 3. Materiały; 4. Inne"/>
    <n v="2962"/>
    <m/>
    <n v="3810"/>
    <n v="4075"/>
    <n v="0"/>
    <n v="0"/>
    <s v="-"/>
    <s v="NASK-PIB"/>
    <s v="art. 21 ust. 6 w zw. z art. 22 pkt 2 lit. a) ustawy z dnia 30 kwietnia 2010 r. o instytutach badawczych (Dz.U. z 2022 r. poz. 498). "/>
    <m/>
    <x v="0"/>
  </r>
  <r>
    <x v="0"/>
    <x v="0"/>
    <x v="10"/>
    <n v="4190"/>
    <s v="n/d"/>
    <s v="D3"/>
    <s v="WB27.BP.PF"/>
    <s v="MC"/>
    <s v="4"/>
    <s v="0"/>
    <s v="2025.16.05.03.02."/>
    <s v="2025.16.05."/>
    <s v="Zakup biletów lotniczych, w liczbie do 7 sztuk - nagroda dla zwycięskiej drużyny dziewcząt w wieku 13-16 lat z opiekunem/nauczycielem  reprezentującej Polskę na wydarzeniu CyberWizards Summer Camp realziowany przez NCC-EE"/>
    <s v="Promowane działania mieszczą się w zakresie działu administracji rządowej „informatyzacja” oraz obszarze działań Ministra Cyfryzacji wynikającym z ustawy o krajowym systemie cyberbezpieczeństwa. Wydatek w postaci ufundowania biletów lotniczych spełnia rygory ustanowione w art. 44 Ustawy o finansach publicznych"/>
    <n v="35"/>
    <m/>
    <n v="25"/>
    <n v="30"/>
    <n v="0"/>
    <n v="0"/>
    <s v="-"/>
    <s v="-"/>
    <s v="-"/>
    <m/>
    <x v="0"/>
  </r>
  <r>
    <x v="0"/>
    <x v="0"/>
    <x v="10"/>
    <n v="6230"/>
    <m/>
    <s v="D1"/>
    <s v="DGW27.BP.PF"/>
    <s v="MC"/>
    <s v="6"/>
    <s v="0"/>
    <s v="2025.16.05.03.04."/>
    <s v="2025.16.05."/>
    <s v="Działania związane z funkcjonowaniem Europejskiej Ramy Certyfikacji cyberbezpieczeństwa w Polsce: 1. w europejskim programie certyfikacji cyberbezpieczeństwa zgodnym z Common Criteria (EUCC) 2. przygotowanie do wspierania krajowego organu ds. certyfikacji cyberbezpieczeństwa i krajowego systemu certyfikacji cyberbezpieczeństwa."/>
    <s v="Podstawą zlecenia zadania są zapisy ustawy o instytutach badawczych nadającej IŁ-PIB status państwowego instytutu badawczego, w której art. 21 ust. 6 ustawy z dnia 30 kwietnia 2010 r. o instytutach badawczych (Dz. U. z 2024 r., poz. 534); stanowi, że państwowy instytut badawczy otrzymuje dotację celową na finansowanie realizacji zleconych zadań oraz art. 2 ust. 2 pkt 4 ww. ustawy wskazujący na prowadzenie przez instytuty działalności normalizacyjnej, certyfikacyjnej i aprobacyjnej, co potwierdza możliwość realizacji zleconych zadań przez IŁ-PIB. IŁ-PIB będzie realizował zadania:  I. Działania związane z funkcjonowaniem Europejskiej Ramy Certyfikacji cyberbezpieczeństwa w Polsce w europejskim programie certyfikacji cyberbezpieczeństwa zgodnym z Common Criteria (EUCC) - Rozszerzenie aktualnej akredytacji Laboratorium o działalność laboratoryjną w programie EUCC; Udział ekspertów Laboratorium w pracach grup roboczych związanych z utrzymaniem programu EUCC;  Szkolenia dla pracowników MC lub innych przedstawicieli administracji państwowej z EUCC; Współpraca z jednostką certyfikującą autoryzowaną do wydawania certyfikatów na poziomie uzasadnienia zaufania „wysoki”. II. Działania związane z funkcjonowaniem Europejskiej Ramy Certyfikacji cyberbezpieczeństwa w Polsce - przygotowanie do wspierania krajowego organu ds.  certyfikacji cyberbezpieczeństwa - Przygotowywanie ekspertyz na potrzeby nowych programów certyfikacji cyberbezpieczeństwa; Opracowanie i walidacja procedur badawczych; Udział w międzynarodowych grupach normalizacyjnych;  Realizacja roli ITSEF w procesach monitorowania certyfikacji  produktów ICT oraz badania niezgodności (non-compliance) w programie EUCC,  realizowanych przez Ministra właściwego ds. informatyzacji;  Utrzymanie zdolności technicznych Laboratorium do realizacji zadań_x000a_zleconych przez Ministra._x000a_Plan zakupu/działań w ramach zgłoszonych środków inwestycyjnych w dotacji celowej na 2026 i 2027:_x000a_Rok 2026_x000a_Wyposażenie stanowisk w sprzęt komputerowy, urządzenia (tym urządzenia do generowania kontrolowanych zakłóceń amplitudy i fazy sygnałów transmisyjnych oraz sygnałów zasilania, do badania puf (physically unclonable functions) ), oprzyrządowanie i oprogramowanie (w tym odnowienie 1-rocznej licencji na IDA PRO) do realizacji ataków penetracyjnych, inwazyjnych i półinwazyjnych, na urządzenia w domenach technicznych Urządzenia sprzętowe ze skrzynkami bezpieczeństwa” oraz „Karty inteligentne i podobne urządzenia” (200 tys. zł)_x000a_Rok 2027_x000a_Wyposażenie stanowisk, w sprzęt komputerowy, urządzenia (w tym analizatory protokołów komunikacyjnych i symulatorów), oprzyrządowanie i oprogramowanie (w tym odnowienie 1-rocznej licencji na IDA PRO ) do realizacji ataków penetracyjnych, inwazyjnych i półinwazyjnych na urządzenia w domenach technicznych Urządzenia sprzętowe ze skrzynkami bezpieczeństwa” oraz „Karty inteligentne i podobne urządzenia” (150 tys. zł)"/>
    <m/>
    <m/>
    <n v="200"/>
    <n v="150"/>
    <m/>
    <m/>
    <s v="-"/>
    <s v="IŁ-PIB"/>
    <s v="art. 21 ust. 6 ustawy z dnia 30 kwietnia 2010 r. o instytutach badawczych (Dz. U. z 2024 r., poz. 534)"/>
    <m/>
    <x v="0"/>
  </r>
  <r>
    <x v="0"/>
    <x v="0"/>
    <x v="10"/>
    <n v="2830"/>
    <s v="n/d"/>
    <s v="D1"/>
    <s v="DGW27.BP.PF"/>
    <s v="MC"/>
    <s v="2"/>
    <s v="0"/>
    <s v="2025.16.05.03.04."/>
    <s v="2025.16.05."/>
    <s v="Działania związane z funkcjonowaniem Europejskiej Ramy Certyfikacji cyberbezpieczeństwa w Polsce: 1. w europejskim programie certyfikacji cyberbezpieczeństwa zgodnym z Common Criteria (EUCC) 2. przygotowanie do wspierania krajowego organu ds. certyfikacji cyberbezpieczeństwa i krajowego systemu certyfikacji cyberbezpieczeństwa."/>
    <s v="Podstawą zlecenia zadania są zapisy ustawy o instytutach badawczych nadającej IŁ-PIB status państwowego instytutu badawczego, w której art. 21 ust. 6 ustawy z dnia 30 kwietnia 2010 r. o instytutach badawczych (Dz. U. z 2024 r., poz. 534); stanowi, że państwowy instytut badawczy otrzymuje dotację celową na finansowanie realizacji zleconych zadań oraz art. 2 ust. 2 pkt 4 ww. ustawy wskazujący na prowadzenie przez instytuty działalności normalizacyjnej, certyfikacyjnej i aprobacyjnej, co potwierdza możliwość realizacji zleconych zadań przez IŁ-PIB. IŁ-PIB będzie realizował zadania:  I. Działania związane z funkcjonowaniem Europejskiej Ramy Certyfikacji cyberbezpieczeństwa w Polsce w europejskim programie certyfikacji cyberbezpieczeństwa zgodnym z Common Criteria (EUCC) - Rozszerzenie aktualnej akredytacji Laboratorium o działalność laboratoryjną w programie EUCC; Udział ekspertów Laboratorium w pracach grup roboczych związanych z utrzymaniem programu EUCC;  Szkolenia dla pracowników MC lub innych przedstawicieli administracji państwowej z EUCC; Współpraca z jednostką certyfikującą autoryzowaną do wydawania certyfikatów na poziomie uzasadnienia zaufania „wysoki”. II. Działania związane z funkcjonowaniem Europejskiej Ramy Certyfikacji cyberbezpieczeństwa w Polsce - przygotowanie do wspierania krajowego organu ds.  certyfikacji cyberbezpieczeństwa - Przygotowywanie ekspertyz na potrzeby nowych programów _x000a_certyfikacji cyberbezpieczeństwa; Opracowanie i walidacja procedur badawczych; Udział w międzynarodowych grupach normalizacyjnych;  Realizacja roli ITSEF w procesach monitorowania certyfikacji  produktów ICT oraz badania niezgodności (non-compliance) w programie EUCC,  realizowanych przez Ministra właściwego ds. informatyzacji;  Utrzymanie zdolności technicznych Laboratorium do realizacji zadań_x000a_zleconych przez Ministra"/>
    <m/>
    <m/>
    <n v="3448"/>
    <n v="3381"/>
    <n v="0"/>
    <n v="0"/>
    <s v="-"/>
    <s v="IŁ-PIB"/>
    <s v="art. 21 ust. 6 ustawy z dnia 30 kwietnia 2010 r. o instytutach badawczych (Dz. U. z 2024 r., poz. 534)"/>
    <m/>
    <x v="0"/>
  </r>
  <r>
    <x v="1"/>
    <x v="2"/>
    <x v="10"/>
    <n v="4041"/>
    <s v="PW.KSC.DWR"/>
    <s v="D3"/>
    <s v="WB27.BP.PF"/>
    <s v="DEP.NCC.6709"/>
    <s v="4"/>
    <s v="1"/>
    <s v="2025.16.05.03.02."/>
    <s v="2025.16.05."/>
    <s v="DEP-NCC"/>
    <s v="Podstawą realziaji projektu jest podpisana z Komisją Europejską umowa grantowa nr 101126709-NCC-PL (DIGITAL-ECCC-2022-Cyber-03);Program Cyfrowa Europa [Digital Europe Programme ] : projekt National Coordination Centre – Poland (NCC-PL): Umowa została kontrasygnowana przez Komisję Europejską 14.12.2023 r., zaś 27 grudnia 2023 roku wpłynęły na rachunek „Inne środki pochodzące z budżetu Unii Europejskiej niepodlegające zwrotowi” środki na nw. Projekt, stanowiące pierwszą transzę, tzw. prefinancing wynoszący 80% przyznanego grantu ze środków z budżetu Unii Europejskiej.  _x000a_Liderem projektu jest MC, zaś CPPC pełni w projekcie rolę podmiotu powiązanego i jest odpowiedzialne za zorganizowanie i przeprowadzanie konkursów w ramach finansowania stron trzeich oraz umowy z Grantobiorcami. Projekt zakłada utworzenie w Polsce w pełni operacyjnego krajowego ośrodka koordynacji kompetencji w obszarze cyberbezpieczeństwa (NCC-PL) oraz rozwój jego działalności określonej w rozporządzeniu (UE) nr 2021/887 ustanawiającym Europejskie Centrum Kompetencji Przemysłowych, Technologicznych i Badawczych w dziedzinie Cyberbezpieczeństwa oraz sieć krajowych ośrodków koordynacji"/>
    <n v="71"/>
    <m/>
    <n v="72"/>
    <n v="0"/>
    <n v="0"/>
    <n v="0"/>
    <s v="-"/>
    <s v="-"/>
    <s v="-"/>
    <s v="Zgodnie z umową z KE (101126709-NCC-PL) na projekt DEEP, środki zostały zaplanowane w projekcie na rok 2026 (&quot;13-tka&quot;) - informacja była przekazywana do BBF."/>
    <x v="0"/>
  </r>
  <r>
    <x v="0"/>
    <x v="0"/>
    <x v="10"/>
    <n v="4042"/>
    <s v="PW.KSC.DWR"/>
    <s v="D3"/>
    <s v="WB27.BP.PF"/>
    <s v="DEP.NCC.6709"/>
    <s v="4"/>
    <s v="2"/>
    <s v="2025.16.05.03.02."/>
    <s v="2025.16.05."/>
    <s v="DEP-NCC"/>
    <s v="Podstawą realziaji projektu jest podpisana z Komisją Europejską umowa grantowa nr 101126709-NCC-PL (DIGITAL-ECCC-2022-Cyber-03);Program Cyfrowa Europa [Digital Europe Programme ] : projekt National Coordination Centre – Poland (NCC-PL): Umowa została kontrasygnowana przez Komisję Europejską 14.12.2023 r., zaś 27 grudnia 2023 roku wpłynęły na rachunek „Inne środki pochodzące z budżetu Unii Europejskiej niepodlegające zwrotowi” środki na nw. Projekt, stanowiące pierwszą transzę, tzw. prefinancing wynoszący 80% przyznanego grantu ze środków z budżetu Unii Europejskiej.  _x000a_Liderem projektu jest MC, zaś CPPC pełni w projekcie rolę podmiotu powiązanego i jest odpowiedzialne za zorganizowanie i przeprowadzanie konkursów w ramach finansowania stron trzeich oraz umowy z Grantobiorcami. Projekt zakłada utworzenie w Polsce w pełni operacyjnego krajowego ośrodka koordynacji kompetencji w obszarze cyberbezpieczeństwa (NCC-PL) oraz rozwój jego działalności określonej w rozporządzeniu (UE) nr 2021/887 ustanawiającym Europejskie Centrum Kompetencji Przemysłowych, Technologicznych i Badawczych w dziedzinie Cyberbezpieczeństwa oraz sieć krajowych ośrodków koordynacji"/>
    <m/>
    <m/>
    <n v="68"/>
    <n v="0"/>
    <n v="0"/>
    <n v="0"/>
    <s v="-"/>
    <s v="-"/>
    <s v="-"/>
    <s v="Zgodnie z umową z KE (101126709-NCC-PL) na projekt DEEP, środki zostały zaplanowane w projekcie na rok 2026 (&quot;13-tka&quot;) - informacja była przekazywana do BBF."/>
    <x v="0"/>
  </r>
  <r>
    <x v="1"/>
    <x v="2"/>
    <x v="10"/>
    <n v="4111"/>
    <s v="PW.KSC.DWR"/>
    <s v="D3"/>
    <s v="WB27.BP.PF"/>
    <s v="DEP.NCC.6709"/>
    <s v="4"/>
    <s v="1"/>
    <s v="2025.16.05.03.02."/>
    <s v="2025.16.05."/>
    <s v="DEP-NCC"/>
    <s v="jw."/>
    <n v="156"/>
    <m/>
    <n v="12"/>
    <n v="0"/>
    <n v="0"/>
    <n v="0"/>
    <s v="-"/>
    <s v="-"/>
    <s v="-"/>
    <s v="Zgodnie z umową z KE (101126709-NCC-PL) na projekt DEEP, środki zostały zaplanowane w projekcie na rok 2026 (&quot;13-tka&quot;) - informacja była przekazywana do BBF."/>
    <x v="0"/>
  </r>
  <r>
    <x v="0"/>
    <x v="0"/>
    <x v="10"/>
    <n v="4112"/>
    <s v="PW.KSC.DWR"/>
    <s v="D3"/>
    <s v="WB27.BP.PF"/>
    <s v="DEP.NCC.6709"/>
    <s v="4"/>
    <s v="2"/>
    <s v="2025.16.05.03.02."/>
    <s v="2025.16.05."/>
    <s v="DEP-NCC"/>
    <s v="jw."/>
    <m/>
    <m/>
    <n v="12"/>
    <n v="0"/>
    <n v="0"/>
    <n v="0"/>
    <s v="-"/>
    <s v="-"/>
    <s v="-"/>
    <s v="Zgodnie z umową z KE (101126709-NCC-PL) na projekt DEEP, środki zostały zaplanowane w projekcie na rok 2026 (&quot;13-tka&quot;) - informacja była przekazywana do BBF."/>
    <x v="0"/>
  </r>
  <r>
    <x v="1"/>
    <x v="2"/>
    <x v="10"/>
    <n v="4121"/>
    <s v="PW.KSC.DWR"/>
    <s v="D3"/>
    <s v="WB27.BP.PF"/>
    <s v="DEP.NCC.6709"/>
    <s v="4"/>
    <s v="1"/>
    <s v="2025.16.05.03.02."/>
    <s v="2025.16.05."/>
    <s v="DEP-NCC"/>
    <s v="jw."/>
    <n v="22"/>
    <m/>
    <n v="2"/>
    <n v="0"/>
    <n v="0"/>
    <n v="0"/>
    <s v="-"/>
    <s v="-"/>
    <s v="-"/>
    <s v="Zgodnie z umową z KE (101126709-NCC-PL) na projekt DEEP, środki zostały zaplanowane w projekcie na rok 2026 (&quot;13-tka&quot;) - informacja była przekazywana do BBF."/>
    <x v="0"/>
  </r>
  <r>
    <x v="0"/>
    <x v="0"/>
    <x v="10"/>
    <n v="4122"/>
    <s v="PW.KSC.DWR"/>
    <s v="D3"/>
    <s v="WB27.BP.PF"/>
    <s v="DEP.NCC.6709"/>
    <s v="4"/>
    <s v="2"/>
    <s v="2025.16.05.03.02."/>
    <s v="2025.16.05."/>
    <s v="DEP-NCC"/>
    <s v="jw."/>
    <m/>
    <m/>
    <n v="2"/>
    <n v="0"/>
    <n v="0"/>
    <n v="0"/>
    <s v="-"/>
    <s v="-"/>
    <s v="-"/>
    <s v="Zgodnie z umową z KE (101126709-NCC-PL) na projekt DEEP, środki zostały zaplanowane w projekcie na rok 2026 (&quot;13-tka&quot;) - informacja była przekazywana do BBF."/>
    <x v="0"/>
  </r>
  <r>
    <x v="0"/>
    <x v="0"/>
    <x v="10"/>
    <n v="4711"/>
    <s v="PW.KSC.DWR"/>
    <s v="D3"/>
    <s v="WB27.BP.PF"/>
    <s v="DEP.NCC.6709"/>
    <s v="4"/>
    <s v="1"/>
    <s v="2025.16.05.03.02."/>
    <s v="2025.16.05."/>
    <s v="DEP-NCC"/>
    <s v="jw."/>
    <n v="14"/>
    <m/>
    <n v="1"/>
    <n v="0"/>
    <n v="0"/>
    <n v="0"/>
    <s v="-"/>
    <s v="-"/>
    <s v="-"/>
    <s v="Zgodnie z umową z KE (101126709-NCC-PL) na projekt DEEP, środki zostały zaplanowane w projekcie na rok 2026 (&quot;13-tka&quot;) - informacja była przekazywana do BBF."/>
    <x v="0"/>
  </r>
  <r>
    <x v="0"/>
    <x v="0"/>
    <x v="10"/>
    <n v="4712"/>
    <s v="PW.KSC.DWR"/>
    <s v="D3"/>
    <s v="WB27.BP.PF"/>
    <s v="DEP.NCC.6709"/>
    <s v="4"/>
    <s v="2"/>
    <s v="2025.16.05.03.02."/>
    <s v="2025.16.05."/>
    <s v="DEP-NCC"/>
    <s v="jw."/>
    <m/>
    <m/>
    <n v="1"/>
    <n v="0"/>
    <n v="0"/>
    <n v="0"/>
    <s v="-"/>
    <s v="-"/>
    <s v="-"/>
    <s v="Zgodnie z umową z KE (101126709-NCC-PL) na projekt DEEP, środki zostały zaplanowane w projekcie na rok 2026 (&quot;13-tka&quot;) - informacja była przekazywana do BBF."/>
    <x v="0"/>
  </r>
  <r>
    <x v="0"/>
    <x v="0"/>
    <x v="10"/>
    <n v="4190"/>
    <s v="n/d"/>
    <s v="D3"/>
    <s v="WB27.BP.PF"/>
    <s v="MC"/>
    <s v="4"/>
    <s v="0"/>
    <s v="2025.16.05.03.02."/>
    <s v="2025.16.05."/>
    <s v="Zakup tabliczek, w liczbie do 7 sztuk - nagroda dla zwycięskiej drużyny dziewcząt w wieku 13-16 lat z opiekunem/nauczycielem  reprezentującej Polskę na wydarzeniu CyberWizards Summer Camp realziowany przez NCC-EE"/>
    <s v="Promowane działania mieszczą się w zakresie działu administracji rządowej „informatyzacja” oraz obszarze działań Ministra Cyfryzacji wynikającym z ustawy o krajowym systemie cyberbezpieczeństwa. Wydatek w postaci ufundowania biletów lotniczych spełnia rygory ustanowione w art. 44 Ustawy o finansach publicznych"/>
    <n v="35"/>
    <m/>
    <n v="1"/>
    <n v="1"/>
    <n v="0"/>
    <n v="0"/>
    <s v="-"/>
    <s v="-"/>
    <s v="-"/>
    <m/>
    <x v="0"/>
  </r>
  <r>
    <x v="0"/>
    <x v="0"/>
    <x v="10"/>
    <n v="4000"/>
    <s v="n/d"/>
    <s v="D3"/>
    <s v="WB27.BP.PF"/>
    <s v="MC"/>
    <s v="4"/>
    <s v="0"/>
    <s v="2025.16.05.03.02."/>
    <s v="2025.16.05."/>
    <s v="Organizacja konkursu dla podmiotów cyber, potencjalnych członków Społeczności kompetentnej"/>
    <s v="Tworzenie, wspieranie i pormowanie społczeności kompetentnej w obszarze cyberbezpieczeństwa, rozpowszechnianie informacji o wynikach prac, działań i inicjatywach realizowanych przez ECCC, sieć krajowych ośrodków koordynacji oraz członków społeczności kompetentnej w obszarze cyberbezpieczeństwa. Wspieranie podmiotów badawczych, akademickich, publicznych i przedsiębiorców działających w obszarze cyberbezpieczeństwa w budowaniu partnerstw biznesowych i projektowych. Zadanie realizowane zgodnie z Rozporządzenie nr 2021/887 oraz Regulamin DC § 17 ust. 5 i 13. "/>
    <m/>
    <m/>
    <n v="200"/>
    <n v="250"/>
    <n v="0"/>
    <n v="0"/>
    <s v="-"/>
    <s v="-"/>
    <s v="-"/>
    <m/>
    <x v="0"/>
  </r>
  <r>
    <x v="0"/>
    <x v="0"/>
    <x v="10"/>
    <n v="4000"/>
    <s v="n/d"/>
    <s v="D3"/>
    <s v="WB27.BP.PF"/>
    <s v="MC"/>
    <s v="4"/>
    <s v="0"/>
    <s v="2025.16.05.03.02."/>
    <s v="2025.16.05."/>
    <s v="Organizacja Info day"/>
    <s v="Promowanie i rozpowszechnianie informacji o wynikach prac, działań i inicjatywach realizowanych przez ECCC, sieć krajowych ośrodków koordynacji oraz członków społeczności kompetentnej w obszarze cyberbezpieczeństwa. Zadanie realizowane zgodnie z Rozporządzenie nr 2021/887 oraz Regulamin DC § 17 ust. 5"/>
    <m/>
    <m/>
    <n v="200"/>
    <n v="250"/>
    <n v="0"/>
    <n v="0"/>
    <s v="-"/>
    <s v="-"/>
    <s v="-"/>
    <m/>
    <x v="0"/>
  </r>
  <r>
    <x v="0"/>
    <x v="0"/>
    <x v="10"/>
    <n v="4000"/>
    <s v="n/d"/>
    <s v="D3"/>
    <s v="WB27.BP.PF"/>
    <s v="MC"/>
    <s v="4"/>
    <s v="0"/>
    <s v="2025.16.05.03.02."/>
    <s v="2025.16.05."/>
    <s v="Organizacja cateringu podczas spotkań ze Społecznością kompetentną w obszarze cyberbezpieczeństwa"/>
    <s v="Koordynowanie działalności krajowych podmiotów należących do społeczności kompetentnej w obszarze cyberbezpieczeństwa. Zadanie realizowane zgodnie z Rozporządzenie nr 2021/887 oraz Regulamin DC § 17 ust. 1"/>
    <m/>
    <m/>
    <n v="90"/>
    <n v="95"/>
    <n v="0"/>
    <n v="0"/>
    <s v="-"/>
    <s v="-"/>
    <s v="-"/>
    <m/>
    <x v="0"/>
  </r>
  <r>
    <x v="0"/>
    <x v="0"/>
    <x v="10"/>
    <n v="4000"/>
    <s v="n/d"/>
    <s v="D3"/>
    <s v="WB27.BP.PF"/>
    <s v="MC"/>
    <s v="4"/>
    <s v="0"/>
    <s v="2025.16.05.03.02."/>
    <s v="2025.16.05."/>
    <s v="Realizacja Strategii budowania społeczności kompetentenej w obszarze cyberbezpieczeństwa. "/>
    <s v=" Działania promocyjne promujące społeczność kompetentną w obszarze cyberbezpieczeństwa oraz  wspierające tworzenie społeczności kompetetntej (np. artykuły sponsorowane, bannery internetowe również na cudzych stronach, filmik). Zadanie realizowane zgodnie z Rozporządzenie nr 2021/887 oraz Regulamin DC § 17 ust. 5"/>
    <m/>
    <m/>
    <n v="500"/>
    <n v="550"/>
    <n v="0"/>
    <n v="0"/>
    <s v="-"/>
    <s v="-"/>
    <s v="-"/>
    <m/>
    <x v="0"/>
  </r>
  <r>
    <x v="0"/>
    <x v="0"/>
    <x v="10"/>
    <n v="4000"/>
    <s v="n/d"/>
    <s v="D3"/>
    <s v="WB27.BP.PF"/>
    <s v="MC"/>
    <s v="4"/>
    <s v="0"/>
    <s v="2025.16.05.03.02."/>
    <s v="2025.16.05."/>
    <s v="Organizacja konferencji w zakresie ECSF"/>
    <s v="Organizacja konferencji/seminarium we współpracy z NASK i ENISA, w ramach realizcji zadania dot. koordynacji prac nad europejskimi inicjatywami w zakresie cyberbezpieczeństwa powierzonymi do realizacji przez Komisję Europejską lub ECCC. Zadanie realizowane zgodnie z Rozporządzenie nr 2021/887 oraz Regulamin DC § 17 ust. 7"/>
    <m/>
    <m/>
    <n v="250"/>
    <n v="300"/>
    <n v="0"/>
    <n v="0"/>
    <s v="-"/>
    <s v="-"/>
    <s v="-"/>
    <m/>
    <x v="0"/>
  </r>
  <r>
    <x v="0"/>
    <x v="0"/>
    <x v="10"/>
    <n v="4000"/>
    <s v="n/d"/>
    <s v="D3"/>
    <s v="WB27.BP.PF"/>
    <s v="MC"/>
    <s v="4"/>
    <s v="0"/>
    <s v="2025.16.05.03.02."/>
    <s v="2025.16.05."/>
    <s v="Organizacja spotkania dla podmiotów objętych CRA  "/>
    <s v="Koordynowanie działalności krajowych podmiotów należących do społeczności kompetentnej w obszarze cyberbezpieczeństwa - koordynacja tematu wsparcia przy implemenatcji wymogów regulacji (łączenie podmiotów z inicjatywami eurpejskimi, wypracowanymi narzędziami, platformami, oraz z podmiotami adm. publ., które mogą takie narzędzia opracować dla podmiotów polskich). Zadanie realizowane zgodnie z Rozporządzenie nr 2021/887 oraz Regulamin DC § 17 ust. 1"/>
    <m/>
    <m/>
    <n v="200"/>
    <n v="250"/>
    <n v="0"/>
    <n v="0"/>
    <s v="-"/>
    <s v="-"/>
    <s v="-"/>
    <m/>
    <x v="0"/>
  </r>
  <r>
    <x v="0"/>
    <x v="0"/>
    <x v="10"/>
    <n v="4000"/>
    <s v="n/d"/>
    <s v="D3"/>
    <s v="WB27.BP.PF"/>
    <s v="MC"/>
    <s v="4"/>
    <n v="0"/>
    <s v="2025.16.05.03.02."/>
    <s v="2025.16.05."/>
    <s v="zakup licencji usługi tłumaczenia maszynowego Deepl Pro w abonamencie rocznym"/>
    <s v="Subskrypcja dostępu do translatora maszynowego jest niezbędna do realizacji bieżących zadań NCC-PL zgodnych z Rozporządzeniem 2021/887, związanych z  zadaniami Wydziału Krajowego Centrum Kompetencji Cyfrowych określonymi w regulaminie organizacyjnym Departamentu Cyberbezpieczeństwa, w szczególności współpracą z podmiotami krajowymi i promowania uczestnictwa w konkursach organizowanych w ramach programów Cyfrowa Europa i Horyzont Europa w zakresie cyberbezpieczeństwa.  Zadanie realizowane zgodnie z Rozporządzenie nr 2021/888 oraz Regulamin DC § 17 ust. 9"/>
    <m/>
    <m/>
    <n v="8"/>
    <n v="10"/>
    <n v="0"/>
    <n v="0"/>
    <s v="-"/>
    <s v="-"/>
    <s v="-"/>
    <m/>
    <x v="0"/>
  </r>
  <r>
    <x v="0"/>
    <x v="0"/>
    <x v="10"/>
    <n v="4000"/>
    <s v="n/d"/>
    <s v="D3"/>
    <s v="WB27.BP.PF"/>
    <s v="MC"/>
    <s v="4"/>
    <n v="0"/>
    <s v="2025.16.05.03.02."/>
    <s v="2025.16.05."/>
    <s v="udział w 2 konferencjach organizowanych w obszarze cyberbezpieczeństwa z własnym stoiskiem celem budowania Społeczności kompetentnej"/>
    <s v="Pełnienie funkcji punktu kontaktowego na poziomie krajowym dla społeczności kompetentnej w obszarze cyberbezpieczeństwa, promowanie i rozpowszechnianie informacji o wynikach prac, działań i inicjatywach realizowanych przez ECCC, sieć krajowych ośrodków koordynacji oraz członków społeczności kompetentnej w obszarze cyberbezpieczeństwa. Zadanie realizowane zgodnie z Rozporządzenie nr 2021/889 oraz Regulaminem DC § 17 ust. 2 i 5"/>
    <m/>
    <m/>
    <n v="600"/>
    <n v="700"/>
    <n v="0"/>
    <n v="0"/>
    <s v="-"/>
    <s v="-"/>
    <s v="-"/>
    <m/>
    <x v="0"/>
  </r>
  <r>
    <x v="0"/>
    <x v="0"/>
    <x v="10"/>
    <n v="4000"/>
    <s v="n/d"/>
    <s v="D3"/>
    <s v="WB27.BP.PF"/>
    <s v="MC"/>
    <s v="4"/>
    <n v="0"/>
    <s v="2025.16.05.03.02."/>
    <s v="2025.16.05."/>
    <s v="organizacja konferencji tematycznej w obszarze cyberbezpieczeństwa z panelami i spotkaniami z zakresu NCC-PL i Społeczności kompetentnej"/>
    <s v="Pełnienie funkcji punktu kontaktowego na poziomie krajowym dla społeczności kompetentnej w obszarze cyberbezpieczeństwa, promowanie i rozpowszechnianie informacji o wynikach prac, działań i inicjatywach realizowanych przez ECCC, sieć krajowych ośrodków koordynacji oraz członków społeczności kompetentnej w obszarze cyberbezpieczeństwa. Zadanie realizowane zgodnie z Rozporządzenie nr 2021/889 oraz Regulaminem DC § 17 ust. 2 i 5"/>
    <m/>
    <m/>
    <n v="520"/>
    <n v="580"/>
    <n v="0"/>
    <n v="0"/>
    <s v="-"/>
    <s v="-"/>
    <s v="-"/>
    <m/>
    <x v="0"/>
  </r>
  <r>
    <x v="0"/>
    <x v="0"/>
    <x v="10"/>
    <n v="4550"/>
    <s v="n/d"/>
    <s v="D3"/>
    <s v="WB27.BP.PF"/>
    <s v="MC"/>
    <s v="4"/>
    <n v="0"/>
    <s v="2025.16.05.03.02."/>
    <s v="2025.16.05."/>
    <s v="szkolenia specjalistyczne z obszaru regulacji EU, pozyskiwania środków EU i rozliczania projektów (Horyzont Europa, Cyfrowa Europa)"/>
    <s v="Wspieranie członków społeczności kompetentnej w obszarze cyberbezpieczeństwa oraz innych podmiotów krajowych w procesie przygotowywania wniosków w organizowanych przez ECCC otwartych konkursach na finansowanie projektów oraz zapewnienie wkładu krajowego do strategicznego planowania działań ECCC. Zadanie realizowane zgodnie z Rozporządzenie nr 2021/891 oraz Regulaminem DC § 17 ust. 4 i 12 "/>
    <m/>
    <m/>
    <n v="70"/>
    <n v="80"/>
    <n v="0"/>
    <n v="0"/>
    <s v="-"/>
    <s v="-"/>
    <s v="-"/>
    <s v="Środki na szkolenia specjalistyczne są w ramach planowanego projektu, którego budżet będzie zarządzany przez komórkę merytoryczną (DC). Stąd środki powinny być zgłoszone w planie departamentu. "/>
    <x v="0"/>
  </r>
  <r>
    <x v="0"/>
    <x v="0"/>
    <x v="10"/>
    <n v="4000"/>
    <s v="n/d"/>
    <s v="D3"/>
    <s v="WB27.BP.PF"/>
    <s v="MC"/>
    <s v="4"/>
    <n v="0"/>
    <s v="2025.16.05.03.02."/>
    <s v="2025.16.05."/>
    <s v="Implementacja rozwiązania OpenExeco do obsługi rejestracji kandydatów do Społeczności Kompetentnej"/>
    <s v="Obowiązek dokonywania oceny wniosków przedkładanych przez podmioty chcące być członkami społeczności kompetentnej w obszarze cyberbezpieczeństwa i przekazywanie ich do  Europejskiego Centrum Kompetencji Przemysłowych, Technologicznych i Badawczych w dziedzinie Cyberbezpieczeństwa („ECCC”), w celu rejestracji. Zadanie realizowane zgodnie z Rozporządzenie nr 2021/892 oraz  Regulaminem DC § 17 ust. 3"/>
    <m/>
    <m/>
    <n v="130"/>
    <n v="150"/>
    <n v="0"/>
    <n v="0"/>
    <s v="-"/>
    <s v="-"/>
    <s v="-"/>
    <m/>
    <x v="0"/>
  </r>
  <r>
    <x v="0"/>
    <x v="0"/>
    <x v="10"/>
    <n v="4000"/>
    <s v="n/d"/>
    <s v="D3"/>
    <s v="WB27.BP.PF"/>
    <s v="MC"/>
    <s v="4"/>
    <n v="0"/>
    <s v="2025.16.05.03.02."/>
    <s v="2025.16.05."/>
    <s v="Badanie gotowości mśp do wdrożenia NIS2 oraz CRA"/>
    <s v="Badanie pozwoli na ocenę gotowości krajowych mśp do wdrożenia dwóch kluczowych europejski aktów prawnych w dziedzinie cyberbezpieczeństwa. Badanie będzie zostanie wykorzystane do realizacji przez Ministra obowiązku wynikającego z art. 45 ust. 1 pkt 2 o ksc oraz ukierunkuje działania wspierające na poziomie krajowym i europejskim poprzez wykorzystanie ich wyników do planowanych działań.  Zadanie realizowane zgodnie z Rozporządzenie nr 2021/887, ustawa o krajowym systemie cyberbezpieczeństwa i Regulamin organizacyjny DC § 17 ust. 1"/>
    <m/>
    <m/>
    <n v="300"/>
    <n v="0"/>
    <m/>
    <m/>
    <s v="-"/>
    <s v="-"/>
    <s v="-"/>
    <m/>
    <x v="0"/>
  </r>
  <r>
    <x v="0"/>
    <x v="0"/>
    <x v="10"/>
    <n v="4000"/>
    <s v="n/d"/>
    <s v="D3"/>
    <s v="WB27.BP.PF"/>
    <s v="MC"/>
    <s v="4"/>
    <n v="0"/>
    <s v="2025.16.05.03.02."/>
    <s v="2025.16.05."/>
    <s v="Wizyty studyjne zagraniczne z udziałem członków społeczności cyberbezpieczeństwa"/>
    <s v="Koordynowanie działalności krajowych podmiotów należących do społeczności kompetentnej w obszarze cyberbezpieczeństwa oraz wspieranie podmiotów badawczych, akademickich, publicznych i przedsiębiorców działających w obszarze cyberbezpieczeństwa w budowaniu partnerstw biznesowych i projektowych. Zadanie realizowane zgodnie z Rozporządzenie nr 2021/893 oraz Regulaminem DC § 17 ust. 1 i 13"/>
    <m/>
    <m/>
    <n v="730"/>
    <n v="750"/>
    <n v="0"/>
    <n v="0"/>
    <s v="-"/>
    <s v="-"/>
    <s v="-"/>
    <m/>
    <x v="0"/>
  </r>
  <r>
    <x v="0"/>
    <x v="0"/>
    <x v="10"/>
    <n v="4170"/>
    <s v="n/d"/>
    <s v="D3"/>
    <s v="WB27.BP.PF"/>
    <s v="MC"/>
    <s v="4"/>
    <s v="0"/>
    <s v="2025.16.05.03.03."/>
    <s v="2025.16.05."/>
    <s v="Przygotowanie opinii na potrzeby realizacji zadań krajowego organu ds. certyfikacji cyberbezpieczeństwa"/>
    <s v="Należy podkreślić, że wydatki związane z utworzeniem krajowego systemu certyfikacji cyberbezpieczeństwa są niezbędne do wykonania Rozporządzenia Parlamentu Europejskiego i Rady (UE) 2019/881 z dnia 17 kwietnia 2019 r. w sprawie ENISA (Agencji Unii Europejskiej ds. Cyberbezpieczeństwa) oraz certyfikacji cyberbezpieczeństwa w zakresie technologii informacyjno-komunikacyjnych oraz uchylenia rozporządzenia (UE) nr 526/2013. Aby zapewnić zgodność z tym aktem prawnym niezbędne jest utworzenie krajowego organu ds. certyfikacji cyberbezpieczeństwa co oznacza również konieczność zapewnienia środków na jego działalność. Z tego względu wskazane wydatki pozostają aktualne. "/>
    <n v="30"/>
    <m/>
    <n v="32"/>
    <n v="0"/>
    <n v="0"/>
    <n v="0"/>
    <s v="-"/>
    <s v="-"/>
    <s v="-"/>
    <s v="Wydatek wynika z OSR do projektu ustawy o krajowym systemie certyfikacji cyberbezpieczeństwa. Będzie można zlecić to zadanie instytutom nadzorowanym przez ministra w większości przypadków."/>
    <x v="0"/>
  </r>
  <r>
    <x v="0"/>
    <x v="0"/>
    <x v="10"/>
    <n v="2830"/>
    <s v="n/d"/>
    <s v="D1"/>
    <s v="DGW27.BP.PF"/>
    <s v="MC"/>
    <s v="2"/>
    <s v="0"/>
    <s v="2025.16.05.03.04."/>
    <s v="2025.16.05."/>
    <s v="Dotacja celowa dla NASK-PIB na zapewnienie usługi chmurowej ochrony przed atakami DDoS – Distributed Denial of_x000a_Service dla podmiotów realizujących zadania publiczne oraz podmiotów istotnych z punktu widzenia bezpieczeństwa RP"/>
    <s v="Celem wydatku jest zapewnienie na możliwie najwyższym poziomie ochrony przed atakami DDoS – Distributed Denial of Service dla podmiotów realizujących zadania publiczne. Zakłada się znaczące zwiększenie zapotrzebowania na zakup usług obcych w związku z rosnącym w 2025 roku zapotrzebowaniem innych instytucji (COI, MS, CIRF, NAC, PARP, Poczta Polska, ZUS  itp.). Planowane jest wzmocnienie zdolności ochrony systemów przy pomocy własnych urządzeń i systemów._x000a_Do celów diagnostycznych planowana jest rozbudowa systemów pomiarowych i symulacyjnych pozwalających na testowanie różnych wariantów podłączeń chronionych instytucji a także na diagnozowanie i testowanie skuteczności oferowanej ochrony."/>
    <n v="7331"/>
    <m/>
    <n v="20106"/>
    <n v="20791"/>
    <n v="22584"/>
    <n v="24483"/>
    <s v="-"/>
    <s v="NASK-PIB"/>
    <s v="Podstawą do udzielenia dotacji celowej jest art. 37 ust. 1 ustawy z dnia 30 kwietnia 2010 r. o instytutach badawczych, zgodnie z którym minister nadzorujący może nałożyć na instytut obowiązek wprowadzenia do jego planu zadania lub wyznaczyć zadanie poza planem, zgodnie z zakresem działania określonym w statucie instytutu, jeżeli jest to niezbędne ze względu na potrzeby obronności i bezpieczeństwa publicznego, w przypadku stanu klęski żywiołowej lub w celu wykonania zobowiązań międzynarodowych.Jak stanowi art. 37 ust. 2 ustawy o instytutach badawczych, w przypadku nałożenia lub wyznaczenia zadania, minister nadzorujący zapewnia instytutowi środki do wykonania zadania, chyba że wykonanie zadania następuje odpłatnie na podstawie umowy ze stroną finansującą wykonanie zadania. Na podstawie § 1 ust. 3 rozporządzenia Rady Ministrów z dnia 7 czerwca 2017 r. w sprawie nadania Naukowej i Akademickiej Sieci Komputerowej statusu Państwowego Instytutu Badawczego6, nadzór nad NASK-PIB sprawuje minister właściwy do spraw informatyzacji. "/>
    <s v="W roku 2025 realizowana jest umowa dotacji na podstawie umowy nr 175/DC/D/2024. Środki są zaangażowane na rok 2025. Jednakże, planuje się kontynuację realizacji zadania."/>
    <x v="0"/>
  </r>
  <r>
    <x v="0"/>
    <x v="0"/>
    <x v="10"/>
    <n v="4170"/>
    <s v="n/d"/>
    <s v="D3"/>
    <s v="WB27.BP.PF"/>
    <s v="MC"/>
    <s v="4"/>
    <s v="0"/>
    <s v="2025.16.05.03.01."/>
    <s v="2025.16.05."/>
    <s v="Koszty umów zlecenia bądź umów o dzieło z ekspertami dotyczących przygotowania projektów, dokumentacji, ekspertyz i analiz krajowych programów certyfikacji cyberbezpieczeństwa"/>
    <s v="Należy podkreślić, że wydatki związane z utworzeniem krajowego systemu certyfikacji cyberbezpieczeństwa są niezbędne do wykonania Rozporządzenia Parlamentu Europejskiego i Rady (UE) 2019/881 z dnia 17 kwietnia 2019 r. w sprawie ENISA (Agencji Unii Europejskiej ds. Cyberbezpieczeństwa) oraz certyfikacji cyberbezpieczeństwa w zakresie technologii informacyjno-komunikacyjnych oraz uchylenia rozporządzenia (UE) nr 526/2013. Aby zapewnić zgodność z tym aktem prawnym niezbędne jest utworzenie krajowego organu ds. certyfikacji cyberbezpieczeństwa co oznacza również konieczność zapewnienia środków na jego działalność. Z tego względu wskazane wydatki pozostają aktualne. "/>
    <n v="315"/>
    <m/>
    <n v="315"/>
    <n v="315"/>
    <n v="315"/>
    <n v="315"/>
    <s v="-"/>
    <s v="-"/>
    <s v="-"/>
    <s v="Wydatek wynika z OSR do projektu ustawy o krajowym systemie certyfikacji cyberbezpieczeństwa. Będzie możliwe zlecić to zadanie instytutom nadzorowanym przez ministra. "/>
    <x v="0"/>
  </r>
  <r>
    <x v="0"/>
    <x v="0"/>
    <x v="10"/>
    <n v="6230"/>
    <m/>
    <s v="D1"/>
    <s v="DGW27.BP.PF"/>
    <s v="MC"/>
    <s v="6"/>
    <s v="0"/>
    <s v="2025.16.05.03.04."/>
    <s v="2025.16.05."/>
    <s v="dotacja celowa dla NASK-PIB - zapewnienie usługi chmurowej ochrony przed atakami DDoS – Distributed Denial of Service dla podmiotów realizujących zadania publiczne"/>
    <s v="Celem wydatku jest zapewnienie na możliwie najwyższym poziomie ochrony przed atakami DDoS – Distributed Denial of Service dla podmiotów realizujących zadania publiczne. Zakłada się znaczące zwiększenie zapotrzebowania na zakup usług obcych w związku z rosnącym w 2025 roku zapotrzebowaniem innych instytucji (COI, MS, CIRF, NAC, PARP, Poczta Polska, ZUS  itp.). Planowane jest wzmocnienie zdolności ochrony systemów przy pomocy własnych urządzeń i systemów._x000a_Do celów diagnostycznych planowana jest rozbudowa systemów pomiarowych i symulacyjnych pozwalających na testowanie różnych wariantów podłączeń chronionych instytucji a także na diagnozowanie i testowanie skuteczności oferowanej ochrony."/>
    <n v="322"/>
    <m/>
    <n v="4489"/>
    <n v="578"/>
    <n v="578"/>
    <n v="578"/>
    <s v="-"/>
    <s v="NASK-PIB"/>
    <s v="art. 37 ust. 1 pkt 1 ustawy z dnia 30 kwietnia 2010 r. o instytutach badawczych (Dz. U. z 2024 r. poz. 534) w zw. z art. 150 ustawy z dnia 27 sierpnia 2009 r. o finansach publicznych (Dz. U. z 2024 r. poz. 1530)"/>
    <s v="W roku 2025 realizowano jest umowa dotacji na podstawie umowy nr 175/DC/D/2024. Środki są zaangażowane na rok 2025. Jednakże, planuje się kontynuację realizacji zadania."/>
    <x v="0"/>
  </r>
  <r>
    <x v="0"/>
    <x v="0"/>
    <x v="10"/>
    <n v="2830"/>
    <s v="n/d"/>
    <s v="D1"/>
    <s v="DGW27.BP.PF"/>
    <s v="MC"/>
    <n v="2"/>
    <s v="0"/>
    <s v="2025.16.05.03.04."/>
    <s v="2025.16.05."/>
    <s v="dotacja celowa dla NASK-PIB - opracowanie elementów krajowego programucertyfikacji cyberbezpieczeństwa dot. portfela tożsamości cyfrowej "/>
    <s v="Cel realizacji zadania: Stworzenie funkcjonującego programu certyfikacji dla portfela tożsamości cyfrowej. Umożliwienie jego certyfikacji wynika z art. 5c rozporządzenia (UE) nr 910/2014."/>
    <m/>
    <m/>
    <n v="4700"/>
    <n v="500"/>
    <n v="500"/>
    <n v="500"/>
    <s v="-"/>
    <s v="NASK-PIB"/>
    <s v="Art. 18 ust 1 Projektu Ustawy o krajowym systemie certyfikacji cyberbezpieczeństwa "/>
    <s v="Wydatek wynika z OSR do projektu ustawy o krajowym systemie certyfikacji cyberbezpieczeństwa. "/>
    <x v="0"/>
  </r>
  <r>
    <x v="0"/>
    <x v="0"/>
    <x v="10"/>
    <n v="6230"/>
    <m/>
    <s v="D1"/>
    <s v="DGW27.BP.PF"/>
    <s v="MC"/>
    <n v="6"/>
    <s v="0"/>
    <s v="2025.16.05.03.04."/>
    <s v="2025.16.05."/>
    <s v="dotacja celowa dla NASK-PIB - opracowanie elementów krajowego programucertyfikacji cyberbezpieczeństwa dot. portfela tożsamości cyfrowej "/>
    <s v="Cel realizacji zadania: Stworzenie funkcjonującego programu certyfikacji dla portfela tożsamości cyfrowej. Umożliwienie jego certyfikacji wynika z art. 5c rozporządzenia (UE) nr 910/2014. Nazwa zadania inwestycyjnego: Zakup urządzeń i licencji na potrzeby stworzenia Laboratorium Cyfrowej Tożsamości oraz jednostki certyfikującej z zakresu europejskiego portfela tożsamości_x000a_Urządzenia te będę wykorzystywane do badania i oceny zgodności dot.  europejski portfel tożsamości cyfrowej.  Obowiązek wprowadzenia możliwości certyfikacji wynika z rozporządzenia Parlamentu Europejskiego i Rady (UE) nr 910/2014 z dnia 23 lipca 2014 r. w sprawie identyfikacji elektronicznej i usług zaufania w odniesieniu do transakcji elektronicznych na rynku wewnętrznym oraz uchylające dyrektywę 1999/93/WE."/>
    <m/>
    <m/>
    <n v="4700"/>
    <n v="0"/>
    <n v="0"/>
    <n v="0"/>
    <s v="-"/>
    <s v="NASK-PIB"/>
    <s v="Art. 18 ust 1 Projektu Ustawy o krajowym systemie certyfikacji cyberbezpieczeństwa "/>
    <s v="Wydatek wynika z OSR do projektu ustawy o krajowym systemie certyfikacji cyberbezpieczeństwa. "/>
    <x v="0"/>
  </r>
  <r>
    <x v="0"/>
    <x v="0"/>
    <x v="10"/>
    <n v="4170"/>
    <s v="n/d"/>
    <s v="D3"/>
    <s v="WB27.BP.PF"/>
    <s v="MC"/>
    <s v="4"/>
    <s v="0"/>
    <s v="2025.16.05.03.01."/>
    <s v="2025.16.05."/>
    <s v="Koszty badań produktów ICT "/>
    <s v="Należy podkreślić, że wydatki związane z utworzeniem krajowego systemu certyfikacji cyberbezpieczeństwa są niezbędne do wykonania Rozporządzenia Parlamentu Europejskiego i Rady (UE) 2019/881 z dnia 17 kwietnia 2019 r. w sprawie ENISA (Agencji Unii Europejskiej ds. Cyberbezpieczeństwa) oraz certyfikacji cyberbezpieczeństwa w zakresie technologii informacyjno-komunikacyjnych oraz uchylenia rozporządzenia (UE) nr 526/2013. Aby zapewnić zgodność z tym aktem prawnym niezbędne jest utworzenie krajowego organu ds. certyfikacji cyberbezpieczeństwa co oznacza również konieczność zapewnienia środków na jego działalność. Z tego względu wskazane wydatki pozostają aktualne. "/>
    <m/>
    <m/>
    <n v="320"/>
    <n v="330"/>
    <n v="350"/>
    <n v="370"/>
    <s v="-"/>
    <s v="-"/>
    <s v="-"/>
    <s v="Wydatek wynika z OSR do projektu ustawy o krajowym systemie certyfikacji cyberbezpieczeństwa.  W większości przypadków zlecenie tego zadania instytutom badawczym nadzorowanym przez ministra nie będzie możliwe. "/>
    <x v="0"/>
  </r>
  <r>
    <x v="0"/>
    <x v="0"/>
    <x v="10"/>
    <n v="4000"/>
    <s v="n/d"/>
    <s v="D3"/>
    <s v="WB27.BP.PF"/>
    <s v="MC"/>
    <s v="4"/>
    <n v="0"/>
    <s v="2025.16.05.03.01."/>
    <s v="2025.16.05."/>
    <s v="Koszt stanowisk pracy dla pracowników prowadzących postępowania w sprawie uznania za dostawcę wysokiego ryzyka"/>
    <s v="Zgodnie z projektem ustawy o zmianie ustawy o krajowym systemie cyberbezpieczeństwa oraz niektórych innych ustaw (UC32) minister właściwy do spraw informatyzacji jest odpowiedzialny za zarządzanie incydentami i zarządzanie kryzysowe w cyberbezpieczeństwie na dużą skalę w wymiarze cywilnym, z wyłączeniem spraw dotyczących zagrożeń terrorystycznych oraz zagrożeń związanych ze szpiegostwem. W tym celu przewiduje się zatrudnienie 4 pracowników w urzędzie obsługującym ministra właściwego do spraw informatyzacji. Należy zapewnić środki na składki na Fundusz Pracy dla tych pracowników. Należy im utworzyć stanowisko pracy (wyposażenie stanowiska pracy - koszt jednostkowy poniżej 10 tys. zł)"/>
    <m/>
    <m/>
    <n v="45"/>
    <n v="0"/>
    <n v="0"/>
    <n v="0"/>
    <s v="-"/>
    <s v="-"/>
    <s v="-"/>
    <s v="Wydatek wynika z OSR do projektu  ustawy o zmianie ustawy o krajowym systemie cyberbezpieczeństwa oraz niektórych innych ustaw. "/>
    <x v="0"/>
  </r>
  <r>
    <x v="0"/>
    <x v="0"/>
    <x v="10"/>
    <n v="2580"/>
    <s v="n/d"/>
    <s v="D3"/>
    <s v="DGW27.BP.PF"/>
    <s v="MC"/>
    <s v="2"/>
    <n v="0"/>
    <s v="2025.16.05.03.04."/>
    <s v="2025.16.05."/>
    <s v="Wzrost dotacji podmiotowej dla CSIRT NASK"/>
    <s v="Zgodnie z art. 26 ust. 9 CSIRT NASK otrzymuje dotację podmiotową na realizację swoich zadań, które zostały znacznie zwiększone w projekcie ustawy o zmianie ustawy o krajowym systemie cyberbezpieczeństwa oraz niektórych innych ustaw."/>
    <m/>
    <m/>
    <n v="57066"/>
    <n v="64162"/>
    <n v="72314"/>
    <n v="81684"/>
    <s v="-"/>
    <s v="NASK-PIB"/>
    <s v="art. 26 ust. 9 ustawy o krajowym systemie cyberbezpieczeństwa "/>
    <s v="Wydatek wynika z OSR do projektu  ustawy o zmianie ustawy o krajowym systemie cyberbezpieczeństwa oraz niektórych innych ustaw. "/>
    <x v="0"/>
  </r>
  <r>
    <x v="0"/>
    <x v="0"/>
    <x v="10"/>
    <n v="2830"/>
    <s v="n/d"/>
    <s v="D1"/>
    <s v="DGW27.BP.PF"/>
    <s v="MC"/>
    <s v="2"/>
    <n v="0"/>
    <s v="2025.16.05.03.04."/>
    <s v="2025.16.05."/>
    <s v="Wzrost dotacji celowej dla Naukowej i Akademickiej Sieci Komputerowej-Państwowego Instytutu Badawczego na utrzymanie i rozwój systemu S46 wydatki bieżące"/>
    <s v="System S46 utrzymywany i rozwijany jest przez Naukową i Akademicką Sieć Komputerową-Państwowy Instytut Badawczy będzie pełnił rolę wykazu podmiotów kluczowych i podmiotów ważnych, a także będzie podstawowym sposobem zgłaszania incydentów przez podmioty kluczowe i podmioty ważne. Stąd też konieczne jest zapewnienie odpowiedniego wzrostu dotacji celowej na rozwój tego systemu. Zadanie to realizowane będzie na podstawie art. 46 i art. 47 według projektu ustawy o zmianie ustawy o krajowym systemie cyberbezpieczeństwa (UC32)."/>
    <m/>
    <m/>
    <n v="14708"/>
    <n v="16951"/>
    <n v="13727"/>
    <n v="21537"/>
    <s v="-"/>
    <s v="NASK-PIB"/>
    <s v="art. 47 ust. 1 ustawy o krajowym systemie cyberbezpieczeństwa "/>
    <s v="Wydatek wynika z OSR do projektu  ustawy o zmianie ustawy o krajowym systemie cyberbezpieczeństwa oraz niektórych innych ustaw. "/>
    <x v="0"/>
  </r>
  <r>
    <x v="0"/>
    <x v="0"/>
    <x v="10"/>
    <n v="6230"/>
    <m/>
    <s v="D1"/>
    <s v="DGW27.BP.PF"/>
    <s v="MC"/>
    <s v="6"/>
    <n v="0"/>
    <s v="2025.16.05.03.04."/>
    <s v="2025.16.05."/>
    <s v="Wzrost dotacji celowej dla Naukowej i Akademickiej Sieci Komputerowej-Państwowego Instytutu Badawczego na utrzymanie i rozwój systemu S46 wydatki majątkowe"/>
    <s v="System S46 utrzymywany i rozwijany jest przez Naukową i Akademicką Sieć Komputerową-Państwowy Instytut Badawczy będzie pełnił rolę wykazu podmiotów kluczowych i podmiotów ważnych, a także będzie podstawowym sposobem zgłaszania incydentów przez podmioty kluczowe i podmioty ważne. Stąd też konieczne jest zapewnienie odpowiedniego wzrostu dotacji celowej na rozwój tego systemu. Zadanie to realizowane będzie na podstawie art. 46 i art. 47 według projektu ustawy o zmianie ustawy o krajowym systemie cyberbezpieczeństwa (UC32)."/>
    <m/>
    <m/>
    <n v="10632"/>
    <n v="1556"/>
    <n v="5782"/>
    <n v="8104"/>
    <s v="-"/>
    <s v="NASK-PIB"/>
    <s v="art. 47 ust. 1 ustawy o krajowym systemie cyberbezpieczeństwa "/>
    <s v="Wydatek wynika z OSR do projektu  ustawy o zmianie ustawy o krajowym systemie cyberbezpieczeństwa oraz niektórych innych ustaw. "/>
    <x v="0"/>
  </r>
  <r>
    <x v="0"/>
    <x v="0"/>
    <x v="10"/>
    <n v="4000"/>
    <s v="n/d"/>
    <s v="D3"/>
    <s v="WB27.BP.PF"/>
    <s v="MC"/>
    <s v="4"/>
    <n v="0"/>
    <s v="2025.16.05.03.01."/>
    <s v="2025.16.05."/>
    <s v="Badania/ekspertyzy dla Pełnomocnika Rządu do Spraw Cyberbezpieczeństwa"/>
    <s v="Projekt ustawy  o zmianie ustawy o krajowym systemie cyberbezpieczeństwa oraz niektórych innych ustaw (UC32) (art. 61 ust. 5) przewiduje możliwość zlecenia przez Pełnomocnika Rządu do Spraw Cyberbezpieczeństwa analiz, ekspertyz lub badań, które mają na celu wsparcie realizacji jego zadań. "/>
    <m/>
    <m/>
    <n v="100"/>
    <n v="100"/>
    <n v="100"/>
    <n v="100"/>
    <s v="-"/>
    <s v="-"/>
    <s v="-"/>
    <s v="Wydatek wynika z OSR do projektu  ustawy o zmianie ustawy o krajowym systemie cyberbezpieczeństwa oraz niektórych innych ustaw. "/>
    <x v="0"/>
  </r>
  <r>
    <x v="0"/>
    <x v="0"/>
    <x v="10"/>
    <n v="6060"/>
    <m/>
    <s v="D3"/>
    <s v="WB27.BP.PF"/>
    <s v="MC"/>
    <s v="6"/>
    <n v="0"/>
    <s v="2025.16.05.03.04."/>
    <s v="2025.16.05."/>
    <s v="ZAKUP SPRZĘTU SPECJALISTYCZNEGO: Podnoszenie zdolności instytucji zapewniających cyberbezpieczeństwo"/>
    <s v="Przewiduje się możliwość, aby Pełnomocnik Rządu do Spraw Cyberbezpieczeństwa mógł dokonywać zakupów sprzętu/oprogramowania dla uczestników posiedzeń Połączonego Centrum Operacyjnego Cyberbezpieczeństwa. Przewiduje się na to zadanie 50 619 520,00 zł rocznie począwszy od 2025 r. (będzie na majątku MC)"/>
    <m/>
    <m/>
    <n v="50620"/>
    <n v="50620"/>
    <n v="50620"/>
    <n v="50620"/>
    <s v="-"/>
    <s v="-"/>
    <s v="-"/>
    <s v="Wydatek wynika z OSR do projektu  ustawy o zmianie ustawy o krajowym systemie cyberbezpieczeństwa oraz niektórych innych ustaw. "/>
    <x v="0"/>
  </r>
  <r>
    <x v="0"/>
    <x v="0"/>
    <x v="10"/>
    <n v="4000"/>
    <s v="n/d"/>
    <s v="D3"/>
    <s v="WB27.BP.PF"/>
    <s v="MC"/>
    <s v="4"/>
    <n v="0"/>
    <s v="2025.16.05.03.01."/>
    <s v="2025.16.05."/>
    <s v="Koszt stanowisk pracy dla pracowników prowadzących postępowania w sprawie uznania za dostawcę wysokiego ryzyka"/>
    <s v="Zgodnie z projektem ustawy o zmianie ustawy o krajowym systemie cyberbezpieczeństwa oraz niektórych innych ustaw (UC32) minister właściwy do spraw informatyzacji jest odpowiedzialny za prowadzenie postępowań w sprawie uznania za dostawcę wysokiego ryzyka. W tym celu przewiduje się zatrudnienie 3 pracowników w urzędzie obsługującym ministra właściwego do spraw informatyzacji. Należy im utworzyć stanowisko pracy (wyposażenie stanowiska pracy - koszt jednostkowy poniżej 10 tys. zł)"/>
    <m/>
    <m/>
    <n v="34"/>
    <n v="0"/>
    <n v="0"/>
    <n v="0"/>
    <s v="-"/>
    <s v="-"/>
    <s v="-"/>
    <s v="Wydatek wynika z OSR do projektu  ustawy o zmianie ustawy o krajowym systemie cyberbezpieczeństwa oraz niektórych innych ustaw. "/>
    <x v="0"/>
  </r>
  <r>
    <x v="0"/>
    <x v="0"/>
    <x v="10"/>
    <n v="4000"/>
    <s v="n/d"/>
    <s v="D3"/>
    <s v="WB27.BP.PF"/>
    <s v="MC"/>
    <s v="4"/>
    <n v="0"/>
    <s v="2025.16.05.03.01."/>
    <s v="2025.16.05."/>
    <s v="Koszt stanowisk pracy dla osób nadzorujacych sektory infrastruktury cyfrowej"/>
    <s v="Zgodnie z art. 53 ust. 1 w zw. z art. 41 pkt 8  projektu ustawy o zmianie ustawy o krajowym systemie cyberbezpieczeństwa oraz niektórych innych ustaw (UC32) minister własciwy do spraw informatyzacji będzie nadzorował podmioty w sektorze infrastruktury cyfrowej. W celu realizacji tego zadania przewiduje zatrudnienie 24 osób,  dla których musi utworzyć stanowisko pracy (wyposażenie stanowiska pracy - koszt jednostkowy poniżej 10 tys. zł)"/>
    <m/>
    <m/>
    <n v="331"/>
    <n v="0"/>
    <n v="0"/>
    <n v="0"/>
    <s v="-"/>
    <s v="-"/>
    <s v="-"/>
    <s v="Wydatek wynika z OSR do projektu  ustawy o zmianie ustawy o krajowym systemie cyberbezpieczeństwa oraz niektórych innych ustaw. "/>
    <x v="0"/>
  </r>
  <r>
    <x v="0"/>
    <x v="0"/>
    <x v="10"/>
    <n v="4000"/>
    <s v="n/d"/>
    <s v="D3"/>
    <s v="WB27.BP.PF"/>
    <s v="MC"/>
    <s v="4"/>
    <n v="0"/>
    <s v="2025.16.05.03.01."/>
    <s v="2025.16.05."/>
    <s v="Koszt stanowisk pracy dla osób nadzorujących sektor zarządzania ICT"/>
    <s v="Zgodnie z art. 53 ust. 1 w zw. z art. 41 pkt 9b  projektu ustawy o zmianie ustawy o krajowym systemie cyberbezpieczeństwa oraz niektórych innych ustaw (UC32) minister własciwy do spraw informatyzacji będzie nadzorował podmioty w sektorze zarządzania usługami ICT. W celu realizacji tego zadania przewiduje zatrudnienie 3 osób,  dla których musi utworzyć stanowisko pracy (wyposażenie stanowiska pracy - koszt jednostkowy poniżej 10 tys. zł)"/>
    <m/>
    <m/>
    <n v="34"/>
    <n v="0"/>
    <n v="0"/>
    <n v="0"/>
    <s v="-"/>
    <s v="-"/>
    <s v="-"/>
    <s v="Wydatek wynika z OSR do projektu  ustawy o zmianie ustawy o krajowym systemie cyberbezpieczeństwa oraz niektórych innych ustaw. "/>
    <x v="0"/>
  </r>
  <r>
    <x v="0"/>
    <x v="0"/>
    <x v="10"/>
    <n v="4000"/>
    <s v="n/d"/>
    <s v="D3"/>
    <s v="WB27.BP.PF"/>
    <s v="MC"/>
    <s v="4"/>
    <n v="0"/>
    <s v="2025.16.05.03.01."/>
    <s v="2025.16.05."/>
    <s v="Koszt stanowisk pracy dla osób nadzorujących sektor dostawców usług cyfrowych"/>
    <s v="Zgodnie z art. 53 ust. 1 w zw. z art. 41a pkt 3  projektu ustawy o zmianie ustawy o krajowym systemie cyberbezpieczeństwa oraz niektórych innych ustaw (UC32) minister własciwy do spraw informatyzacji będzie nadzorował podmioty w sektorze dostawców usług cyfrowych. W celu realizacji tego zadania przewiduje zatrudnienie 2 osób,  dla których musi utworzyć stanowisko pracy (wyposażenie stanowiska pracy - koszt jednostkowy poniżej 10 tys. zł)"/>
    <m/>
    <m/>
    <n v="23"/>
    <n v="0"/>
    <n v="0"/>
    <n v="0"/>
    <s v="-"/>
    <s v="-"/>
    <s v="-"/>
    <s v="Wydatek wynika z OSR do projektu  ustawy o zmianie ustawy o krajowym systemie cyberbezpieczeństwa oraz niektórych innych ustaw. "/>
    <x v="0"/>
  </r>
  <r>
    <x v="0"/>
    <x v="0"/>
    <x v="10"/>
    <n v="4000"/>
    <s v="n/d"/>
    <s v="D3"/>
    <s v="WB27.BP.PF"/>
    <s v="MC"/>
    <s v="4"/>
    <n v="0"/>
    <s v="2025.16.05.03.01."/>
    <s v="2025.16.05."/>
    <s v="Koszt stanowisk pracy dla osób nadzorujących sektor podmiotów publicznych"/>
    <s v="Zgodnie z projektem ustawy o zmianie ustawy o krajowym systemie cyberbezpieczeństwa oraz niektórych innych ustaw (UC32) minister właściwy do spraw informatyzacji jest odpowiedzialny za nadzór nad podmiotami kluczowymi oraz podmiotami ważnymi z sektora podmiotów publicznych. W tym celu przewiduje się zatrudnienie 40 pracowników w urzędzie obsługującym ministra właściwego do spraw informatyzacji. Należy zapewnić im stanowiska pracy (wyposażenie stanowiska pracy - koszt jednostkowy poniżej 10 tys. zł)"/>
    <m/>
    <m/>
    <n v="442"/>
    <n v="0"/>
    <n v="0"/>
    <n v="0"/>
    <s v="-"/>
    <s v="-"/>
    <s v="-"/>
    <s v="Wydatek wynika z OSR do projektu  ustawy o zmianie ustawy o krajowym systemie cyberbezpieczeństwa oraz niektórych innych ustaw. "/>
    <x v="0"/>
  </r>
  <r>
    <x v="0"/>
    <x v="0"/>
    <x v="10"/>
    <n v="4000"/>
    <s v="n/d"/>
    <s v="D3"/>
    <s v="WB27.BP.PF"/>
    <s v="MC"/>
    <s v="4"/>
    <n v="0"/>
    <s v="2025.16.05.03.01."/>
    <s v="2025.16.05."/>
    <s v="Koszt zakupu licencji do norm technicznych i innych dokumentów standaryzacyjnych z zakresu cyberbezpieczeństwa"/>
    <s v="Zgodnie z projektem ustawy o zmianie ustawy o krajowym systemie cyberbezpieczeństwa oraz niektórych innych ustaw (UC32) minister właściwy do spraw informatyzacji jest organem właściwym do spraw cyberbezpieczeństwa. Aby wykonywać czynności nadzorcze organ właściwy do spraw cyberbezpieczeństwa musi mieć dostęp do niezbędnej wiedzy. W tym celu zasadne jest, aby rokrocznie organy mogły zakupić normy techniczne i inne dokumenty normalizacyjne z zakresu cyberbezpieczeństwa"/>
    <m/>
    <m/>
    <n v="8"/>
    <n v="8"/>
    <n v="8"/>
    <n v="8"/>
    <s v="-"/>
    <s v="-"/>
    <s v="-"/>
    <s v="Wydatek wynika z OSR do projektu  ustawy o zmianie ustawy o krajowym systemie cyberbezpieczeństwa oraz niektórych innych ustaw. "/>
    <x v="0"/>
  </r>
  <r>
    <x v="0"/>
    <x v="0"/>
    <x v="10"/>
    <n v="2830"/>
    <s v="n/d"/>
    <s v="D1"/>
    <s v="DGW27.BP.PF"/>
    <s v="MC"/>
    <s v="2"/>
    <n v="0"/>
    <s v="2025.16.05.03.04."/>
    <s v="2025.16.05."/>
    <s v="Dotacja celowa na zakup infrastruktury dla CSIRT NASK"/>
    <s v="Zgodnie z art. 26 ust. 9a projektu ustawy o zmianie ustawy o krajowym systemie cyberbezpieczeństwa oraz niektórych innych ustaw (UC32) minister własciwy do spraw informatyzacji będzie mógł udzielić zespołowi CSIRT NASK dotacji celowej na infrastrukturę niezbędną do wykonywania zadań."/>
    <m/>
    <m/>
    <n v="1383"/>
    <n v="1383"/>
    <n v="1383"/>
    <n v="1383"/>
    <s v="-"/>
    <s v="NASK-PIB"/>
    <s v="Art.. 26 ust. 9a zawarty w projekcie ustawy o zmianie ustawy o krajowym systemie cyberbezpieczeństwa"/>
    <s v="Wydatek wynika z OSR do projektu  ustawy o zmianie ustawy o krajowym systemie cyberbezpieczeństwa oraz niektórych innych ustaw. "/>
    <x v="0"/>
  </r>
  <r>
    <x v="0"/>
    <x v="0"/>
    <x v="10"/>
    <n v="6230"/>
    <m/>
    <s v="D1"/>
    <s v="DGW27.BP.PF"/>
    <s v="MC"/>
    <s v="6"/>
    <n v="0"/>
    <s v="2025.16.05.03.04."/>
    <s v="2025.16.05."/>
    <s v="Dotacja celowa na zakup infrastruktury dla CSIRT NASK"/>
    <s v="Zgodnie z art. 26 ust. 9a projektu ustawy o zmianie ustawy o krajowym systemie cyberbezpieczeństwa oraz niektórych innych ustaw (UC32) minister własciwy do spraw informatyzacji będzie mógł udzielić zespołowi CSIRT NASK dotacji celowej na infrastrukturę niezbędną do wykonywania zadań."/>
    <m/>
    <m/>
    <n v="4130"/>
    <n v="4130"/>
    <n v="4130"/>
    <n v="4130"/>
    <s v="-"/>
    <s v="NASK-PIB"/>
    <s v="Art.. 26 ust. 9a zawarty w projekcie ustawy o zmianie ustawy o krajowym systemie cyberbezpieczeństwa"/>
    <s v="Wydatek wynika z OSR do projektu  ustawy o zmianie ustawy o krajowym systemie cyberbezpieczeństwa oraz niektórych innych ustaw. "/>
    <x v="0"/>
  </r>
  <r>
    <x v="0"/>
    <x v="0"/>
    <x v="10"/>
    <n v="6060"/>
    <m/>
    <s v="D3"/>
    <s v="WB27.BP.PF"/>
    <s v="MC"/>
    <s v="6"/>
    <n v="0"/>
    <s v="2025.16.05.03.04."/>
    <s v="2025.16.05."/>
    <s v="ZAKUP SPRZĘTU SPECJALISTYCZNEGO: 4 szt zestaw komputerowy stacjonarny - stacja robocza z monitorem, klawiaturą, myszą i słuchawkami - spełniający wymagania norm NATO serii SDIP-27 LEVEL A"/>
    <s v="Zgodnie z art.. 52e projektu ustawy o zmianie ustawy o krajowym systemie cyberbezpieczeństwa oraz niektórych innych ustaw (UC32) minister własciwy do spraw informatyzacji będzie pełnił funkcję organu odpowiedzialnego za zarządzanie incydentami i zarządzanie kryzysowe w cyberbezpieczeństwie na dużą skalę w wymiarze cywilnym. W celu realizacji tego zadania przewiduje zakup 4 zestawów komputerów TEMPEST klasy SDIP-27 level A umożliwiające pracę nad informacjami niejawnymi."/>
    <m/>
    <m/>
    <n v="267"/>
    <n v="0"/>
    <n v="0"/>
    <n v="0"/>
    <s v="-"/>
    <s v="-"/>
    <s v="-"/>
    <s v="Wydatek wynika z OSR do projektu  ustawy o zmianie ustawy o krajowym systemie cyberbezpieczeństwa oraz niektórych innych ustaw. "/>
    <x v="0"/>
  </r>
  <r>
    <x v="0"/>
    <x v="0"/>
    <x v="10"/>
    <n v="6060"/>
    <m/>
    <s v="D3"/>
    <s v="WB27.BP.PF"/>
    <s v="MC"/>
    <s v="6"/>
    <n v="0"/>
    <s v="2025.16.05.03.04."/>
    <s v="2025.16.05."/>
    <s v="ZAKUP SPRZĘTU SPECJALISTYCZNEGO: 2 szt drukarka monochromatyczna - spełniające wymagania norm NATO serii SDIP-27 LEVEL A"/>
    <s v="Zgodnie z art.. 52e projektu ustawy o zmianie ustawy o krajowym systemie cyberbezpieczeństwa oraz niektórych innych ustaw (UC32) minister własciwy do spraw informatyzacji będzie pełnił funkcję organu odpowiedzialnego za zarządzanie incydentami i zarządzanie kryzysowe w cyberbezpieczeństwie na dużą skalę w wymiarze cywilnym. W celu realizacji tego zadania przewiduje zakup 2 szt drukarek monochromatycznych klasy SDIP-27 level A umożliwiające pracę nad informacjami niejawnymi."/>
    <m/>
    <m/>
    <n v="26"/>
    <n v="0"/>
    <n v="0"/>
    <n v="0"/>
    <s v="-"/>
    <s v="-"/>
    <s v="-"/>
    <s v="Wydatek wynika z OSR do projektu  ustawy o zmianie ustawy o krajowym systemie cyberbezpieczeństwa oraz niektórych innych ustaw. "/>
    <x v="0"/>
  </r>
  <r>
    <x v="0"/>
    <x v="0"/>
    <x v="10"/>
    <n v="6060"/>
    <m/>
    <s v="D3"/>
    <s v="WB27.BP.PF"/>
    <s v="MC"/>
    <s v="6"/>
    <n v="0"/>
    <s v="2025.16.05.03.04."/>
    <s v="2025.16.05."/>
    <s v="ZAKUP SPRZĘTU SPECJALISTYCZNEGO: 3 szt urządzenie wielofunkcyjne laserowe A4 kolor - spełniające wymagania norm NATO serii SDIP-27 LEVEL A"/>
    <s v="Zgodnie z art.. 52e projektu ustawy o zmianie ustawy o krajowym systemie cyberbezpieczeństwa oraz niektórych innych ustaw (UC32) minister własciwy do spraw informatyzacji będzie pełnił funkcję organu odpowiedzialnego za zarządzanie incydentami i zarządzanie kryzysowe w cyberbezpieczeństwie na dużą skalę w wymiarze cywilnym. W celu realizacji tego zadania przewiduje zakup 3 szt urządzenia wielofunkcjynego laserowego A4 kolor klasy SDIP-27 level A umożliwiające pracę nad informacjami niejawnymi."/>
    <m/>
    <m/>
    <n v="115"/>
    <n v="0"/>
    <n v="0"/>
    <n v="0"/>
    <s v="-"/>
    <s v="-"/>
    <s v="-"/>
    <s v="Wydatek wynika z OSR do projektu  ustawy o zmianie ustawy o krajowym systemie cyberbezpieczeństwa oraz niektórych innych ustaw. "/>
    <x v="0"/>
  </r>
  <r>
    <x v="0"/>
    <x v="0"/>
    <x v="10"/>
    <n v="6060"/>
    <m/>
    <s v="D3"/>
    <s v="WB27.BP.PF"/>
    <s v="MC"/>
    <s v="4"/>
    <n v="0"/>
    <s v="2025.16.05.03.04."/>
    <s v="2025.16.05."/>
    <s v="ZAKUP SPRZĘTU SPECJALISTYCZNEGO: 4 szt zewnętrzny moduł portów USB+ czytnik kar 14 w 1 - spełniający wymagania norm NATO serii SDIP-27 LEVEL A"/>
    <s v="Zgodnie z art.. 52e projektu ustawy o zmianie ustawy o krajowym systemie cyberbezpieczeństwa oraz niektórych innych ustaw (UC32) minister własciwy do spraw informatyzacji będzie pełnił funkcję organu odpowiedzialnego za zarządzanie incydentami i zarządzanie kryzysowe w cyberbezpieczeństwie na dużą skalę w wymiarze cywilnym. W celu realizacji tego zadania przewiduje zakup 4 szt zewnętrznego modułu portów USB+ czytnik kar 14 w 1 klasy SDIP-27 level A umożliwiające pracę nad informacjami niejawnymi."/>
    <m/>
    <m/>
    <n v="55"/>
    <n v="0"/>
    <n v="0"/>
    <n v="0"/>
    <s v="-"/>
    <s v="-"/>
    <s v="-"/>
    <s v="Wydatek wynika z OSR do projektu  ustawy o zmianie ustawy o krajowym systemie cyberbezpieczeństwa oraz niektórych innych ustaw. "/>
    <x v="0"/>
  </r>
  <r>
    <x v="0"/>
    <x v="0"/>
    <x v="10"/>
    <n v="4000"/>
    <s v="n/d"/>
    <s v="D3"/>
    <s v="WB27.BP.PF"/>
    <s v="MC"/>
    <s v="4"/>
    <n v="0"/>
    <s v="2025.16.05.03.04."/>
    <s v="2025.16.05."/>
    <s v="4 szt słuchawki USB na złączu D89 - spełniające wymagania norm NATO serii SDIP-27 LEVEL A"/>
    <s v="Zgodnie z art.. 52e projektu ustawy o zmianie ustawy o krajowym systemie cyberbezpieczeństwa oraz niektórych innych ustaw (UC32) minister własciwy do spraw informatyzacji będzie pełnił funkcję organu odpowiedzialnego za zarządzanie incydentami i zarządzanie kryzysowe w cyberbezpieczeństwie na dużą skalę w wymiarze cywilnym. W celu realizacji tego zadania przewiduje zakup 4 słuchawek klasy SDIP-27 level A umożliwiające pracę nad informacjami niejawnymi."/>
    <m/>
    <m/>
    <n v="9"/>
    <n v="0"/>
    <n v="0"/>
    <n v="0"/>
    <s v="-"/>
    <s v="-"/>
    <s v="-"/>
    <s v="Wydatek wynika z OSR do projektu  ustawy o zmianie ustawy o krajowym systemie cyberbezpieczeństwa oraz niektórych innych ustaw. "/>
    <x v="0"/>
  </r>
  <r>
    <x v="0"/>
    <x v="0"/>
    <x v="10"/>
    <n v="4000"/>
    <s v="n/d"/>
    <s v="D3"/>
    <s v="WB27.BP.PF"/>
    <s v="MC"/>
    <s v="4"/>
    <n v="0"/>
    <s v="2025.16.05.03.04."/>
    <s v="2025.16.05."/>
    <s v="4 szt zasilacz awaryjny"/>
    <s v="Zgodnie z art.. 52e projektu ustawy o zmianie ustawy o krajowym systemie cyberbezpieczeństwa oraz niektórych innych ustaw (UC32) minister własciwy do spraw informatyzacji będzie pełnił funkcję organu odpowiedzialnego za zarządzanie incydentami i zarządzanie kryzysowe w cyberbezpieczeństwie na dużą skalę w wymiarze cywilnym. W celu realizacji tego zadania przewiduje zakup 4 zestawów komputerów, drukarek i słuchawek TEMPEST klasy SDIP-27 level A umożliwiające pracę nad informacjami niejawnymi."/>
    <m/>
    <m/>
    <n v="18"/>
    <n v="0"/>
    <n v="0"/>
    <n v="0"/>
    <s v="-"/>
    <s v="-"/>
    <s v="-"/>
    <s v="Wydatek wynika z OSR do projektu  ustawy o zmianie ustawy o krajowym systemie cyberbezpieczeństwa oraz niektórych innych ustaw. "/>
    <x v="0"/>
  </r>
  <r>
    <x v="0"/>
    <x v="0"/>
    <x v="10"/>
    <n v="4000"/>
    <s v="n/d"/>
    <s v="D3"/>
    <s v="WB27.BP.PF"/>
    <s v="MC"/>
    <s v="4"/>
    <n v="0"/>
    <s v="2025.16.05.03.04."/>
    <s v="2025.16.05."/>
    <s v="Zakup baz statystycznych - wykupienie dostępu"/>
    <s v="Planowane wydatki dotyczą zakupu baz statystycznych potrzebnych do sporządzania OSR"/>
    <n v="50"/>
    <m/>
    <n v="50"/>
    <n v="50"/>
    <n v="50"/>
    <n v="50"/>
    <s v="-"/>
    <s v="-"/>
    <s v="-"/>
    <m/>
    <x v="0"/>
  </r>
  <r>
    <x v="0"/>
    <x v="0"/>
    <x v="10"/>
    <m/>
    <m/>
    <m/>
    <m/>
    <m/>
    <m/>
    <m/>
    <m/>
    <m/>
    <m/>
    <s v="Pozostała kwota w limicie wydatków na 2025 rok"/>
    <n v="6865"/>
    <m/>
    <m/>
    <m/>
    <m/>
    <m/>
    <m/>
    <m/>
    <m/>
    <m/>
    <x v="1"/>
  </r>
  <r>
    <x v="0"/>
    <x v="0"/>
    <x v="10"/>
    <m/>
    <m/>
    <m/>
    <m/>
    <m/>
    <m/>
    <m/>
    <m/>
    <m/>
    <m/>
    <s v="OGÓŁEM DC"/>
    <n v="436088"/>
    <n v="213439"/>
    <n v="639358"/>
    <n v="865281"/>
    <n v="892675"/>
    <n v="890332"/>
    <m/>
    <m/>
    <m/>
    <m/>
    <x v="1"/>
  </r>
  <r>
    <x v="0"/>
    <x v="0"/>
    <x v="11"/>
    <n v="4420"/>
    <s v="n/d"/>
    <s v="D3"/>
    <s v="WB27.BP.PF"/>
    <s v="MC"/>
    <s v="4"/>
    <s v="0"/>
    <s v="2025.06.03.01.01."/>
    <s v="2025.06.03."/>
    <s v="Usługa rezerwacji i dostarczania biletów lotniczych i kolejowych na zagraniczne i krajowe przewozy pasażerskie oraz dodatkowe usługi powiązane na potrzeby całego MC"/>
    <s v="Usługa rezerwacji i dostarczania biletów lotniczych i kolejowych na zagraniczne przewozy pasażerskie oraz dodatkowe usługi powiązane na potrzeby całego MC."/>
    <n v="70"/>
    <m/>
    <n v="70"/>
    <n v="0"/>
    <n v="0"/>
    <n v="0"/>
    <s v="umowa 173/DWM/24_x000a_zawarta do dnia 2026.11.14"/>
    <s v="Bankowe Biuro Podróży TravelBank sp. z o.o."/>
    <s v="-"/>
    <s v="zangażowano środki w kwocie ogółem 20.000 zł "/>
    <x v="0"/>
  </r>
  <r>
    <x v="0"/>
    <x v="0"/>
    <x v="11"/>
    <n v="4420"/>
    <s v="n/d"/>
    <s v="D3"/>
    <s v="WB27.BP.PF"/>
    <s v="MC"/>
    <s v="4"/>
    <s v="0"/>
    <s v="2025.16.01.02.01."/>
    <s v="2025.16.01."/>
    <s v="Usługa rezerwacji i dostarczania biletów lotniczych i kolejowych na zagraniczne i krajowe przewozy pasażerskie oraz dodatkowe usługi powiązane na potrzeby całego MC"/>
    <s v="Usługa rezerwacji i dostarczania biletów lotniczych i kolejowych na zagraniczne przewozy pasażerskie oraz dodatkowe usługi powiązane na potrzeby całego MC."/>
    <n v="20"/>
    <m/>
    <n v="16"/>
    <n v="0"/>
    <n v="0"/>
    <n v="0"/>
    <s v="umowa 173/DWM/24_x000a_zawarta do dnia 2026.11.14"/>
    <s v="Bankowe Biuro Podróży TravelBank sp. z o.o."/>
    <s v="-"/>
    <s v="zangażowano środki w kwocie ogółem 10.000 zł"/>
    <x v="0"/>
  </r>
  <r>
    <x v="0"/>
    <x v="0"/>
    <x v="11"/>
    <n v="4420"/>
    <s v="n/d"/>
    <s v="D3"/>
    <s v="WB27.BP.PF"/>
    <s v="MC"/>
    <s v="4"/>
    <s v="0"/>
    <s v="2025.16.05.02.01."/>
    <s v="2025.16.05."/>
    <s v="Usługa rezerwacji i dostarczania biletów lotniczych i kolejowych na zagraniczne i krajowe przewozy pasażerskie oraz dodatkowe usługi powiązane na potrzeby całego MC"/>
    <s v="Usługa rezerwacji i dostarczania biletów lotniczych i kolejowych na zagraniczne przewozy pasażerskie oraz dodatkowe usługi powiązane na potrzeby całego MC."/>
    <n v="20"/>
    <m/>
    <n v="20"/>
    <n v="0"/>
    <n v="0"/>
    <n v="0"/>
    <s v="umowa 173/DWM/24_x000a_zawarta do dnia 2026.11.14"/>
    <s v="Bankowe Biuro Podróży TravelBank sp. z o.o."/>
    <s v="-"/>
    <s v="zangażowano środki w kwocie ogółem 20.000 zł "/>
    <x v="0"/>
  </r>
  <r>
    <x v="0"/>
    <x v="0"/>
    <x v="11"/>
    <n v="4420"/>
    <s v="n/d"/>
    <s v="D3"/>
    <s v="WB27.BP.PF"/>
    <s v="MC"/>
    <s v="4"/>
    <s v="0"/>
    <s v="2025.16.05.02.02."/>
    <s v="2025.16.05."/>
    <s v="Usługa rezerwacji i dostarczania biletów lotniczych i kolejowych na zagraniczne i krajowe przewozy pasażerskie oraz dodatkowe usługi powiązane na potrzeby całego MC"/>
    <s v="Usługa rezerwacji i dostarczania biletów lotniczych i kolejowych na zagraniczne przewozy pasażerskie oraz dodatkowe usługi powiązane na potrzeby całego MC."/>
    <n v="90"/>
    <m/>
    <n v="94"/>
    <n v="0"/>
    <n v="0"/>
    <n v="0"/>
    <s v="umowa 173/DWM/24_x000a_zawarta do dnia 2026.11.14"/>
    <s v="Bankowe Biuro Podróży TravelBank sp. z o.o."/>
    <s v="-"/>
    <s v="zangażowano środki w kwocie ogółem 63.300 zł"/>
    <x v="0"/>
  </r>
  <r>
    <x v="0"/>
    <x v="0"/>
    <x v="11"/>
    <n v="4420"/>
    <s v="n/d"/>
    <s v="D3"/>
    <s v="WB27.BP.PF"/>
    <s v="MC"/>
    <s v="4"/>
    <s v="0"/>
    <s v="2025.16.05.03.02."/>
    <s v="2025.16.05."/>
    <s v="Usługa rezerwacji i dostarczania biletów lotniczych i kolejowych na zagraniczne i krajowe przewozy pasażerskie oraz dodatkowe usługi powiązane na potrzeby całego MC"/>
    <s v="Usługa rezerwacji i dostarczania biletów lotniczych i kolejowych na zagraniczne przewozy pasażerskie oraz dodatkowe usługi powiązane na potrzeby całego MC."/>
    <n v="110"/>
    <m/>
    <n v="110"/>
    <n v="0"/>
    <n v="0"/>
    <n v="0"/>
    <s v="umowa 173/DWM/24_x000a_zawarta do dnia 2026.11.14"/>
    <s v="Bankowe Biuro Podróży TravelBank sp. z o.o."/>
    <s v="-"/>
    <s v="zangażowano środki w kwocie ogółem 110.000 zł"/>
    <x v="0"/>
  </r>
  <r>
    <x v="0"/>
    <x v="0"/>
    <x v="11"/>
    <n v="4420"/>
    <s v="n/d"/>
    <s v="D3"/>
    <s v="WB27.BP.PF"/>
    <s v="MC"/>
    <s v="4"/>
    <s v="0"/>
    <s v="2025.22.01.01.01."/>
    <s v="2025.22.01."/>
    <s v="Usługa rezerwacji i dostarczania biletów lotniczych i kolejowych na zagraniczne i krajowe przewozy pasażerskie oraz dodatkowe usługi powiązane na potrzeby całego MC"/>
    <s v="Usługa rezerwacji i dostarczania biletów lotniczych i kolejowych na zagraniczne przewozy pasażerskie oraz dodatkowe usługi powiązane na potrzeby całego MC."/>
    <n v="20"/>
    <m/>
    <n v="20"/>
    <n v="0"/>
    <n v="0"/>
    <n v="0"/>
    <s v="umowa 173/DWM/24_x000a_zawarta do dnia 2026.11.14"/>
    <s v="Bankowe Biuro Podróży TravelBank sp. z o.o."/>
    <s v="-"/>
    <s v="zangażowano środki w kwocie ogółem 20.000 zł "/>
    <x v="0"/>
  </r>
  <r>
    <x v="0"/>
    <x v="0"/>
    <x v="11"/>
    <n v="4410"/>
    <s v="n/d"/>
    <s v="D3"/>
    <s v="WB27.BP.PF"/>
    <s v="MC"/>
    <s v="4"/>
    <s v="0"/>
    <s v="2025.22.01.01.01."/>
    <s v="2025.22.01."/>
    <s v="Usługa rezerwacji i dostarczania biletów lotniczych i kolejowych na zagraniczne i krajowe przewozy pasażerskie oraz dodatkowe usługi powiązane na potrzeby całego MC"/>
    <s v="Usługa rezerwacji i dostarczania biletów lotniczych i kolejowych na krajowe przewozy pasażerskie oraz dodatkowe usługi powiązane na potrzeby całego MC."/>
    <n v="50"/>
    <m/>
    <n v="20"/>
    <n v="0"/>
    <n v="0"/>
    <n v="0"/>
    <s v="-"/>
    <s v="-"/>
    <s v="-"/>
    <m/>
    <x v="0"/>
  </r>
  <r>
    <x v="0"/>
    <x v="0"/>
    <x v="11"/>
    <n v="4420"/>
    <s v="n/d"/>
    <s v="D3"/>
    <s v="WB27.BP.PF"/>
    <s v="MC"/>
    <s v="4"/>
    <s v="0"/>
    <s v="2025.06.03.01.01."/>
    <s v="2025.06.03."/>
    <s v="Usługa rezerwacji i dostarczania biletów lotniczych i kolejowych na zagraniczne i krajowe przewozy pasażerskie oraz dodatkowe usługi powiązane na potrzeby całego MC - postępowaine COAR"/>
    <s v="Usługa rezerwacji i dostarczania biletów lotniczych i kolejowych na zagraniczne i krajowe przewozy pasażerskie oraz dodatkowe usługi powiązane na potrzeby całego MC - postępowaine COAR"/>
    <n v="200"/>
    <m/>
    <n v="200"/>
    <n v="150"/>
    <n v="0"/>
    <n v="0"/>
    <s v="-"/>
    <s v="-"/>
    <s v="-"/>
    <m/>
    <x v="0"/>
  </r>
  <r>
    <x v="0"/>
    <x v="0"/>
    <x v="11"/>
    <n v="4420"/>
    <s v="n/d"/>
    <s v="D3"/>
    <s v="WB27.BP.PF"/>
    <s v="MC"/>
    <s v="4"/>
    <s v="0"/>
    <s v="2025.16.01.02.01."/>
    <s v="2025.16.01."/>
    <s v="Usługa rezerwacji i dostarczania biletów lotniczych i kolejowych na zagraniczne i krajowe przewozy pasażerskie oraz dodatkowe usługi powiązane na potrzeby całego MC - postępowaine COAR"/>
    <s v="Usługa rezerwacji i dostarczania biletów lotniczych i kolejowych na zagraniczne i krajowe przewozy pasażerskie oraz dodatkowe usługi powiązane na potrzeby całego MC - postępowaine COAR"/>
    <n v="50"/>
    <m/>
    <n v="49"/>
    <n v="32"/>
    <n v="0"/>
    <n v="0"/>
    <s v="-"/>
    <s v="-"/>
    <s v="-"/>
    <m/>
    <x v="0"/>
  </r>
  <r>
    <x v="0"/>
    <x v="0"/>
    <x v="11"/>
    <n v="4420"/>
    <s v="n/d"/>
    <s v="D3"/>
    <s v="WB27.BP.PF"/>
    <s v="MC"/>
    <s v="4"/>
    <s v="0"/>
    <s v="2025.16.05.02.01."/>
    <s v="2025.16.05."/>
    <s v="Usługa rezerwacji i dostarczania biletów lotniczych i kolejowych na zagraniczne i krajowe przewozy pasażerskie oraz dodatkowe usługi powiązane na potrzeby całego MC - postępowaine COAR"/>
    <s v="Usługa rezerwacji i dostarczania biletów lotniczych i kolejowych na zagraniczne i krajowe przewozy pasażerskie oraz dodatkowe usługi powiązane na potrzeby całego MC - postępowaine COAR"/>
    <n v="30"/>
    <m/>
    <n v="30"/>
    <n v="20"/>
    <n v="0"/>
    <n v="0"/>
    <s v="-"/>
    <s v="-"/>
    <s v="-"/>
    <m/>
    <x v="0"/>
  </r>
  <r>
    <x v="0"/>
    <x v="0"/>
    <x v="11"/>
    <n v="4420"/>
    <s v="n/d"/>
    <s v="D3"/>
    <s v="WB27.BP.PF"/>
    <s v="MC"/>
    <s v="4"/>
    <s v="0"/>
    <s v="2025.16.05.02.02."/>
    <s v="2025.16.05."/>
    <s v="Usługa rezerwacji i dostarczania biletów lotniczych i kolejowych na zagraniczne i krajowe przewozy pasażerskie oraz dodatkowe usługi powiązane na potrzeby całego MC - postępowaine COAR"/>
    <s v="Usługa rezerwacji i dostarczania biletów lotniczych i kolejowych na zagraniczne i krajowe przewozy pasażerskie oraz dodatkowe usługi powiązane na potrzeby całego MC - postępowaine COAR"/>
    <n v="1250"/>
    <m/>
    <n v="1254"/>
    <n v="650"/>
    <n v="0"/>
    <n v="0"/>
    <s v="wniosek 102/DWM/25_x000a_termin obowiązywania umowy będzie - 24 m-ce od daty zawarcia Umowy"/>
    <s v="-"/>
    <s v="-"/>
    <s v="W 2027 roku zaangażowano środki w kwocie 1.050.000 zł"/>
    <x v="0"/>
  </r>
  <r>
    <x v="0"/>
    <x v="0"/>
    <x v="11"/>
    <n v="4420"/>
    <s v="n/d"/>
    <s v="D3"/>
    <s v="WB27.BP.PF"/>
    <s v="MC"/>
    <s v="4"/>
    <s v="0"/>
    <s v="2025.16.05.03.02."/>
    <s v="2025.16.05."/>
    <s v="Usługa rezerwacji i dostarczania biletów lotniczych i kolejowych na zagraniczne i krajowe przewozy pasażerskie oraz dodatkowe usługi powiązane na potrzeby całego MC - postępowaine COAR"/>
    <s v="Usługa rezerwacji i dostarczania biletów lotniczych i kolejowych na zagraniczne i krajowe przewozy pasażerskie oraz dodatkowe usługi powiązane na potrzeby całego MC - postępowaine COAR"/>
    <n v="300"/>
    <m/>
    <n v="300"/>
    <n v="301"/>
    <n v="0"/>
    <n v="0"/>
    <s v="wniosek 102/DWM/25_x000a_termin obowiązywania umowy będzie - 24 m-ce od daty zawarcia Umowy"/>
    <s v="-"/>
    <s v="-"/>
    <s v="W 2026 roku zaangażowano środki w kwocie 1.330.000 zł, w 2027 roku - 120.000 zł "/>
    <x v="0"/>
  </r>
  <r>
    <x v="0"/>
    <x v="0"/>
    <x v="11"/>
    <n v="4420"/>
    <s v="n/d"/>
    <s v="D3"/>
    <s v="WB27.BP.PF"/>
    <s v="MC"/>
    <s v="4"/>
    <s v="0"/>
    <s v="2025.22.01.01.01."/>
    <s v="2025.22.01."/>
    <s v="Usługa rezerwacji i dostarczania biletów lotniczych i kolejowych na zagraniczne i krajowe przewozy pasażerskie oraz dodatkowe usługi powiązane na potrzeby całego MC - postępowaine COAR"/>
    <s v="Usługa rezerwacji i dostarczania biletów lotniczych i kolejowych na zagraniczne i krajowe przewozy pasażerskie oraz dodatkowe usługi powiązane na potrzeby całego MC - postępowaine COAR"/>
    <n v="10"/>
    <m/>
    <n v="10"/>
    <n v="4"/>
    <n v="0"/>
    <n v="0"/>
    <s v="wniosek 102/DWM/25_x000a_termin obowiązywania umowy będzie - 24 m-ce od daty zawarcia Umowy"/>
    <s v="-"/>
    <s v="-"/>
    <s v="W 2026 roku zaangażowano środki w kwocie ogółem 120.000 zł, w 2027 roku - 120.000 zł "/>
    <x v="0"/>
  </r>
  <r>
    <x v="0"/>
    <x v="0"/>
    <x v="11"/>
    <n v="4420"/>
    <s v="n/d"/>
    <s v="D3"/>
    <s v="WB27.BP.PF"/>
    <s v="MC"/>
    <s v="4"/>
    <s v="0"/>
    <s v="2025.06.03.01.01."/>
    <s v="2025.06.03."/>
    <s v="Delegacje zagraniczne (środki na potrzeby sfinansowania innych wydatków niż w ramach umów biletowych (umowa 173/DWM/2024 oraz postęowania prowadzonego przez COAR)"/>
    <s v="Delegacje zagraniczne (środki na potrzeby sfinansowania innych wydatków niż w ramach umów biletowych (umowa 173/DWM/2024 oraz postęowania prowadzonego przez COAR)"/>
    <n v="350"/>
    <m/>
    <n v="370"/>
    <n v="500"/>
    <n v="600"/>
    <n v="600"/>
    <s v="-"/>
    <s v="-"/>
    <s v="-"/>
    <m/>
    <x v="0"/>
  </r>
  <r>
    <x v="0"/>
    <x v="0"/>
    <x v="11"/>
    <n v="4420"/>
    <s v="n/d"/>
    <s v="D3"/>
    <s v="WB27.BP.PF"/>
    <s v="MC"/>
    <s v="4"/>
    <s v="0"/>
    <s v="2025.16.01.02.01."/>
    <s v="2025.16.01."/>
    <s v="Delegacje zagraniczne (środki na potrzeby sfinansowania innych wydatków niż w ramach umów biletowych (umowa 173/DWM/2024 oraz postęowania prowadzonego przez COAR)"/>
    <s v="Delegacje zagraniczne (środki na potrzeby sfinansowania innych wydatków niż w ramach umów biletowych (umowa 173/DWM/2024 oraz postęowania prowadzonego przez COAR)"/>
    <n v="60"/>
    <m/>
    <n v="65"/>
    <n v="98"/>
    <n v="130"/>
    <n v="130"/>
    <s v="-"/>
    <s v="-"/>
    <s v="-"/>
    <m/>
    <x v="0"/>
  </r>
  <r>
    <x v="0"/>
    <x v="0"/>
    <x v="11"/>
    <n v="4420"/>
    <s v="n/d"/>
    <s v="D3"/>
    <s v="WB27.BP.PF"/>
    <s v="MC"/>
    <s v="4"/>
    <s v="0"/>
    <s v="2025.16.05.02.01."/>
    <s v="2025.16.05."/>
    <s v="Delegacje zagraniczne (środki na potrzeby sfinansowania innych wydatków niż w ramach umów biletowych (umowa 173/DWM/2024 oraz postęowania prowadzonego przez COAR)"/>
    <s v="Delegacje zagraniczne (środki na potrzeby sfinansowania innych wydatków niż w ramach umów biletowych (umowa 173/DWM/2024 oraz postęowania prowadzonego przez COAR)"/>
    <n v="40"/>
    <m/>
    <n v="40"/>
    <n v="60"/>
    <n v="80"/>
    <n v="80"/>
    <s v="-"/>
    <s v="-"/>
    <s v="-"/>
    <m/>
    <x v="0"/>
  </r>
  <r>
    <x v="0"/>
    <x v="0"/>
    <x v="11"/>
    <n v="4420"/>
    <s v="n/d"/>
    <s v="D3"/>
    <s v="WB27.BP.PF"/>
    <s v="MC"/>
    <s v="4"/>
    <s v="0"/>
    <s v="2025.16.05.02.02."/>
    <s v="2025.16.05."/>
    <s v="Delegacje zagraniczne (środki na potrzeby sfinansowania innych wydatków niż w ramach umów biletowych (umowa 173/DWM/2024 oraz postęowania prowadzonego przez COAR)"/>
    <s v="Delegacje zagraniczne (środki na potrzeby sfinansowania innych wydatków niż w ramach umów biletowych (umowa 173/DWM/2024 oraz postęowania prowadzonego przez COAR)"/>
    <n v="1216"/>
    <m/>
    <n v="1232"/>
    <n v="1873"/>
    <n v="2530"/>
    <n v="2485"/>
    <s v="-"/>
    <s v="-"/>
    <s v="-"/>
    <m/>
    <x v="0"/>
  </r>
  <r>
    <x v="0"/>
    <x v="0"/>
    <x v="11"/>
    <n v="4420"/>
    <s v="n/d"/>
    <s v="D3"/>
    <s v="WB27.BP.PF"/>
    <s v="MC"/>
    <s v="4"/>
    <s v="0"/>
    <s v="2025.16.05.03.02."/>
    <s v="2025.16.05."/>
    <s v="Delegacje zagraniczne (środki na potrzeby sfinansowania innych wydatków niż w ramach umów biletowych (umowa 173/DWM/2024 oraz postęowania prowadzonego przez COAR)"/>
    <s v="Delegacje zagraniczne (środki na potrzeby sfinansowania innych wydatków niż w ramach umów biletowych (umowa 173/DWM/2024 oraz postęowania prowadzonego przez COAR)"/>
    <n v="600"/>
    <m/>
    <n v="600"/>
    <n v="806"/>
    <n v="1150"/>
    <n v="1195"/>
    <s v="-"/>
    <s v="-"/>
    <s v="-"/>
    <m/>
    <x v="0"/>
  </r>
  <r>
    <x v="0"/>
    <x v="0"/>
    <x v="11"/>
    <n v="4420"/>
    <s v="n/d"/>
    <s v="D3"/>
    <s v="WB27.BP.PF"/>
    <s v="MC"/>
    <s v="4"/>
    <s v="0"/>
    <s v="2025.22.01.01.01."/>
    <s v="2025.22.01."/>
    <s v="Delegacje zagraniczne (środki na potrzeby sfinansowania innych wydatków niż w ramach umów biletowych (umowa 173/DWM/2024 oraz postęowania prowadzonego przez COAR)"/>
    <s v="Delegacje zagraniczne (środki na potrzeby sfinansowania innych wydatków niż w ramach umów biletowych (umowa 173/DWM/2024 oraz postęowania prowadzonego przez COAR)"/>
    <n v="20"/>
    <m/>
    <n v="20"/>
    <n v="6"/>
    <n v="10"/>
    <n v="10"/>
    <s v="-"/>
    <s v="-"/>
    <s v="-"/>
    <m/>
    <x v="0"/>
  </r>
  <r>
    <x v="0"/>
    <x v="0"/>
    <x v="11"/>
    <n v="4420"/>
    <s v="n/d"/>
    <s v="D3"/>
    <s v="WB27.BP.PF"/>
    <s v="MC"/>
    <s v="4"/>
    <s v="0"/>
    <s v="2025.16.05.02.01."/>
    <s v="2025.16.05."/>
    <s v="Usługa korzystania z saloników VIP oraz inne dodatkowe usługi ułatwiające odprawę w portach lotniczych na terytorium RP na potrzeby MC"/>
    <s v="Usługa korzystania z saloników VIP oraz inne dodatkowe usługi ułatwiające odprawę w portach lotniczych na terytorium RP na potrzeby MC"/>
    <n v="15"/>
    <m/>
    <n v="8"/>
    <n v="8"/>
    <n v="8"/>
    <n v="8"/>
    <s v="-"/>
    <s v="-"/>
    <s v="-"/>
    <m/>
    <x v="0"/>
  </r>
  <r>
    <x v="0"/>
    <x v="0"/>
    <x v="11"/>
    <n v="4420"/>
    <s v="n/d"/>
    <s v="D3"/>
    <s v="WB27.BP.PF"/>
    <s v="MC"/>
    <s v="4"/>
    <s v="0"/>
    <s v="2025.16.05.02.02."/>
    <s v="2025.16.05."/>
    <s v="Koszty związane z ew. wykorzystaniem specjalnego transportu lotniczego"/>
    <s v="Koszty związane z ew. wykorzystaniem &quot;rządoweg/specjalnego transportu lotniczego&quot; na potrzeby delegacji zagranicznych"/>
    <n v="80"/>
    <m/>
    <n v="200"/>
    <n v="150"/>
    <n v="150"/>
    <n v="150"/>
    <s v="-"/>
    <s v="-"/>
    <s v="-"/>
    <s v="Przepisy i umowy odrębne"/>
    <x v="0"/>
  </r>
  <r>
    <x v="0"/>
    <x v="0"/>
    <x v="11"/>
    <n v="4000"/>
    <s v="n/d"/>
    <s v="D3"/>
    <s v="WB27.BP.PF"/>
    <s v="MC"/>
    <s v="4"/>
    <s v="0"/>
    <s v="2025.16.01.02.01."/>
    <s v="2025.16.01."/>
    <s v="Usługa tłumaczeń pisemnych i ustnych oraz weryfikacja tłumaczeń specjalistycznych pisemnych na potrzeby MC"/>
    <s v="Usługa tłumaczeń specjalistycznych pisemnych i ustnych oraz weryfikacja tłumaczeń specjalistycznych pisemnych na potrzeby MC"/>
    <n v="40"/>
    <m/>
    <n v="60"/>
    <n v="60"/>
    <n v="60"/>
    <n v="60"/>
    <s v="-"/>
    <s v="-"/>
    <s v="-"/>
    <s v="W związku z rozbierznościami dotyczącymi potrzeb oraz danymi historycznymi DWM nie podjął jeszcze ostatecznej decyzji o trybie przeprowadzenia postępowania."/>
    <x v="0"/>
  </r>
  <r>
    <x v="0"/>
    <x v="0"/>
    <x v="11"/>
    <n v="4000"/>
    <s v="n/d"/>
    <s v="D3"/>
    <s v="WB27.BP.PF"/>
    <s v="MC"/>
    <s v="4"/>
    <s v="0"/>
    <s v="2025.16.05.02.01."/>
    <s v="2025.16.05."/>
    <s v="Usługa tłumaczeń pisemnych i ustnych oraz weryfikacja tłumaczeń specjalistycznych pisemnych na potrzeby MC"/>
    <s v="Usługa tłumaczeń pisemnych i ustnych oraz weryfikacja tłumaczeń specjalistycznych pisemnych na potrzeby MC"/>
    <n v="5"/>
    <m/>
    <n v="6"/>
    <n v="8"/>
    <n v="3"/>
    <n v="1"/>
    <s v="-"/>
    <s v="-"/>
    <s v="-"/>
    <s v="W związku z rozbierznościami dotyczącymi potrzeb oraz danymi historycznymi DWM nie podjął jeszcze ostatecznej decyzji o trybie przeprowadzenia postępowania."/>
    <x v="0"/>
  </r>
  <r>
    <x v="0"/>
    <x v="0"/>
    <x v="11"/>
    <n v="4000"/>
    <s v="n/d"/>
    <s v="D3"/>
    <s v="WB27.BP.PF"/>
    <s v="MC"/>
    <s v="4"/>
    <s v="0"/>
    <s v="2025.16.05.02.02."/>
    <s v="2025.16.05."/>
    <s v="Usługa tłumaczeń pisemnych i ustnych oraz weryfikacja tłumaczeń specjalistycznych pisemnych na potrzeby MC"/>
    <s v="Usługa tłumaczeń pisemnych i ustnych oraz weryfikacja tłumaczeń specjalistycznych pisemnych na potrzeby MC"/>
    <n v="225"/>
    <m/>
    <n v="271"/>
    <n v="162"/>
    <n v="271"/>
    <n v="244"/>
    <s v="-"/>
    <s v="-"/>
    <s v="-"/>
    <s v="W związku z rozbierznościami dotyczącymi potrzeb oraz danymi historycznymi DWM nie podjął jeszcze ostatecznej decyzji o trybie przeprowadzenia postępowania."/>
    <x v="0"/>
  </r>
  <r>
    <x v="0"/>
    <x v="0"/>
    <x v="11"/>
    <n v="4000"/>
    <s v="n/d"/>
    <s v="D3"/>
    <s v="WB27.BP.PF"/>
    <s v="MC"/>
    <s v="4"/>
    <s v="0"/>
    <s v="2025.16.05.03.02."/>
    <s v="2025.16.05."/>
    <s v="Usługa tłumaczeń pisemnych i ustnych oraz weryfikacja tłumaczeń specjalistycznych pisemnych na potrzeby MC"/>
    <s v="Usługa tłumaczeń pisemnych i ustnych oraz weryfikacja tłumaczeń specjalistycznych pisemnych na potrzeby MC"/>
    <n v="10"/>
    <m/>
    <n v="15"/>
    <n v="15"/>
    <n v="16"/>
    <n v="16"/>
    <s v="-"/>
    <s v="-"/>
    <s v="-"/>
    <s v="W związku z rozbierznościami dotyczącymi potrzeb oraz danymi historycznymi DWM nie podjął jeszcze ostatecznej decyzji o trybie przeprowadzenia postępowania."/>
    <x v="0"/>
  </r>
  <r>
    <x v="0"/>
    <x v="0"/>
    <x v="11"/>
    <n v="4000"/>
    <s v="n/d"/>
    <s v="D3"/>
    <s v="WB27.BP.PF"/>
    <s v="MC"/>
    <s v="4"/>
    <s v="0"/>
    <s v="2025.22.01.01.01."/>
    <s v="2025.22.01."/>
    <s v="Usługa tłumaczeń pisemnych i ustnych oraz weryfikacja tłumaczeń specjalistycznych pisemnych na potrzeby MC"/>
    <s v="Usługa tłumaczeń pisemnych i ustnych oraz weryfikacja tłumaczeń specjalistycznych pisemnych na potrzeby MC"/>
    <n v="20"/>
    <m/>
    <n v="41"/>
    <n v="1"/>
    <n v="1"/>
    <n v="1"/>
    <s v="-"/>
    <s v="-"/>
    <s v="-"/>
    <s v="W związku z rozbierznościami dotyczącymi potrzeb oraz danymi historycznymi DWM nie podjął jeszcze ostatecznej decyzji o trybie przeprowadzenia postępowania."/>
    <x v="0"/>
  </r>
  <r>
    <x v="0"/>
    <x v="0"/>
    <x v="11"/>
    <n v="4000"/>
    <s v="n/d"/>
    <s v="D3"/>
    <s v="WB27.BP.PF"/>
    <s v="MC"/>
    <s v="4"/>
    <s v="0"/>
    <s v="2025.16.05.02.02."/>
    <s v="2025.16.05."/>
    <s v="Organizacja krajowej edycji konferencji Forum Zarządzania Internetem IGF POLSKA 2026 i 2027"/>
    <s v="Organizacja krajowej edycji konferencji Forum Zarządzania Internetem IGF POLSKA 2026 i 2027"/>
    <n v="400"/>
    <m/>
    <n v="400"/>
    <n v="400"/>
    <n v="0"/>
    <n v="0"/>
    <s v="-"/>
    <s v="-"/>
    <s v="-"/>
    <m/>
    <x v="0"/>
  </r>
  <r>
    <x v="0"/>
    <x v="0"/>
    <x v="11"/>
    <n v="4000"/>
    <s v="n/d"/>
    <s v="D3"/>
    <s v="WB27.BP.PF"/>
    <s v="MC"/>
    <s v="4"/>
    <s v="0"/>
    <s v="2025.16.05.02.02."/>
    <s v="2025.16.05."/>
    <s v="Koszty związane z organizacją spotkań, konferencji i wydarzeń z udziałem delegacji zagranicznych państw trzecich i kierownictwa MC"/>
    <s v="Koszty związane z organizacją spotkań, konferencji i wydarzeń z udziałem delegacji zagranicznych państw trzecich i kierownictwa MC"/>
    <n v="1400"/>
    <m/>
    <n v="250"/>
    <n v="250"/>
    <n v="250"/>
    <n v="250"/>
    <s v="-"/>
    <s v="-"/>
    <s v="-"/>
    <s v="W zależności od potrzeb umowa, wniosek, porozumienie, ew. inne"/>
    <x v="0"/>
  </r>
  <r>
    <x v="0"/>
    <x v="0"/>
    <x v="11"/>
    <n v="4420"/>
    <s v="n/d"/>
    <s v="D3"/>
    <s v="WB27.BP.PF"/>
    <s v="MC"/>
    <s v="4"/>
    <s v="0"/>
    <s v="2025.22.01.01.01."/>
    <s v="2025.22.01."/>
    <s v="Ubezpieczenie podróżne podczas zagranicznych podróży służbowych"/>
    <s v="Ubezpieczenie podróżne podczas zagranicznych podróży służbowych"/>
    <m/>
    <m/>
    <n v="20"/>
    <n v="20"/>
    <n v="20"/>
    <n v="20"/>
    <s v="-"/>
    <s v="-"/>
    <s v="-"/>
    <s v="W zależności od potrzeb umowa, wniosek, porozumienie, ew. inne"/>
    <x v="0"/>
  </r>
  <r>
    <x v="0"/>
    <x v="0"/>
    <x v="11"/>
    <m/>
    <m/>
    <m/>
    <m/>
    <m/>
    <m/>
    <m/>
    <m/>
    <m/>
    <m/>
    <s v="Pozostała kwota w limicie wydatków na 2025 rok"/>
    <n v="1063"/>
    <m/>
    <m/>
    <m/>
    <m/>
    <m/>
    <m/>
    <m/>
    <m/>
    <m/>
    <x v="1"/>
  </r>
  <r>
    <x v="0"/>
    <x v="0"/>
    <x v="11"/>
    <m/>
    <m/>
    <m/>
    <m/>
    <m/>
    <m/>
    <m/>
    <m/>
    <m/>
    <m/>
    <s v="OGÓŁEM DWM"/>
    <n v="7764"/>
    <n v="1636"/>
    <n v="5791"/>
    <n v="5574"/>
    <n v="5279"/>
    <n v="5250"/>
    <m/>
    <m/>
    <m/>
    <m/>
    <x v="1"/>
  </r>
  <r>
    <x v="0"/>
    <x v="0"/>
    <x v="12"/>
    <n v="4010"/>
    <s v="PW.NM.WYN"/>
    <s v="D3"/>
    <s v="WB27.BP.PF"/>
    <s v="MC"/>
    <s v="4"/>
    <s v="0"/>
    <s v="2025.22.01.01.01."/>
    <s v="2025.22.01."/>
    <s v="Wynagrodzenia osobowe pracowników_pracownicy nie objęci mnożnikiem MC"/>
    <s v="Wynagrodzenia osobowe pracowników_pracownicy nie objęci mnożnikiem MC"/>
    <n v="7116"/>
    <m/>
    <n v="7329"/>
    <n v="7329"/>
    <n v="7329"/>
    <n v="7329"/>
    <s v="-"/>
    <s v="-"/>
    <s v="-"/>
    <m/>
    <x v="0"/>
  </r>
  <r>
    <x v="0"/>
    <x v="0"/>
    <x v="12"/>
    <n v="4010"/>
    <s v="PW.R.WYN"/>
    <s v="D3"/>
    <s v="WB27.BP.PF"/>
    <s v="MC"/>
    <s v="4"/>
    <s v="0"/>
    <s v="2025.22.01.01.01."/>
    <s v="2025.22.01."/>
    <s v="Osoby zajmujące kierownicze stanowiska &quot;R&quot;"/>
    <s v="Osoby zajmujące kierownicze stanowiska &quot;R&quot;"/>
    <n v="946"/>
    <m/>
    <n v="974"/>
    <n v="974"/>
    <n v="974"/>
    <n v="974"/>
    <s v="-"/>
    <s v="-"/>
    <s v="-"/>
    <m/>
    <x v="0"/>
  </r>
  <r>
    <x v="0"/>
    <x v="0"/>
    <x v="12"/>
    <n v="4020"/>
    <s v="PW.KSC.WYN"/>
    <s v="D3"/>
    <s v="WB27.BP.PF"/>
    <s v="MC"/>
    <s v="4"/>
    <s v="0"/>
    <s v="2025.22.01.01.01."/>
    <s v="2025.22.01."/>
    <s v="Wynagrodzenia osobowe członków korpusu służby cywilnej"/>
    <s v="Wynagrodzenia osobowe członków korpusu służby cywilnej"/>
    <n v="75938"/>
    <m/>
    <n v="78216"/>
    <n v="78216"/>
    <n v="78216"/>
    <n v="78216"/>
    <s v="-"/>
    <s v="-"/>
    <s v="-"/>
    <m/>
    <x v="0"/>
  </r>
  <r>
    <x v="0"/>
    <x v="0"/>
    <x v="12"/>
    <n v="4040"/>
    <s v="PW.NM.DWR"/>
    <s v="D3"/>
    <s v="WB27.BP.PF"/>
    <s v="MC"/>
    <s v="4"/>
    <s v="0"/>
    <s v="2025.22.01.01.01."/>
    <s v="2025.22.01."/>
    <s v="Dodatkowe wynagrodzenie roczne_ pracownicy nie objęci mnożnikiem"/>
    <s v="Dodatkowe wynagrodzenie roczne_ pracownicy nie objęci mnożnikiem"/>
    <n v="576"/>
    <m/>
    <n v="605"/>
    <n v="623"/>
    <n v="623"/>
    <n v="622.995"/>
    <s v="-"/>
    <s v="-"/>
    <s v="-"/>
    <s v="SPOSÓB WYLICZENIA na 2026 rok: (UB na 2025 r. x 8,5%) + (SML na Prezydencję x 8,5%)"/>
    <x v="0"/>
  </r>
  <r>
    <x v="0"/>
    <x v="0"/>
    <x v="12"/>
    <n v="4040"/>
    <s v="PW.KSC.DWR"/>
    <s v="D3"/>
    <s v="WB27.BP.PF"/>
    <s v="MC"/>
    <s v="4"/>
    <s v="0"/>
    <s v="2025.22.01.01.01."/>
    <s v="2025.22.01."/>
    <s v="Dodatkowe wynagrodzenie roczne_korpus służby cywilnej"/>
    <s v="Dodatkowe wynagrodzenie roczne_korpus służby cywilnej"/>
    <n v="5183"/>
    <m/>
    <n v="6455"/>
    <n v="6648"/>
    <n v="6648"/>
    <n v="6648"/>
    <s v="-"/>
    <s v="-"/>
    <s v="-"/>
    <s v="SPOSÓB WYLICZENIA na 2026 rok: (UB na 2025 r. x 8,5%) + (SML na Prezydencję x 8,5%)"/>
    <x v="0"/>
  </r>
  <r>
    <x v="0"/>
    <x v="0"/>
    <x v="12"/>
    <n v="4050"/>
    <s v="PW.Ż.WYN"/>
    <s v="D3"/>
    <s v="WB27.BP.PF"/>
    <s v="MC"/>
    <s v="4"/>
    <s v="0"/>
    <s v="2025.22.01.01.01."/>
    <s v="2025.22.01."/>
    <s v="Uposażenia żołnierzy zawodowych /funkcjonariuszy"/>
    <s v="Uposażenia żołnierzy zawodowych /funkcjonariuszy"/>
    <n v="907"/>
    <m/>
    <n v="934"/>
    <n v="934"/>
    <n v="934"/>
    <n v="934"/>
    <s v="-"/>
    <s v="-"/>
    <s v="-"/>
    <m/>
    <x v="0"/>
  </r>
  <r>
    <x v="0"/>
    <x v="0"/>
    <x v="12"/>
    <n v="4070"/>
    <s v="PW.Ż.DWR"/>
    <s v="D3"/>
    <s v="WB27.BP.PF"/>
    <s v="MC"/>
    <s v="4"/>
    <s v="0"/>
    <s v="2025.22.01.01.01."/>
    <s v="2025.22.01."/>
    <s v="Dodatkowe uposażenie roczne dla żołnierzy zawodowych/Nagrody roczne dla funkcjonariuszy"/>
    <s v="Dodatkowe uposażenie roczne dla żołnierzy zawodowych/Nagrody roczne dla funkcjonariuszy"/>
    <n v="72"/>
    <m/>
    <n v="76.00333333333333"/>
    <n v="78"/>
    <n v="78"/>
    <n v="78"/>
    <s v="-"/>
    <s v="-"/>
    <s v="-"/>
    <s v="SPOSÓB WYLICZENIA: ((§ 4050 UB na 2025 r./12) i ujmujemy 1/12"/>
    <x v="0"/>
  </r>
  <r>
    <x v="0"/>
    <x v="0"/>
    <x v="12"/>
    <n v="4110"/>
    <s v="n/d"/>
    <s v="D3"/>
    <s v="WB27.BP.PF"/>
    <s v="MC"/>
    <s v="4"/>
    <s v="0"/>
    <s v="2025.22.01.01.01."/>
    <s v="2025.22.01."/>
    <s v="Składki na ubezpieczenia społeczne_ MC"/>
    <s v="Składki na ubezpieczenia społeczne_ MC"/>
    <n v="15428"/>
    <m/>
    <n v="16086.108400000001"/>
    <n v="16123"/>
    <n v="16123"/>
    <n v="16123"/>
    <s v="-"/>
    <s v="-"/>
    <s v="-"/>
    <s v="SPOSÓB WYLICZENIA: (§ 4010+§ 4020+§ 4040) x 17,19% "/>
    <x v="0"/>
  </r>
  <r>
    <x v="0"/>
    <x v="0"/>
    <x v="12"/>
    <n v="4120"/>
    <s v="n/d"/>
    <s v="D3"/>
    <s v="WB27.BP.PF"/>
    <s v="MC"/>
    <s v="4"/>
    <s v="0"/>
    <s v="2025.22.01.01.01."/>
    <s v="2025.22.01."/>
    <s v="Składki na Fundusz Pracy oraz Fundusz Solidarnościowy"/>
    <s v="Składki na Fundusz Pracy oraz Fundusz Solidarnościowy"/>
    <n v="2199"/>
    <m/>
    <n v="2293.1655000000001"/>
    <n v="2298.0050000000001"/>
    <n v="2298.0050000000001"/>
    <n v="2298.0048775"/>
    <s v="-"/>
    <s v="-"/>
    <s v="-"/>
    <s v="SPOSÓB WYLICZENIA: (§ 4010+§ 4020+§ 4040) x 2,45% "/>
    <x v="0"/>
  </r>
  <r>
    <x v="0"/>
    <x v="0"/>
    <x v="12"/>
    <n v="4180"/>
    <s v="n/d"/>
    <s v="D3"/>
    <s v="WB27.BP.PF"/>
    <s v="MC"/>
    <s v="4"/>
    <s v="0"/>
    <s v="2025.22.01.01.01."/>
    <s v="2025.22.01."/>
    <s v="Równoważniki pieniężne i ekwiwalenty dla żołnierzy i funkcjonariuszy oraz pozostałe należności"/>
    <s v="Równoważniki pieniężne i ekwiwalenty dla żołnierzy i funkcjonariuszy oraz pozostałe należności_x000a_Paragraf ten obejmuje ekwiwalenty i równoważniki pieniężne niezaliczone do paragrafu 307, a w szczególności: ekwiwalenty i równoważniki pieniężne otrzymane w zamian za umundurowanie, wyżywienie, środki higieny wypłacane żołnierzom i funkcjonariuszom, a także pozostałe należności żołnierzy zawodowych i funkcjonariuszy, świadczenie motywacyjne, świadczenie za długoletnią służbę oraz zapomogi przyznawane weteranom-żołnierzom lub weteranom poszkodowanym-żołnierzom"/>
    <m/>
    <m/>
    <n v="50"/>
    <n v="50"/>
    <n v="50"/>
    <n v="50"/>
    <s v="-"/>
    <s v="-"/>
    <s v="-"/>
    <m/>
    <x v="0"/>
  </r>
  <r>
    <x v="0"/>
    <x v="0"/>
    <x v="12"/>
    <n v="3070"/>
    <s v="n/d"/>
    <s v="D3"/>
    <s v="WB27.BP.PF"/>
    <s v="MC"/>
    <n v="3"/>
    <s v="0"/>
    <s v="2025.22.01.01.01."/>
    <s v="2025.22.01."/>
    <s v="Wydatki osobowe niezaliczone do uposażeń wypłacane żołnierzom i funkcjonariuszom"/>
    <s v="Paragraf ten obejmuje:_x000a_- uposażenia, nagrody i zapomogi, inne należności wypłacane żołnierzom niezawodowym, funkcjonariuszom w służbie kandydackiej oraz zapomogi dla byłych żołnierzy niezawodowych,_x000a_- ustawowe należności dla żołnierzy i funkcjonariuszy, między innymi takie jak: równoważniki, zasiłki i inne świadczenia na cele mieszkaniowe, należności z tytułu przeniesienia (m. in. mieszkaniowe i za rozłąkę), świadczenia socjalne (m.in. gratyfikacje urlopowe, dopłaty do wypoczynku, należności za przejazd na urlop), należności za służby dyżurne, należności pośmiertne (m.in. zasiłki, odprawy)"/>
    <m/>
    <m/>
    <n v="20"/>
    <n v="20"/>
    <n v="20"/>
    <n v="20"/>
    <s v="-"/>
    <s v="-"/>
    <s v="-"/>
    <m/>
    <x v="0"/>
  </r>
  <r>
    <x v="0"/>
    <x v="0"/>
    <x v="12"/>
    <n v="4610"/>
    <s v="n/d"/>
    <s v="D3"/>
    <s v="WB27.BP.PF"/>
    <s v="MC"/>
    <s v="4"/>
    <s v="0"/>
    <s v="2025.22.01.01.01."/>
    <s v="2025.22.01."/>
    <s v="Opłaty sądowe"/>
    <s v="Opłaty sądowe"/>
    <n v="1"/>
    <m/>
    <n v="1"/>
    <n v="1"/>
    <n v="1"/>
    <n v="1"/>
    <s v="-"/>
    <s v="-"/>
    <s v="-"/>
    <m/>
    <x v="0"/>
  </r>
  <r>
    <x v="0"/>
    <x v="0"/>
    <x v="12"/>
    <n v="4710"/>
    <s v="n/d"/>
    <s v="D3"/>
    <s v="WB27.BP.PF"/>
    <s v="MC"/>
    <s v="4"/>
    <s v="0"/>
    <s v="2025.22.01.01.01."/>
    <s v="2025.22.01."/>
    <s v="Wpłaty na PPK finansowane przez podmiot zatrudniający"/>
    <s v="Wpłaty na PPK finansowane przez podmiot zatrudniający"/>
    <n v="959"/>
    <m/>
    <n v="1403.8751"/>
    <n v="1407.0001"/>
    <n v="1407.0001"/>
    <n v="1407.0000250000001"/>
    <s v="-"/>
    <s v="-"/>
    <s v="-"/>
    <s v="SPOSÓB WYLICZENIA: (§ 4010+§ 4020+§ 4040) x 1,5% "/>
    <x v="0"/>
  </r>
  <r>
    <x v="0"/>
    <x v="0"/>
    <x v="12"/>
    <n v="4170"/>
    <s v="n/d"/>
    <s v="D3"/>
    <s v="WB27.BP.PF"/>
    <s v="MC"/>
    <s v="4"/>
    <s v="0"/>
    <s v="2025.22.01.01.01."/>
    <s v="2025.22.01."/>
    <s v="Wynagrodzenia bezosobowe"/>
    <s v="Wynagrodzenia bezosobowe"/>
    <n v="100"/>
    <m/>
    <n v="50"/>
    <n v="50"/>
    <n v="50"/>
    <n v="50"/>
    <s v="-"/>
    <s v="-"/>
    <s v="-"/>
    <m/>
    <x v="0"/>
  </r>
  <r>
    <x v="0"/>
    <x v="0"/>
    <x v="12"/>
    <n v="4440"/>
    <s v="n/d"/>
    <s v="D3"/>
    <s v="WB27.BP.PF"/>
    <s v="MC"/>
    <s v="4"/>
    <s v="0"/>
    <s v="2025.22.01.01.01."/>
    <s v="2025.22.01."/>
    <s v="Odpisy na zakładowy fundusz świadczeń socjalnych"/>
    <s v="Odpisy na zakładowy fundusz świadczeń socjalnych"/>
    <n v="1300"/>
    <m/>
    <n v="1300"/>
    <n v="1300"/>
    <n v="1300"/>
    <n v="1300"/>
    <s v="-"/>
    <s v="-"/>
    <s v="-"/>
    <m/>
    <x v="0"/>
  </r>
  <r>
    <x v="0"/>
    <x v="0"/>
    <x v="12"/>
    <n v="4000"/>
    <s v="n/d"/>
    <s v="D3"/>
    <s v="WB27.BP.PF"/>
    <s v="MC"/>
    <s v="4"/>
    <s v="0"/>
    <s v="2025.22.01.01.01."/>
    <s v="2025.22.01."/>
    <s v="Zakup literatury fachowej"/>
    <s v="Zakup literatury fachowej"/>
    <n v="4"/>
    <m/>
    <n v="4"/>
    <n v="4"/>
    <n v="4"/>
    <n v="4"/>
    <s v="-"/>
    <s v="-"/>
    <s v="-"/>
    <m/>
    <x v="0"/>
  </r>
  <r>
    <x v="0"/>
    <x v="0"/>
    <x v="12"/>
    <n v="4000"/>
    <s v="n/d"/>
    <s v="D3"/>
    <s v="WB27.BP.PF"/>
    <s v="MC"/>
    <s v="4"/>
    <s v="0"/>
    <s v="2025.22.01.01.01."/>
    <s v="2025.22.01."/>
    <s v="Dostęp do systemu finansowo-księgowego"/>
    <s v="Usługi utrzymania i Wsparcia technicznego Systemu, robotyzacja procesów BBF UiPath 4000 "/>
    <n v="3028"/>
    <m/>
    <n v="1460"/>
    <n v="1460"/>
    <n v="1460"/>
    <n v="1460"/>
    <s v="umowa 451/BBF/24_x000a_zawarta do dnia 2025.12.31"/>
    <s v="QNT Systemy Informatyczne sp. z o.o."/>
    <s v="-"/>
    <s v="zaangażowano środki w kwocie 89.268,48 zł"/>
    <x v="0"/>
  </r>
  <r>
    <x v="0"/>
    <x v="0"/>
    <x v="12"/>
    <m/>
    <m/>
    <m/>
    <m/>
    <m/>
    <m/>
    <m/>
    <m/>
    <m/>
    <m/>
    <s v="OGÓŁEM BBF"/>
    <n v="113757"/>
    <n v="49025"/>
    <n v="117257.15233333333"/>
    <n v="117515.00510000001"/>
    <n v="117515.00510000001"/>
    <n v="117514.9999025"/>
    <m/>
    <m/>
    <m/>
    <m/>
    <x v="1"/>
  </r>
  <r>
    <x v="0"/>
    <x v="0"/>
    <x v="13"/>
    <n v="2830"/>
    <s v="n/d"/>
    <s v="D1"/>
    <s v="DGW27.BP.PF"/>
    <s v="MC"/>
    <s v="2"/>
    <s v="0"/>
    <s v="2025.16.05.01.02."/>
    <s v="2025.16.05."/>
    <s v="Utrzymanie i rozwój Systemu Inwentaryzacji Systemów Teleinformatycznych (SIST) i przeprowadzenie dwóch inwentaryzacji"/>
    <s v="Rozwój i utrzymanie Systemu Inwentaryzacji Systemów Teleinformatycznych (SIST) i przeprowadzenie do dwóch inwentaryzacji (dalej zwane także: Zadaniem). Rozwój: Rozbudowa formularzy zbierających dane na potrzeby MC, usuwanie lub dodawanie pól do formularzy, implementacja list słownikowych kompatybilnych z Repozytorium AIP, budowa API na potrzeby komunikacji między systemami, poprawa wydajności systemu SIST, rozbudowa słowników instytucji zgodnie z UoI, wdrożenie funkcji walidacji implementowanych słowników. Działania poinwentaryzacyjne zgodne z harmonogramem prowadzone przez wydzielony w zespół opiekunów IŁ. Dane zbierane dzięki formularzom ankietowym zamieszczonym w SIST służą bezpośrednio Ministrowi Cyfryzacji do wsparcia procesów planistycznych oraz założeń programowych Wspólnej Infrastruktury Informatycznej Państwa i Architektury Informacyjnej Państwa. Wyniki Inwentaryzacji SIST są źródłem aktualnej informacji o systemach, rejestrach, które prowadzone są przez administrację publiczną."/>
    <n v="1000"/>
    <m/>
    <n v="1230"/>
    <n v="1260"/>
    <n v="1290"/>
    <n v="1320"/>
    <s v="-"/>
    <s v="IŁ-PIB"/>
    <s v="art. 150 w zw. z art. 127 ust. 1 pkt 1 ustawy z dnia 27 sierpnia 2009 r. o finansach publicznych (Dz. U. 2024 r. poz. 1530, z późn. zm.) oraz art. 21 ust. 6 oraz art. 22 pkt 2 ustawy z dnia 30 kwietnia 2010 r. o instytutach badawczych (Dz. U. 2024 r. poz. 534)"/>
    <s v="Aktualnie obowiązująca umowa. Planowane jest zawarcie umów na kolejne lata."/>
    <x v="0"/>
  </r>
  <r>
    <x v="0"/>
    <x v="0"/>
    <x v="13"/>
    <n v="2830"/>
    <s v="n/d"/>
    <s v="D1"/>
    <s v="DGW27.BP.PF"/>
    <s v="MC"/>
    <s v="2"/>
    <s v="0"/>
    <s v="2025.16.05.01.02."/>
    <s v="2025.16.05."/>
    <s v="Utrzymanie i rozwój Systemu Inwentaryzacji Systemów Teleinformatycznych dla JST (SIST JST)"/>
    <s v="Utrzymanie i rozwój Systemu Inwentaryzacji Systemów Teleinformatycznych dla jednostek samorządu terytorilanego (SIST JST) służącego inwentaryzacji zasobów JST niezbędnych w celu realizacji zadań związanych z powszechnym wdrażaniem Architektury Informacyjnej Samorządów_x000a_W ramach prac zostaną wykonane: _x000a_- utrzymanie systemu majace na celu zapewnienie ciągłości bezawaryjnego i efektywnego użytkowania systemu przez ich użytkowników, utrzymanie parametrów systemu, w tym dotyczących wydajności i bezpieczeństwa oraz zapewnienia wsparcia użytkownika w procesie jego  użytkowania_x000a_- modyfikacje istniejących i tworzenie nowych funkcjonalności zapewniających kompleksowość obsługi procesu inwentaryzacji i wsparcia wdrożenia Architektury Informacyjnej Samorządów,_x000a_- stabilizacja systemu."/>
    <m/>
    <m/>
    <n v="1000"/>
    <n v="1000"/>
    <n v="2000"/>
    <n v="2000"/>
    <s v="-"/>
    <s v="IŁ-PIB"/>
    <s v="art. 150 w zw. z art. 127 ust. 1 pkt 1 ustawy z dnia 27 sierpnia 2009 r. o finansach publicznych (Dz. U. 2024 r. poz. 1530, z późn. zm.) oraz art. 21 ust. 6 oraz art. 22 pkt 2 ustawy z dnia 30 kwietnia 2010 r. o instytutach badawczych (Dz. U. 2024 r. poz. 534)"/>
    <m/>
    <x v="0"/>
  </r>
  <r>
    <x v="0"/>
    <x v="0"/>
    <x v="13"/>
    <n v="4000"/>
    <s v="n/d"/>
    <s v="D3"/>
    <s v="WB27.BP.PF"/>
    <s v="MC"/>
    <s v="4"/>
    <s v="0"/>
    <s v="2025.16.05.01.02."/>
    <s v="2025.16.05."/>
    <s v="Aris - odnowienie wsparcia technicznego dla systemu modelowania architektury ARIS, usługi utrzymania, zapewnienie wsparcia ekspertów do konsultracji w zakresie funkcjonalności "/>
    <s v="Oprogramowanie wspierajace zbieranie informacji o infrastrukturze informatycznej kraju, umożliwiające przygotowanie planów optymalizacyjnych. Ponadto dostarcza dane do analiz w zakresie infrastruktury informatycznej. Długofalowym efektem będzie rozwój Architektury Informacyjnej Państwa adaptującej się do zmieniających ról poszczególnych organów państwowych."/>
    <n v="239"/>
    <m/>
    <n v="600"/>
    <n v="660"/>
    <n v="720"/>
    <n v="780"/>
    <s v="umowa 82/DPiS/24_x000a_zawarta do dnia 2026.02.15"/>
    <s v="Ateris S.A."/>
    <s v="-"/>
    <s v="zaangażowano środki w kwocie 59.567,80 zł_x000a_Aktualnie obowiązująca umowa. Planowane jest zawarcie umów na kolejne lata."/>
    <x v="0"/>
  </r>
  <r>
    <x v="0"/>
    <x v="0"/>
    <x v="13"/>
    <n v="4000"/>
    <s v="n/d"/>
    <s v="D3"/>
    <s v="WB27.BP.PF"/>
    <s v="MC"/>
    <s v="4"/>
    <s v="0"/>
    <s v="2025.16.05.01.02."/>
    <s v="2025.16.05."/>
    <s v="Świadczenie specjalistycznych usług z zakresu IT "/>
    <s v="BL AIP - opracowanie koncepcji rozwiązań architektonicznych, współpracą z jednostkami administracji publicznej w zakresie opracowania architektury informacyjnej danej jednostki, prowadzeniem spraw związanych z zapewnieniem interoperacyjności systemów teleinformatycznych podmiotów publicznych oraz trzymaniem repozytorium AIP niezbędne jest wsparcie eksperckie architektów oraz analityków systemowych.  _x000a_Zgodnie z nowym zarządzeniem dot. KRMC wszystkie projekty informatyczne będą miały obowiązek konsultacji z AIP. "/>
    <n v="1123"/>
    <m/>
    <n v="1054"/>
    <n v="0"/>
    <n v="0"/>
    <n v="0"/>
    <s v="umowa 94/MC_DPiS MC/24_x000a_zawarta do dnia 2026.09.19"/>
    <s v="Transition Technologies-Software sp. z o.o. "/>
    <s v="-"/>
    <s v="zaangażowano środki w kwocie 1.053.999,84 zł"/>
    <x v="0"/>
  </r>
  <r>
    <x v="0"/>
    <x v="0"/>
    <x v="13"/>
    <n v="2830"/>
    <s v="n/d"/>
    <s v="D1"/>
    <s v="DGW27.BP.PF"/>
    <s v="MC"/>
    <s v="2"/>
    <s v="0"/>
    <s v="2025.16.05.01.02."/>
    <s v="2025.16.05."/>
    <s v="Utrzymanie i rozwój Architektury Informacyjnej Państwa"/>
    <s v="Celem realizacji zadania jest kontynuacja działań związanych z poprawą bezpieczeństwa państwa oraz wsparcie zadań zintegrowanej informatyzacji poprzez uzyskanie ładu architektonicznego w administracji państwowej w obrębie rozwiązań teleinformatycznych zorientowanych na świadczenie usług na rzecz społeczeństwa oraz zapewniających funkcjonowanie administracji. Zadania te nie zostały powierzone i nie są realizowane przez żaden inny organ państwa ani jednostkę organizacyjną Ministerstwa. Prace nad AIP wpisują się w strategiczną inicjatywę Unii Europejskiej dot. zapewnienia interoperacyjności publicznych usług elektronicznych na obszarze UE, której wdrożenie w Polsce wspiera Minister Cyfryzacji. Przy realizacji zadania uwzględnione zostaną wytyczne w tym zakresie wypracowane w ramach programu ISA (Interoperability Solutions for Administration), w tym przede wszystkim architektura referencyjna EIRA (European Interoperability Reference Architecture)."/>
    <n v="1401"/>
    <m/>
    <n v="5487"/>
    <n v="6035"/>
    <n v="6600"/>
    <n v="7200"/>
    <s v="-"/>
    <s v="NASK-PIB"/>
    <s v="art. 37 ust. 1 i 2 ustawy z dnia 30 kwietnia 2010 r. o instytutach badawczych (Dz. U. z 2022 r. poz. 498, z późn. zm.) w zw. z art. 150 ustawy z dnia 27 sierpnia 2009 r. o finansach publicznych (Dz. U. z 2023 r. poz. 1270, z późn. zm.)"/>
    <s v="Aktualnie obowiązująca umowa. "/>
    <x v="0"/>
  </r>
  <r>
    <x v="0"/>
    <x v="0"/>
    <x v="13"/>
    <n v="2830"/>
    <s v="n/d"/>
    <s v="D1"/>
    <s v="DGW27.BP.PF"/>
    <s v="MC"/>
    <s v="2"/>
    <s v="0"/>
    <s v="2025.16.05.01.02."/>
    <s v="2025.16.05."/>
    <s v="Dotacja na realizację zadania European Digital Infrastructure Consortium "/>
    <s v="Dotacja na zadania związane z realizacją EDIC. EDIC jest instrumentem dla państw członkowskich umożliwiającym osiągnięcie ogólnych celów w ramach program „Droga ku cyfrowej dekadzie” do 2030 r. w celu przyspieszenia i uproszczenia tworzenia i realizacji projektów wielokrajowych. EDIC realizuje projekt wielokrajowy, wdrażając wspólną infrastrukturę, świadcząc usługi i łącząc podmioty publiczne, podmioty prywatne, użytkowników końcowych i przemysł, zgodnie z wolą państw. "/>
    <n v="1932"/>
    <m/>
    <n v="1932"/>
    <n v="1932"/>
    <n v="1932"/>
    <n v="1932"/>
    <s v="-"/>
    <s v="NASK-PIB"/>
    <s v="art. 37 ust. 1 i 2 ustawy z dnia 30 kwietnia 2010 r. o instytutach badawczych (Dz. U. z 2022 r. poz. 498, z późn. zm.) w zw. z art. 150 ustawy z dnia 27 sierpnia 2009 r. o finansach publicznych (Dz. U. z 2023 r. poz. 1270, z późn. zm.)"/>
    <m/>
    <x v="0"/>
  </r>
  <r>
    <x v="0"/>
    <x v="0"/>
    <x v="13"/>
    <n v="4690"/>
    <s v="n/d"/>
    <s v="D3"/>
    <s v="WB27.BP.PF"/>
    <s v="MC"/>
    <s v="4"/>
    <s v="0"/>
    <s v="2025.16.05.01.02."/>
    <s v="2025.16.05."/>
    <s v="składka członkowska: European Digital Infrastructure Consortium "/>
    <s v="Składka członkowska w organizacji. EDIC jest instrumentem dla państw członkowskich umożliwiającym osiągnięcie ogólnych celów w ramach program „Droga ku cyfrowej dekadzie” do 2030 r. w celu przyspieszenia i uproszczenia tworzenia i realizacji projektów wielokrajowych. EDIC realizuje projekt wielokrajowy, wdrażając wspólną infrastrukturę, świadcząc usługi i łącząc podmioty publiczne, podmioty prywatne, użytkowników końcowych i przemysł, zgodnie z wolą państw."/>
    <n v="158"/>
    <m/>
    <n v="150"/>
    <n v="150"/>
    <n v="150"/>
    <n v="150"/>
    <s v="-"/>
    <s v="-"/>
    <s v="-"/>
    <m/>
    <x v="0"/>
  </r>
  <r>
    <x v="0"/>
    <x v="0"/>
    <x v="13"/>
    <n v="6230"/>
    <s v="n/d"/>
    <s v="D1"/>
    <s v="DGW27.BP.PF"/>
    <s v="MC"/>
    <s v="6"/>
    <s v="0"/>
    <s v="2025.16.05.01.02."/>
    <s v="2025.16.05."/>
    <s v="Rozwój systemu MonAliZa 2.0"/>
    <s v="Prace rozwojowe systemu MonAliZa 2.0 w zakresie wsparcia monitorowania i zarządzania projektami, programami i portfelami w celu realizacji nowych potrzeb użytkowników i dostosowania do zmieniających się uwarunkowań lub otoczenia._x000a_W ramach prac zostaną wykonane: _x000a_- modyfikacje istniejących i tworzenie nowych funkcjonalności zapewniających kompleksowość monitorowania i zarządzania projektami, programami i portfelami,_x000a_- stabilizacja systemu."/>
    <n v="2671"/>
    <m/>
    <n v="3500"/>
    <n v="2000"/>
    <n v="2000"/>
    <n v="2000"/>
    <s v="-"/>
    <s v="IŁ-PIB"/>
    <s v="art. 150 w zw. z art. 127 ust. 1 pkt 1 ustawy z dnia 27 sierpnia 2009 r. o finansach publicznych (Dz. U. 2024 r. poz. 1530, z późn. zm.) oraz art. 21 ust. 6 oraz art. 22 pkt 2 ustawy z dnia 30 kwietnia 2010 r. o instytutach badawczych (Dz. U. 2024 r. poz. 534)"/>
    <m/>
    <x v="0"/>
  </r>
  <r>
    <x v="0"/>
    <x v="0"/>
    <x v="13"/>
    <n v="2830"/>
    <s v="n/d"/>
    <s v="D1"/>
    <s v="DGW27.BP.PF"/>
    <s v="MC"/>
    <s v="2"/>
    <s v="0"/>
    <s v="2025.16.05.01.02."/>
    <s v="2025.16.05."/>
    <s v="Utrzymanie systemu Monaliza 2.0 "/>
    <s v="Utrzymanie i &quot;mały&quot; rozwój (nieobejmujący zmiany lub rozbudowy funckjonalności) modułów systemu MonAliZa 2.0 monitorowania i zarządzania projektami, programami i portfelami mającego na celu zapewnienie ciągłości bezawaryjnego i efektywnego użytkowania systemu przez ich użytkowników, utrzymanie parametrów systemu, w tym dotyczących wydajności i bezpieczeństwa oraz zapewnienia wsparcia użytkownika w procesie jego  użytkowania"/>
    <n v="1000"/>
    <m/>
    <n v="1500"/>
    <n v="1500"/>
    <n v="1500"/>
    <n v="1500"/>
    <s v="-"/>
    <s v="IŁ-PIB"/>
    <s v="art. 150 w zw. z art. 127 ust. 1 pkt 1 ustawy z dnia 27 sierpnia 2009 r. o finansach publicznych (Dz. U. 2024 r. poz. 1530, z późn. zm.) oraz art. 21 ust. 6 oraz art. 22 pkt 2 ustawy z dnia 30 kwietnia 2010 r. o instytutach badawczych (Dz. U. 2024 r. poz. 534)"/>
    <m/>
    <x v="0"/>
  </r>
  <r>
    <x v="0"/>
    <x v="0"/>
    <x v="13"/>
    <n v="4000"/>
    <s v="n/d"/>
    <s v="D3"/>
    <s v="WB27.BP.PF"/>
    <s v="MC"/>
    <s v="4"/>
    <s v="0"/>
    <s v="2025.16.05.01.02."/>
    <s v="2025.16.05."/>
    <s v="Rozwój systemu MonAliZa 2.0 "/>
    <s v="Prace rozwojowe systemu MonAliZa 2.0 w zakresie wsparcia monitorowania i zarządzania projektami, programami i portfelami zw celu realizacji nowych potrzeb użytkowników i dostosowania do zmieniających się uwarunkowań lub otoczenia._x000a_W ramach prac zostaną wykonane: _x000a_- opracowanie koncepcji, założen oraz dokumentacji dla modyfikacji istniejących i tworzenia nowych funkcjonalności zapewniających kompleksowość monitorowania i zarządzania projektami, programami i portfelami."/>
    <n v="800"/>
    <m/>
    <n v="1000"/>
    <n v="400"/>
    <n v="0"/>
    <n v="0"/>
    <s v="umowa 112/MC_DPiS MC/24_x000a_zawarta do dnia 2026.09.19."/>
    <s v="Britenet"/>
    <s v="-"/>
    <s v="zaangażowano środki w kwocie 1 mln zł"/>
    <x v="0"/>
  </r>
  <r>
    <x v="0"/>
    <x v="0"/>
    <x v="13"/>
    <n v="4170"/>
    <s v="n/d"/>
    <s v="D3"/>
    <s v="WB27.BP.PF"/>
    <s v="MC"/>
    <s v="4"/>
    <s v="0"/>
    <s v="2025.16.05.01.02."/>
    <s v="2025.16.05."/>
    <s v="Obsługa KRMC - eksperci"/>
    <s v="Zatrudnienie ekspertów w ramach działań związanych z obsługą KRMC - opiniowanie projektów  Komitetu Rady Ministrów do spraw Cyfryzacji"/>
    <n v="600"/>
    <m/>
    <n v="1000"/>
    <n v="1000"/>
    <n v="1000"/>
    <n v="1000"/>
    <s v="-"/>
    <s v="-"/>
    <s v="-"/>
    <m/>
    <x v="0"/>
  </r>
  <r>
    <x v="0"/>
    <x v="0"/>
    <x v="13"/>
    <n v="2830"/>
    <s v="n/d"/>
    <s v="D1"/>
    <s v="DGW27.BP.PF"/>
    <s v="MC"/>
    <s v="2"/>
    <s v="0"/>
    <s v="2025.16.05.01.02."/>
    <s v="2025.16.05."/>
    <s v="Rozwój systemu MonAliZa 2.0 "/>
    <s v="Testy (audyty) bezpieczeństwa systemu MonAliZa 2.0 obejmujące analizę statyczną kodu źródłowego systemu z wykorzystaniem narzędzi do analizy statyczne, testów podatności systemu oraz przeglądu i analizy wyników testów "/>
    <n v="550"/>
    <m/>
    <n v="0"/>
    <n v="550"/>
    <n v="0"/>
    <n v="550"/>
    <s v="-"/>
    <s v="NASK-PIB"/>
    <s v="art. 37 ust. 1 i 2 ustawy z dnia 30 kwietnia 2010 r. o instytutach badawczych (Dz. U. z 2022 r. poz. 498, z późn. zm.) w zw. z art. 150 ustawy z dnia 27 sierpnia 2009 r. o finansach publicznych (Dz. U. z 2023 r. poz. 1270, z późn. zm.)"/>
    <m/>
    <x v="0"/>
  </r>
  <r>
    <x v="0"/>
    <x v="0"/>
    <x v="13"/>
    <n v="4000"/>
    <s v="n/d"/>
    <s v="D3"/>
    <s v="WB27.BP.PF"/>
    <s v="MC"/>
    <s v="4"/>
    <s v="0"/>
    <s v="2025.16.05.01.02."/>
    <s v="2025.16.05."/>
    <s v="Współpraca z samorządami - budowa jednego punktu kontaktu PKJST"/>
    <s v="Opracowanie wymagań oraz wsparcie analityczne modyfikacji, uzupełnienia  portalu samorzad.gov.pl, pod kątem utworzenia jednego punktu kontaktu z JST w celu wsparcia koordynacji współpracy administracji rządowej z samorządową oraz wdrażania AIP w JST i jego utrzymanie"/>
    <n v="1200"/>
    <m/>
    <n v="912"/>
    <n v="800"/>
    <n v="800"/>
    <n v="800"/>
    <s v="umowa 112/MC_DPiS MC/24_x000a_zawarta do dnia 2026.09.19."/>
    <s v="Britenet"/>
    <s v="-"/>
    <s v="zaangażowano środki w kwocie 911.186,30 zł"/>
    <x v="0"/>
  </r>
  <r>
    <x v="0"/>
    <x v="0"/>
    <x v="13"/>
    <n v="6060"/>
    <s v="n/d"/>
    <s v="D3"/>
    <s v="WB27.BP.PF"/>
    <s v="MC"/>
    <s v="6"/>
    <s v="0"/>
    <s v="2025.16.05.01.02."/>
    <s v="2025.16.05."/>
    <s v="BUDOWA, MODERNIZACJA I ROZWÓJ INFRASTRUKTURY SYSTEMÓW, REJESTRÓW I EWIDENCJI PAŃSTWOWYCH: Rozwój serwisu samorząd.gov.pl"/>
    <s v="Prace rozwojowe serwisu samorzad.gov.pl w zakresie opracowania dokumnetacji systemowej oraz budowy lub modernizacji funkcjonalności serwisu, w tym dot. aktualności i newslettera, bazy wiedzy, help desk, zgodnie z oczekiwaniami administracji publicznej, w szczególności samorządowej. Serwis ma stanowić główne źródło informacji dla JST z zakresu działań realizowanych w ramach administracji publicznej w obszarze cyfryzacji"/>
    <m/>
    <m/>
    <n v="4000"/>
    <n v="2000"/>
    <n v="2000"/>
    <n v="2000"/>
    <s v="-"/>
    <s v="-"/>
    <s v="-"/>
    <s v="COI"/>
    <x v="0"/>
  </r>
  <r>
    <x v="0"/>
    <x v="0"/>
    <x v="13"/>
    <n v="4000"/>
    <s v="n/d"/>
    <s v="D3"/>
    <s v="WB27.BP.PF"/>
    <s v="MC"/>
    <s v="4"/>
    <s v="0"/>
    <s v="2025.16.05.01.02."/>
    <s v="2025.16.05."/>
    <s v="Obsługa KRMC "/>
    <s v="Obsluga posiedzeń Komitetu Rady Ministrów do spraw Cyfryzacji"/>
    <n v="80"/>
    <m/>
    <n v="20"/>
    <n v="20"/>
    <n v="20"/>
    <n v="20"/>
    <s v="-"/>
    <s v="-"/>
    <s v="-"/>
    <m/>
    <x v="0"/>
  </r>
  <r>
    <x v="0"/>
    <x v="0"/>
    <x v="13"/>
    <n v="4000"/>
    <s v="n/d"/>
    <s v="D3"/>
    <s v="WB27.BP.PF"/>
    <s v="MC"/>
    <s v="4"/>
    <s v="0"/>
    <s v="2025.16.05.01.02."/>
    <s v="2025.16.05."/>
    <s v="Utrzymanie systemu Monaliza 2.0 "/>
    <s v="Zakup certyfikatów bezpieczeństwa SSL EV zabezpieczających transmisję danych systemu MonALiZa 2.0"/>
    <n v="2"/>
    <m/>
    <n v="2"/>
    <n v="3"/>
    <n v="3"/>
    <n v="3"/>
    <s v="-"/>
    <s v="-"/>
    <s v="-"/>
    <m/>
    <x v="0"/>
  </r>
  <r>
    <x v="0"/>
    <x v="0"/>
    <x v="13"/>
    <n v="4000"/>
    <s v="n/d"/>
    <s v="D3"/>
    <s v="WB27.BP.PF"/>
    <s v="MC"/>
    <s v="4"/>
    <s v="0"/>
    <s v="2025.16.05.01.02."/>
    <s v="2025.16.05."/>
    <s v="Utrzymanie systemu Monaliza 2.0 "/>
    <s v="Zakup certyfikatów do podłączenia się do Węzła Krajowego (3 lata) systemu MonALiZa 2.0"/>
    <n v="2"/>
    <m/>
    <n v="2"/>
    <n v="0"/>
    <n v="0"/>
    <n v="3"/>
    <s v="-"/>
    <s v="-"/>
    <s v="-"/>
    <m/>
    <x v="0"/>
  </r>
  <r>
    <x v="0"/>
    <x v="0"/>
    <x v="13"/>
    <n v="4000"/>
    <s v="n/d"/>
    <s v="D3"/>
    <s v="WB27.BP.PF"/>
    <s v="MC"/>
    <s v="4"/>
    <s v="0"/>
    <s v="2025.16.05.01.02."/>
    <s v="2025.16.05."/>
    <s v="Współpraca z samorządami"/>
    <s v="Opracowanie i realizacja badań oraz doradztwo eksperckie dotyczącee zakresu i jakości procesów cyfryzacją administracji samorządowej"/>
    <n v="100"/>
    <m/>
    <n v="200"/>
    <n v="100"/>
    <n v="100"/>
    <n v="100"/>
    <s v="-"/>
    <s v="-"/>
    <s v="-"/>
    <m/>
    <x v="0"/>
  </r>
  <r>
    <x v="0"/>
    <x v="0"/>
    <x v="13"/>
    <n v="4000"/>
    <s v="n/d"/>
    <s v="D3"/>
    <s v="WB27.BP.PF"/>
    <s v="MC"/>
    <s v="4"/>
    <s v="0"/>
    <s v="2025.16.05.01.02."/>
    <s v="2025.16.05."/>
    <s v="Współpraca z samorządami"/>
    <s v="Organizacja konferencji, seminariów oraz spotkań w zakrsie koordynacji działań administracji rządowej z samrządową"/>
    <n v="300"/>
    <m/>
    <n v="300"/>
    <n v="300"/>
    <n v="300"/>
    <n v="300"/>
    <s v="-"/>
    <s v="-"/>
    <s v="-"/>
    <m/>
    <x v="0"/>
  </r>
  <r>
    <x v="0"/>
    <x v="0"/>
    <x v="13"/>
    <n v="2830"/>
    <s v="n/d"/>
    <s v="D1"/>
    <s v="DGW27.BP.PF"/>
    <s v="MC"/>
    <s v="2"/>
    <s v="0"/>
    <s v="2025.16.05.01.02."/>
    <s v="2025.16.05."/>
    <s v="Monitorowanie realizacji celów strategii cyfryzacji"/>
    <s v="W MC trwają prace nad nowym dokumentem starategicznym w obszarze cyfryzacji, po przyjęciu którego konieczne będzie monitorowanie stopnia realizacji założonych celów oraz efektywności wprowadzanych zmian."/>
    <n v="300"/>
    <m/>
    <n v="100"/>
    <n v="100"/>
    <n v="0"/>
    <n v="0"/>
    <s v="-"/>
    <s v="Polski Instytut Ekonomiczny"/>
    <s v="art.. 17 ust 2 lit. a ustawy z dnia z dnia 20 lipca 2018 r. o Polskim Instytucie Ekonomicznym (t.j. Dz.U.2024.1687)"/>
    <m/>
    <x v="0"/>
  </r>
  <r>
    <x v="0"/>
    <x v="0"/>
    <x v="13"/>
    <n v="4000"/>
    <s v="n/d"/>
    <s v="D3"/>
    <s v="WB27.BP.PF"/>
    <s v="MC"/>
    <s v="4"/>
    <s v="0"/>
    <s v="2025.16.05.01.02."/>
    <s v="2025.16.05."/>
    <s v="Ekspertyzy i analizy"/>
    <s v="Niezbędne jest zlecanie ekspertyz i analiz, które dostarczą danych będących podstawą do określania kierunków projektowania i zmian polityk publicznych. "/>
    <m/>
    <m/>
    <n v="200"/>
    <n v="200"/>
    <n v="200"/>
    <n v="200"/>
    <s v="-"/>
    <s v="-"/>
    <s v="-"/>
    <m/>
    <x v="0"/>
  </r>
  <r>
    <x v="0"/>
    <x v="0"/>
    <x v="13"/>
    <n v="4000"/>
    <s v="n/d"/>
    <s v="D3"/>
    <s v="WB27.BP.PF"/>
    <s v="MC"/>
    <s v="4"/>
    <s v="0"/>
    <s v="2025.16.05.01.02."/>
    <s v="2025.16.05."/>
    <s v="Badanie wpływu cyfryzacji na zmianę jakości życia"/>
    <s v="Na potrzeby przyszłej rewizji dokumentu strategicznego w obszarze cyfryzacji, niezbędne jest opracowanie i cykliczne przeprowadzanie badania mierzącego zmianę jakości życia dzięki działaniom podjętym w obszarze cyfryzacji."/>
    <m/>
    <m/>
    <n v="200"/>
    <n v="200"/>
    <n v="200"/>
    <n v="200"/>
    <s v="-"/>
    <s v="-"/>
    <s v="-"/>
    <m/>
    <x v="0"/>
  </r>
  <r>
    <x v="0"/>
    <x v="0"/>
    <x v="13"/>
    <n v="4000"/>
    <s v="n/d"/>
    <s v="D3"/>
    <s v="WB27.BP.PF"/>
    <s v="MC"/>
    <s v="4"/>
    <s v="0"/>
    <s v="2025.16.05.01.02."/>
    <s v="2025.16.05."/>
    <s v="Świadczenie specjalistycznych usług z zakresu IT  "/>
    <s v="Krajowa Platforma Udostępniania Danych. Przygotowanie dokumentacji przedprojektowej, opracowanie wymagań oraz wsparcie analityczne i zarządcze."/>
    <m/>
    <m/>
    <n v="1038"/>
    <n v="0"/>
    <n v="0"/>
    <n v="0"/>
    <s v="umowa 293/DPiS/24_x000a_zawarta do dnia 2026.12.31."/>
    <s v="Transition Technologies-Software sp. z o.o. z siedzibą w Warszawie"/>
    <m/>
    <s v="zaangażowano środki w kwocie 1.037.214,72 zł"/>
    <x v="0"/>
  </r>
  <r>
    <x v="0"/>
    <x v="0"/>
    <x v="13"/>
    <m/>
    <m/>
    <m/>
    <m/>
    <m/>
    <m/>
    <m/>
    <m/>
    <m/>
    <m/>
    <s v="Pozostała kwota w limicie wydatków na 2025 rok"/>
    <n v="205"/>
    <m/>
    <m/>
    <m/>
    <m/>
    <m/>
    <m/>
    <m/>
    <m/>
    <m/>
    <x v="1"/>
  </r>
  <r>
    <x v="0"/>
    <x v="0"/>
    <x v="13"/>
    <m/>
    <m/>
    <m/>
    <m/>
    <m/>
    <m/>
    <m/>
    <m/>
    <m/>
    <m/>
    <s v="OGÓŁEM DPiS"/>
    <n v="13663"/>
    <n v="5745"/>
    <n v="25427"/>
    <n v="20210"/>
    <n v="20815"/>
    <n v="22058"/>
    <m/>
    <m/>
    <m/>
    <m/>
    <x v="1"/>
  </r>
  <r>
    <x v="0"/>
    <x v="0"/>
    <x v="14"/>
    <n v="4000"/>
    <s v="n/d"/>
    <s v="D3"/>
    <s v="WB27.BP.PF"/>
    <s v="MC"/>
    <s v="4"/>
    <s v="0"/>
    <s v="2025.16.01.02.01."/>
    <s v="2025.16.01."/>
    <s v="Zapewnienie specjalistycznych usług z zakresu IT"/>
    <s v="Zapewnienie specjalistycznych usług z zakresu IT (Poza umową na relizację przez COI niektórych zadań Ministra Cyfrzacji)"/>
    <n v="4850"/>
    <m/>
    <n v="2000"/>
    <n v="0"/>
    <n v="0"/>
    <n v="0"/>
    <s v="-"/>
    <s v="-"/>
    <s v="-"/>
    <s v="Umowa obowiązuje do 2026 roku. Środki angażowane każdorazowo przed wypłaceniem zlecenia (1/DZS/COI/2023)"/>
    <x v="0"/>
  </r>
  <r>
    <x v="0"/>
    <x v="0"/>
    <x v="14"/>
    <n v="4000"/>
    <s v="n/d"/>
    <s v="D3"/>
    <s v="WB27.BP.PF"/>
    <s v="MC"/>
    <s v="4"/>
    <s v="0"/>
    <s v="2025.16.01.02.01."/>
    <s v="2025.16.01."/>
    <s v="Zadania biznesowe dotyczące Ambasady Danych"/>
    <s v="Zadania biznesowe dotyczące Ambasady Danych"/>
    <n v="646"/>
    <m/>
    <n v="498"/>
    <n v="543"/>
    <n v="592"/>
    <n v="646"/>
    <s v="-"/>
    <s v="-"/>
    <s v="-"/>
    <s v="Program Wieloletni"/>
    <x v="0"/>
  </r>
  <r>
    <x v="0"/>
    <x v="0"/>
    <x v="14"/>
    <n v="4000"/>
    <s v="n/d"/>
    <s v="D3"/>
    <s v="WB27.BP.PF"/>
    <s v="MC"/>
    <s v="4"/>
    <s v="0"/>
    <s v="2025.16.01.02.01."/>
    <s v="2025.16.01."/>
    <s v="Utrzymanie CC SPOC"/>
    <s v="Utrzymanie CC SPOC wraz z odsprzedażą"/>
    <n v="4477"/>
    <m/>
    <n v="13662"/>
    <n v="12491"/>
    <n v="14899"/>
    <n v="14870"/>
    <s v="-"/>
    <s v="-"/>
    <s v="-"/>
    <s v="Program Wieloletni"/>
    <x v="0"/>
  </r>
  <r>
    <x v="0"/>
    <x v="0"/>
    <x v="14"/>
    <n v="4000"/>
    <s v="n/d"/>
    <s v="D3"/>
    <s v="WB27.BP.PF"/>
    <s v="MC"/>
    <s v="4"/>
    <s v="0"/>
    <s v="2025.16.01.02.01."/>
    <s v="2025.16.01."/>
    <s v="Utrzymanie CRW"/>
    <s v="Utrzymanie CRW wraz z odsprzedażą"/>
    <n v="6268"/>
    <m/>
    <n v="5628"/>
    <n v="6204"/>
    <n v="7155"/>
    <n v="9908"/>
    <s v="-"/>
    <s v="-"/>
    <s v="-"/>
    <s v="Program Wieloletni"/>
    <x v="0"/>
  </r>
  <r>
    <x v="0"/>
    <x v="0"/>
    <x v="14"/>
    <n v="4000"/>
    <s v="n/d"/>
    <s v="D3"/>
    <s v="WB27.BP.PF"/>
    <s v="MC"/>
    <s v="4"/>
    <s v="0"/>
    <s v="2025.16.01.02.01."/>
    <s v="2025.16.01."/>
    <s v="Zadania biznesowe dotyczące CRW"/>
    <s v="Zadania biznesowe dotyczące CRW"/>
    <n v="1472"/>
    <m/>
    <n v="810"/>
    <n v="884"/>
    <n v="965"/>
    <n v="1053"/>
    <s v="-"/>
    <s v="-"/>
    <s v="-"/>
    <s v="Program Wieloletni"/>
    <x v="0"/>
  </r>
  <r>
    <x v="0"/>
    <x v="0"/>
    <x v="14"/>
    <n v="4000"/>
    <s v="n/d"/>
    <s v="D3"/>
    <s v="WB27.BP.PF"/>
    <s v="MC"/>
    <s v="4"/>
    <s v="0"/>
    <s v="2025.16.01.02.01."/>
    <s v="2025.16.01."/>
    <s v="mObywatel wersja web-Zadania biznesowe"/>
    <s v="mObywatel wersja web-Zadania biznesowe"/>
    <m/>
    <m/>
    <n v="2025"/>
    <n v="2320"/>
    <n v="2658"/>
    <n v="3044"/>
    <s v="-"/>
    <s v="-"/>
    <s v="-"/>
    <s v="Program Wieloletni"/>
    <x v="0"/>
  </r>
  <r>
    <x v="0"/>
    <x v="0"/>
    <x v="14"/>
    <n v="4000"/>
    <s v="n/d"/>
    <s v="D3"/>
    <s v="WB27.BP.PF"/>
    <s v="MC"/>
    <s v="4"/>
    <s v="0"/>
    <s v="2025.16.01.02.01."/>
    <s v="2025.16.01."/>
    <s v="Platforma System Zdalnej Pracy oraz Nauki-Zadania biznesowe"/>
    <s v="Platforma System Zdalnej Pracy oraz Nauki-Zadania biznesowe"/>
    <m/>
    <m/>
    <n v="554"/>
    <n v="604"/>
    <n v="659"/>
    <n v="719"/>
    <s v="-"/>
    <s v="-"/>
    <s v="-"/>
    <s v="Program Wieloletni"/>
    <x v="0"/>
  </r>
  <r>
    <x v="0"/>
    <x v="0"/>
    <x v="14"/>
    <n v="4000"/>
    <s v="n/d"/>
    <s v="D3"/>
    <s v="WB27.BP.PF"/>
    <s v="MC"/>
    <s v="4"/>
    <s v="0"/>
    <s v="2025.16.01.02.01."/>
    <s v="2025.16.01."/>
    <s v="Portal RP-Zadania biznesowe"/>
    <s v="Portal RP-Zadania biznesowe"/>
    <m/>
    <m/>
    <n v="8417"/>
    <n v="9366"/>
    <n v="10423"/>
    <n v="11599"/>
    <s v="-"/>
    <s v="-"/>
    <s v="-"/>
    <s v="Program Wieloletni"/>
    <x v="0"/>
  </r>
  <r>
    <x v="0"/>
    <x v="0"/>
    <x v="14"/>
    <n v="4000"/>
    <s v="n/d"/>
    <s v="D3"/>
    <s v="WB27.BP.PF"/>
    <s v="MC"/>
    <s v="4"/>
    <s v="0"/>
    <s v="2025.16.01.02.01."/>
    <s v="2025.16.01."/>
    <s v="ePUAP-Zadania biznesowe"/>
    <s v="ePUAP-Zadania biznesowe"/>
    <m/>
    <m/>
    <n v="3103"/>
    <n v="3386"/>
    <n v="3694"/>
    <n v="4030"/>
    <s v="-"/>
    <s v="-"/>
    <s v="-"/>
    <s v="Program Wieloletni"/>
    <x v="0"/>
  </r>
  <r>
    <x v="0"/>
    <x v="0"/>
    <x v="14"/>
    <n v="4000"/>
    <s v="n/d"/>
    <s v="D3"/>
    <s v="WB27.BP.PF"/>
    <s v="MC"/>
    <s v="4"/>
    <s v="0"/>
    <s v="2025.16.01.02.01."/>
    <s v="2025.16.01."/>
    <s v="Generator Formularzy-Zadania biznesowe"/>
    <s v="Generator Formularzy-Zadania biznesowe"/>
    <n v="1472"/>
    <m/>
    <n v="1403"/>
    <n v="1745"/>
    <n v="2189"/>
    <n v="2770"/>
    <s v="-"/>
    <s v="-"/>
    <s v="-"/>
    <s v="Program Wieloletni"/>
    <x v="0"/>
  </r>
  <r>
    <x v="0"/>
    <x v="0"/>
    <x v="14"/>
    <n v="4000"/>
    <s v="n/d"/>
    <s v="D3"/>
    <s v="WB27.BP.PF"/>
    <s v="MC"/>
    <s v="4"/>
    <s v="0"/>
    <s v="2025.16.01.02.01."/>
    <s v="2025.16.01."/>
    <s v="LSI-Zadania biznesowe"/>
    <s v="LSI-Zadania biznesowe"/>
    <m/>
    <m/>
    <n v="590"/>
    <n v="644"/>
    <n v="702"/>
    <n v="766"/>
    <s v="-"/>
    <s v="-"/>
    <s v="-"/>
    <s v="Program Wieloletni"/>
    <x v="0"/>
  </r>
  <r>
    <x v="0"/>
    <x v="0"/>
    <x v="14"/>
    <n v="4000"/>
    <s v="n/d"/>
    <s v="D3"/>
    <s v="WB27.BP.PF"/>
    <s v="MC"/>
    <s v="4"/>
    <s v="0"/>
    <s v="2025.16.01.02.01."/>
    <s v="2025.16.01."/>
    <s v="CC SPOC-Zadania biznesowe"/>
    <s v="CC SPOC-Zadania biznesowe"/>
    <m/>
    <m/>
    <n v="513"/>
    <n v="0"/>
    <n v="0"/>
    <n v="0"/>
    <s v="-"/>
    <s v="-"/>
    <s v="-"/>
    <s v="Program Wieloletni"/>
    <x v="0"/>
  </r>
  <r>
    <x v="0"/>
    <x v="0"/>
    <x v="14"/>
    <n v="4000"/>
    <s v="n/d"/>
    <s v="D3"/>
    <s v="WB27.BP.PF"/>
    <s v="MC"/>
    <s v="4"/>
    <s v="0"/>
    <s v="2025.16.01.02.01."/>
    <s v="2025.16.01."/>
    <s v="dane.gov.pl-Zadania biznesowe"/>
    <s v="dane.gov.pl-Zadania biznesowe"/>
    <m/>
    <m/>
    <n v="366"/>
    <n v="428"/>
    <n v="504"/>
    <n v="583"/>
    <s v="-"/>
    <s v="-"/>
    <s v="-"/>
    <s v="Program Wieloletni"/>
    <x v="0"/>
  </r>
  <r>
    <x v="0"/>
    <x v="0"/>
    <x v="14"/>
    <n v="4000"/>
    <s v="n/d"/>
    <s v="D3"/>
    <s v="WB27.BP.PF"/>
    <s v="MC"/>
    <s v="4"/>
    <s v="0"/>
    <s v="2025.16.01.02.01."/>
    <s v="2025.16.01."/>
    <s v="Elektroniczna Platforma Usług Cyfrowych – ePUC utrzymanie"/>
    <s v="Elektroniczna Platforma Usług Cyfrowych – ePUC utrzymanie"/>
    <m/>
    <m/>
    <n v="6890"/>
    <n v="7997"/>
    <n v="9324"/>
    <n v="11362"/>
    <s v="-"/>
    <s v="-"/>
    <s v="-"/>
    <s v="Program Wieloletni"/>
    <x v="0"/>
  </r>
  <r>
    <x v="0"/>
    <x v="0"/>
    <x v="14"/>
    <n v="4000"/>
    <s v="n/d"/>
    <s v="D3"/>
    <s v="WB27.BP.PF"/>
    <s v="MC"/>
    <s v="4"/>
    <s v="0"/>
    <s v="2025.16.01.02.01."/>
    <s v="2025.16.01."/>
    <s v="Landing Page – info.mobywatel.gov.pl utrzymanie"/>
    <s v="Landing Page – info.mobywatel.gov.pl utrzymanie"/>
    <m/>
    <m/>
    <n v="1419"/>
    <n v="1548"/>
    <n v="1689"/>
    <n v="1843"/>
    <s v="-"/>
    <s v="-"/>
    <s v="-"/>
    <s v="Program Wieloletni"/>
    <x v="0"/>
  </r>
  <r>
    <x v="0"/>
    <x v="0"/>
    <x v="14"/>
    <n v="4000"/>
    <s v="n/d"/>
    <s v="D3"/>
    <s v="WB27.BP.PF"/>
    <s v="MC"/>
    <s v="4"/>
    <s v="0"/>
    <s v="2025.16.01.02.01."/>
    <s v="2025.16.01."/>
    <s v="Platforma System Zdalnej Pracy oraz Nauki utrzymanie"/>
    <s v="Platforma System Zdalnej Pracy oraz Nauki utrzymanie"/>
    <m/>
    <m/>
    <n v="693"/>
    <n v="1143"/>
    <n v="1321"/>
    <n v="1436"/>
    <s v="-"/>
    <s v="-"/>
    <s v="-"/>
    <s v="Program Wieloletni"/>
    <x v="0"/>
  </r>
  <r>
    <x v="0"/>
    <x v="0"/>
    <x v="14"/>
    <n v="4000"/>
    <s v="n/d"/>
    <s v="D3"/>
    <s v="WB27.BP.PF"/>
    <s v="MC"/>
    <s v="4"/>
    <s v="0"/>
    <s v="2025.16.01.02.01."/>
    <s v="2025.16.01."/>
    <s v="ZIR i RID utrzymanie"/>
    <s v="ZIR i RID utrzymanie"/>
    <m/>
    <m/>
    <n v="78073"/>
    <n v="80917"/>
    <n v="74639"/>
    <n v="94848"/>
    <s v="1. umowa 231/C/DUC/23_x000a_2. umowa 1/DIT/U/COI/2016_x000a_zawarte do dnia 2025.12.31"/>
    <s v="COI"/>
    <s v="-"/>
    <s v="Program Wieloletni_x000a_1. zaangażowano środki w kwocie 20.261.555,64 zł _x000a_2. zaangażowano środki w kwocie 3.167.237,74 zł"/>
    <x v="0"/>
  </r>
  <r>
    <x v="0"/>
    <x v="0"/>
    <x v="14"/>
    <n v="4000"/>
    <s v="n/d"/>
    <s v="D3"/>
    <s v="WB27.BP.PF"/>
    <s v="MC"/>
    <s v="4"/>
    <s v="0"/>
    <s v="2025.16.01.02.01."/>
    <s v="2025.16.01."/>
    <s v="Prace utrzymaniowe dla dane.gov.pl"/>
    <s v="Prace utrzymaniowe dla dane.gov.pl wraz z odsprzedażą"/>
    <n v="4598"/>
    <m/>
    <n v="2654"/>
    <n v="3274"/>
    <n v="3565"/>
    <n v="3882"/>
    <s v="-"/>
    <s v="-"/>
    <s v="-"/>
    <s v="Program Wieloletni"/>
    <x v="0"/>
  </r>
  <r>
    <x v="0"/>
    <x v="0"/>
    <x v="14"/>
    <n v="4000"/>
    <s v="n/d"/>
    <s v="D3"/>
    <s v="WB27.BP.PF"/>
    <s v="MC"/>
    <s v="4"/>
    <s v="0"/>
    <s v="2025.16.01.02.01."/>
    <s v="2025.16.01."/>
    <s v="eDoręczenia udostępnianie/operacje"/>
    <s v="eDoręczenia udostępnianie/operacje"/>
    <n v="1130"/>
    <m/>
    <n v="2746"/>
    <n v="1383"/>
    <n v="1509"/>
    <n v="1646"/>
    <s v="-"/>
    <s v="-"/>
    <s v="-"/>
    <s v="Program Wieloletni"/>
    <x v="0"/>
  </r>
  <r>
    <x v="0"/>
    <x v="0"/>
    <x v="14"/>
    <n v="4000"/>
    <s v="n/d"/>
    <s v="D3"/>
    <s v="WB27.BP.PF"/>
    <s v="MC"/>
    <s v="4"/>
    <s v="0"/>
    <s v="2025.16.01.02.01."/>
    <s v="2025.16.01."/>
    <s v="Utrzymanie eDoręczenia"/>
    <s v="Utrzymanie eDoręczenia wraz z odsprzedażą"/>
    <n v="4911"/>
    <m/>
    <n v="8801"/>
    <n v="9534"/>
    <n v="10439"/>
    <n v="10978"/>
    <s v="-"/>
    <s v="-"/>
    <s v="-"/>
    <s v="Program Wieloletni"/>
    <x v="0"/>
  </r>
  <r>
    <x v="0"/>
    <x v="0"/>
    <x v="14"/>
    <n v="4000"/>
    <s v="n/d"/>
    <s v="D3"/>
    <s v="WB27.BP.PF"/>
    <s v="MC"/>
    <s v="4"/>
    <s v="0"/>
    <s v="2025.16.01.02.01."/>
    <s v="2025.16.01."/>
    <s v="Zadania biznesowe dotyczące eDoręczenia"/>
    <s v="Zadania biznesowe dotyczące eDoręczenia"/>
    <n v="4840"/>
    <m/>
    <n v="7125"/>
    <n v="7774"/>
    <n v="8481"/>
    <n v="9253"/>
    <s v="-"/>
    <s v="-"/>
    <s v="-"/>
    <s v="Program Wieloletni"/>
    <x v="0"/>
  </r>
  <r>
    <x v="0"/>
    <x v="0"/>
    <x v="14"/>
    <n v="4000"/>
    <s v="n/d"/>
    <s v="D3"/>
    <s v="WB27.BP.PF"/>
    <s v="MC"/>
    <s v="4"/>
    <s v="0"/>
    <s v="2025.16.01.02.01."/>
    <s v="2025.16.01."/>
    <s v="Utrzymanie eDziennik"/>
    <s v="Utrzymanie eDziennik"/>
    <n v="1333"/>
    <m/>
    <n v="960"/>
    <n v="1048"/>
    <n v="1143"/>
    <n v="1247"/>
    <s v="-"/>
    <s v="-"/>
    <s v="-"/>
    <s v="Program Wieloletni"/>
    <x v="0"/>
  </r>
  <r>
    <x v="0"/>
    <x v="0"/>
    <x v="14"/>
    <n v="4000"/>
    <s v="n/d"/>
    <s v="D3"/>
    <s v="WB27.BP.PF"/>
    <s v="MC"/>
    <s v="4"/>
    <s v="0"/>
    <s v="2025.16.01.02.01."/>
    <s v="2025.16.01."/>
    <s v="Zadania biznesowe dotyczące mObywatel.gov.pl"/>
    <s v="Zadania biznesowe dotyczące mObywatel.gov.pl"/>
    <m/>
    <m/>
    <n v="205"/>
    <n v="224"/>
    <n v="244"/>
    <n v="266"/>
    <s v="-"/>
    <s v="-"/>
    <s v="-"/>
    <s v="Program Wieloletni"/>
    <x v="0"/>
  </r>
  <r>
    <x v="0"/>
    <x v="0"/>
    <x v="14"/>
    <n v="4000"/>
    <s v="n/d"/>
    <s v="D3"/>
    <s v="WB27.BP.PF"/>
    <s v="MC"/>
    <s v="4"/>
    <s v="0"/>
    <s v="2025.16.01.02.01."/>
    <s v="2025.16.01."/>
    <s v="Zadania biznesowe dotyczące ePUC"/>
    <s v="Zadania biznesowe dotyczące ePUC"/>
    <m/>
    <m/>
    <n v="4794"/>
    <n v="5962"/>
    <n v="7481"/>
    <n v="9467"/>
    <s v="-"/>
    <s v="-"/>
    <s v="-"/>
    <s v="Program Wieloletni"/>
    <x v="0"/>
  </r>
  <r>
    <x v="0"/>
    <x v="0"/>
    <x v="14"/>
    <n v="4000"/>
    <s v="n/d"/>
    <s v="D3"/>
    <s v="WB27.BP.PF"/>
    <s v="MC"/>
    <s v="4"/>
    <s v="0"/>
    <s v="2025.16.01.02.01."/>
    <s v="2025.16.01."/>
    <s v="Zadania biznesowe dotyczące ePłatności"/>
    <s v="Zadania biznesowe dotyczące ePłatności"/>
    <m/>
    <m/>
    <n v="3591"/>
    <n v="3918"/>
    <n v="4885"/>
    <n v="5329"/>
    <s v="-"/>
    <s v="-"/>
    <s v="-"/>
    <s v="Program Wieloletni"/>
    <x v="0"/>
  </r>
  <r>
    <x v="0"/>
    <x v="0"/>
    <x v="14"/>
    <n v="4000"/>
    <s v="n/d"/>
    <s v="D3"/>
    <s v="WB27.BP.PF"/>
    <s v="MC"/>
    <s v="4"/>
    <s v="0"/>
    <s v="2025.16.01.02.01."/>
    <s v="2025.16.01."/>
    <s v="Generator formularze - utrzymanie"/>
    <s v="Generator formularze - utrzymanie"/>
    <n v="6440"/>
    <m/>
    <n v="2388"/>
    <n v="2606"/>
    <n v="2843"/>
    <n v="3164"/>
    <s v="-"/>
    <s v="-"/>
    <s v="-"/>
    <s v="Program Wieloletni"/>
    <x v="0"/>
  </r>
  <r>
    <x v="0"/>
    <x v="0"/>
    <x v="14"/>
    <n v="4000"/>
    <s v="n/d"/>
    <s v="D3"/>
    <s v="WB27.BP.PF"/>
    <s v="MC"/>
    <s v="4"/>
    <s v="0"/>
    <s v="2025.16.01.02.01."/>
    <s v="2025.16.01."/>
    <s v="ePUAP udostępnianie/operacje"/>
    <s v="ePUAP udostępnianie/operacje"/>
    <n v="586"/>
    <m/>
    <n v="1532"/>
    <n v="710"/>
    <n v="775"/>
    <n v="845"/>
    <s v="-"/>
    <s v="-"/>
    <s v="-"/>
    <s v="Program Wieloletni"/>
    <x v="0"/>
  </r>
  <r>
    <x v="0"/>
    <x v="0"/>
    <x v="14"/>
    <n v="4000"/>
    <s v="n/d"/>
    <s v="D3"/>
    <s v="WB27.BP.PF"/>
    <s v="MC"/>
    <s v="4"/>
    <s v="0"/>
    <s v="2025.16.01.02.01."/>
    <s v="2025.16.01."/>
    <s v="Utrzymanie ePUAP"/>
    <s v="Utrzymanie ePUAP wraz z odsprzedażą"/>
    <n v="7000"/>
    <m/>
    <n v="14643"/>
    <n v="15970"/>
    <n v="17416"/>
    <n v="19001"/>
    <s v="umowa 231/C/DUC/23_x000a_zawarta do dnia 2025.12.31"/>
    <s v="COI"/>
    <s v="-"/>
    <s v="Program Wieloletni_x000a_zaangażowano środki w kwocie 26.383,22 zł"/>
    <x v="0"/>
  </r>
  <r>
    <x v="0"/>
    <x v="0"/>
    <x v="14"/>
    <n v="4000"/>
    <s v="n/d"/>
    <s v="D3"/>
    <s v="WB27.BP.PF"/>
    <s v="MC"/>
    <s v="4"/>
    <s v="0"/>
    <s v="2025.16.01.02.01."/>
    <s v="2025.16.01."/>
    <s v="Utrzymanie KPP"/>
    <s v="Utrzymanie KPP"/>
    <m/>
    <m/>
    <n v="4571"/>
    <n v="4987"/>
    <n v="5440"/>
    <n v="9194"/>
    <s v="-"/>
    <s v="-"/>
    <s v="-"/>
    <s v="Program Wieloletni"/>
    <x v="0"/>
  </r>
  <r>
    <x v="0"/>
    <x v="0"/>
    <x v="14"/>
    <n v="4000"/>
    <s v="n/d"/>
    <s v="D3"/>
    <s v="WB27.BP.PF"/>
    <s v="MC"/>
    <s v="4"/>
    <s v="0"/>
    <s v="2025.16.01.02.01."/>
    <s v="2025.16.01."/>
    <s v="Zadania biznesowe dla KPP"/>
    <s v="Zadania biznesowe dla KPP"/>
    <n v="1213"/>
    <m/>
    <n v="2206"/>
    <n v="2407"/>
    <n v="2626"/>
    <n v="2864"/>
    <s v="-"/>
    <s v="-"/>
    <s v="-"/>
    <s v="Program Wieloletni"/>
    <x v="0"/>
  </r>
  <r>
    <x v="0"/>
    <x v="0"/>
    <x v="14"/>
    <n v="4000"/>
    <s v="n/d"/>
    <s v="D3"/>
    <s v="WB27.BP.PF"/>
    <s v="MC"/>
    <s v="4"/>
    <s v="0"/>
    <s v="2025.16.01.02.01."/>
    <s v="2025.16.01."/>
    <s v="Zadania biznesowe dotyczące Krajowego Centrum Przetwarzania Danych"/>
    <s v="Zadania biznesowe dotyczące Krajowego Centrum Przetwarzania Danych"/>
    <n v="1726"/>
    <m/>
    <n v="1170"/>
    <n v="1276"/>
    <n v="1392"/>
    <n v="1519"/>
    <s v="-"/>
    <s v="-"/>
    <s v="-"/>
    <s v="Program Wieloletni"/>
    <x v="0"/>
  </r>
  <r>
    <x v="0"/>
    <x v="0"/>
    <x v="14"/>
    <n v="4000"/>
    <s v="n/d"/>
    <s v="D3"/>
    <s v="WB27.BP.PF"/>
    <s v="MC"/>
    <s v="4"/>
    <s v="0"/>
    <s v="2025.16.01.02.01."/>
    <s v="2025.16.01."/>
    <s v="Utrzymanie Kronik@"/>
    <s v="Utrzymanie Kronik@ wraz z odsprzedażą"/>
    <n v="2182"/>
    <m/>
    <n v="1792"/>
    <n v="6568"/>
    <n v="6746"/>
    <n v="8231"/>
    <s v="-"/>
    <s v="-"/>
    <s v="-"/>
    <s v="Program Wieloletni"/>
    <x v="0"/>
  </r>
  <r>
    <x v="0"/>
    <x v="0"/>
    <x v="14"/>
    <n v="4000"/>
    <s v="n/d"/>
    <s v="D3"/>
    <s v="WB27.BP.PF"/>
    <s v="MC"/>
    <s v="4"/>
    <s v="0"/>
    <s v="2025.16.01.02.01."/>
    <s v="2025.16.01."/>
    <s v="LSI utrzymanie"/>
    <s v="LSI utrzymanie "/>
    <n v="3334"/>
    <m/>
    <n v="6762"/>
    <n v="7377"/>
    <n v="8048"/>
    <n v="8781"/>
    <s v="-"/>
    <s v="-"/>
    <s v="-"/>
    <s v="Program Wieloletni"/>
    <x v="0"/>
  </r>
  <r>
    <x v="0"/>
    <x v="0"/>
    <x v="14"/>
    <n v="4000"/>
    <s v="n/d"/>
    <s v="D3"/>
    <s v="WB27.BP.PF"/>
    <s v="MC"/>
    <s v="4"/>
    <s v="0"/>
    <s v="2025.16.01.02.01."/>
    <s v="2025.16.01."/>
    <s v="Działania biznesowe dotyczące Ekosystemu mObywatel App (wersja web)"/>
    <s v="Działania biznesowe dotyczące Ekosystemu mObywatel App  "/>
    <n v="8878"/>
    <m/>
    <n v="12578"/>
    <n v="13723"/>
    <n v="14971"/>
    <n v="16334"/>
    <s v="-"/>
    <s v="-"/>
    <s v="-"/>
    <s v="Program Wieloletni"/>
    <x v="0"/>
  </r>
  <r>
    <x v="0"/>
    <x v="0"/>
    <x v="14"/>
    <n v="4000"/>
    <s v="n/d"/>
    <s v="D3"/>
    <s v="WB27.BP.PF"/>
    <s v="MC"/>
    <s v="4"/>
    <s v="0"/>
    <s v="2025.16.01.02.01."/>
    <s v="2025.16.01."/>
    <s v="Utrzymanie mObywatel app (aplikacja mobilna)"/>
    <s v="Utrzymanie mObywatel app"/>
    <n v="11534"/>
    <m/>
    <n v="15924"/>
    <n v="18707"/>
    <n v="25785"/>
    <n v="33696"/>
    <s v="-"/>
    <s v="-"/>
    <s v="-"/>
    <s v="Program Wieloletni"/>
    <x v="0"/>
  </r>
  <r>
    <x v="0"/>
    <x v="0"/>
    <x v="14"/>
    <n v="4000"/>
    <s v="n/d"/>
    <s v="D3"/>
    <s v="WB27.BP.PF"/>
    <s v="MC"/>
    <s v="4"/>
    <s v="0"/>
    <s v="2025.16.01.02.01."/>
    <s v="2025.16.01."/>
    <s v="Utrzymanie mObywatel webowy"/>
    <s v="Utrzymanie mObywatel webowy"/>
    <m/>
    <m/>
    <n v="4361"/>
    <n v="4757"/>
    <n v="5190"/>
    <n v="5663"/>
    <s v="-"/>
    <s v="-"/>
    <s v="-"/>
    <s v="Program Wieloletni"/>
    <x v="0"/>
  </r>
  <r>
    <x v="0"/>
    <x v="0"/>
    <x v="14"/>
    <n v="4000"/>
    <s v="n/d"/>
    <s v="D3"/>
    <s v="WB27.BP.PF"/>
    <s v="MC"/>
    <s v="4"/>
    <s v="0"/>
    <s v="2025.16.01.02.01."/>
    <s v="2025.16.01."/>
    <s v="Utrzymanie Portal RP"/>
    <s v="Utrzymanie Portal RP"/>
    <n v="9747"/>
    <m/>
    <n v="17121"/>
    <n v="19928"/>
    <n v="22133"/>
    <n v="27506"/>
    <s v="-"/>
    <s v="-"/>
    <s v="-"/>
    <s v="Program Wieloletni"/>
    <x v="0"/>
  </r>
  <r>
    <x v="0"/>
    <x v="0"/>
    <x v="14"/>
    <n v="4000"/>
    <s v="n/d"/>
    <s v="D3"/>
    <s v="WB27.BP.PF"/>
    <s v="MC"/>
    <s v="4"/>
    <s v="0"/>
    <s v="2025.16.01.02.01."/>
    <s v="2025.16.01."/>
    <s v="Zadania biznesowe dotyczące Systemu Dokumentacji Prawnej"/>
    <s v="Zadania biznesowe dotyczące Systemu Dokumentacji Prawnej"/>
    <m/>
    <m/>
    <n v="374"/>
    <n v="409"/>
    <n v="0"/>
    <n v="0"/>
    <s v="-"/>
    <s v="-"/>
    <s v="-"/>
    <s v="Program Wieloletni"/>
    <x v="0"/>
  </r>
  <r>
    <x v="0"/>
    <x v="0"/>
    <x v="14"/>
    <n v="4000"/>
    <s v="n/d"/>
    <s v="D3"/>
    <s v="WB27.BP.PF"/>
    <s v="MC"/>
    <s v="4"/>
    <s v="0"/>
    <s v="2025.16.01.02.01."/>
    <s v="2025.16.01."/>
    <s v="SRP udostępnianie/operacje"/>
    <s v="SRP udostępnianie/operacje"/>
    <n v="784"/>
    <m/>
    <n v="845"/>
    <n v="922"/>
    <n v="1006"/>
    <n v="1097"/>
    <s v="-"/>
    <s v="-"/>
    <s v="-"/>
    <s v="Program Wieloletni"/>
    <x v="0"/>
  </r>
  <r>
    <x v="0"/>
    <x v="0"/>
    <x v="14"/>
    <n v="4000"/>
    <s v="n/d"/>
    <s v="D3"/>
    <s v="WB27.BP.PF"/>
    <s v="MC"/>
    <s v="4"/>
    <s v="0"/>
    <s v="2025.16.01.02.01."/>
    <s v="2025.16.01."/>
    <s v="Utrzymanie SRP - usługi własne "/>
    <s v="Utrzymanie SRP - usługi własne wraz z odsprzedażą"/>
    <n v="8608"/>
    <m/>
    <n v="19681"/>
    <n v="24659"/>
    <n v="28385"/>
    <n v="35970"/>
    <s v="-"/>
    <s v="-"/>
    <s v="-"/>
    <s v="Program Wieloletni"/>
    <x v="0"/>
  </r>
  <r>
    <x v="0"/>
    <x v="0"/>
    <x v="14"/>
    <n v="4000"/>
    <s v="n/d"/>
    <s v="D3"/>
    <s v="WB27.BP.PF"/>
    <s v="MC"/>
    <s v="4"/>
    <s v="0"/>
    <s v="2025.16.01.02.01."/>
    <s v="2025.16.01."/>
    <s v="Zadania biznesowe dotyczące SRP"/>
    <s v="Zadania biznesowe dotyczące SRP"/>
    <n v="9950"/>
    <m/>
    <n v="15415"/>
    <n v="17000"/>
    <n v="18775"/>
    <n v="20484"/>
    <s v="-"/>
    <s v="-"/>
    <s v="-"/>
    <s v="Program Wieloletni"/>
    <x v="0"/>
  </r>
  <r>
    <x v="0"/>
    <x v="0"/>
    <x v="14"/>
    <n v="4000"/>
    <s v="n/d"/>
    <s v="D3"/>
    <s v="WB27.BP.PF"/>
    <s v="MC"/>
    <n v="4"/>
    <n v="0"/>
    <s v="2025.16.01.02.01."/>
    <s v="2025.16.01."/>
    <s v="Zakup materiałów i wyposażenia SRP"/>
    <s v="zakupy do SRP"/>
    <m/>
    <m/>
    <n v="20448"/>
    <n v="11175"/>
    <n v="22131"/>
    <n v="0"/>
    <s v="-"/>
    <s v="-"/>
    <s v="-"/>
    <s v="Program Wieloletni"/>
    <x v="0"/>
  </r>
  <r>
    <x v="0"/>
    <x v="0"/>
    <x v="14"/>
    <n v="4000"/>
    <s v="n/d"/>
    <s v="D3"/>
    <s v="WB27.BP.PF"/>
    <s v="MC"/>
    <n v="4"/>
    <n v="0"/>
    <s v="2025.16.01.02.01."/>
    <s v="2025.16.01."/>
    <s v="Zakup materiałów i wyposażenia Portal RP"/>
    <s v="zakupy do Portal RP"/>
    <m/>
    <m/>
    <n v="8"/>
    <n v="8"/>
    <n v="9"/>
    <n v="9"/>
    <s v="-"/>
    <s v="-"/>
    <s v="-"/>
    <s v="Program Wieloletni"/>
    <x v="0"/>
  </r>
  <r>
    <x v="0"/>
    <x v="0"/>
    <x v="14"/>
    <n v="4000"/>
    <s v="n/d"/>
    <s v="D3"/>
    <s v="WB27.BP.PF"/>
    <s v="MC"/>
    <s v="4"/>
    <s v="0"/>
    <s v="2025.16.01.02.01."/>
    <s v="2025.16.01."/>
    <s v="RCT udostępnianie/operacje (WK, PZ, SIE)"/>
    <s v="RCT udostępnianie/operacje "/>
    <n v="49"/>
    <m/>
    <n v="53"/>
    <n v="58"/>
    <n v="63"/>
    <n v="69"/>
    <s v="-"/>
    <s v="-"/>
    <s v="-"/>
    <s v="Program Wieloletni"/>
    <x v="0"/>
  </r>
  <r>
    <x v="0"/>
    <x v="0"/>
    <x v="14"/>
    <n v="4000"/>
    <s v="n/d"/>
    <s v="D3"/>
    <s v="WB27.BP.PF"/>
    <s v="MC"/>
    <s v="4"/>
    <s v="0"/>
    <s v="2025.16.01.02.01."/>
    <s v="2025.16.01."/>
    <s v="Utrzymanie WK, PZ, SIE (RCT)"/>
    <s v="Utrzymanie WK, PZ, SIE (RCT) "/>
    <n v="16803"/>
    <m/>
    <n v="26760"/>
    <n v="29569"/>
    <n v="32225"/>
    <n v="34750"/>
    <s v="-"/>
    <s v="-"/>
    <s v="-"/>
    <s v="Program Wieloletni"/>
    <x v="0"/>
  </r>
  <r>
    <x v="0"/>
    <x v="0"/>
    <x v="14"/>
    <n v="4000"/>
    <s v="n/d"/>
    <s v="D3"/>
    <s v="WB27.BP.PF"/>
    <s v="MC"/>
    <s v="4"/>
    <s v="0"/>
    <s v="2025.16.01.02.01."/>
    <s v="2025.16.01."/>
    <s v="Zadania biznesowe dotyczące RCT"/>
    <s v="Zadania biznesowe dotyczące RCT "/>
    <n v="7388"/>
    <m/>
    <n v="4247"/>
    <n v="4634"/>
    <n v="5056"/>
    <n v="8846"/>
    <s v="-"/>
    <s v="-"/>
    <s v="-"/>
    <s v="Program Wieloletni"/>
    <x v="0"/>
  </r>
  <r>
    <x v="0"/>
    <x v="0"/>
    <x v="14"/>
    <n v="4000"/>
    <s v="n/d"/>
    <s v="D3"/>
    <s v="WB27.BP.PF"/>
    <s v="MC"/>
    <s v="4"/>
    <s v="0"/>
    <s v="2025.16.01.02.01."/>
    <s v="2025.16.01."/>
    <s v="Zadania biznesowe dotyczące ZIR i RID"/>
    <s v="Zadania biznesowe dotyczące ZIR i RID (Umowa na realizację przez COI niektórych zadań Ministra Cyfryzacji)"/>
    <n v="904"/>
    <m/>
    <n v="826"/>
    <n v="901"/>
    <n v="983"/>
    <n v="1072"/>
    <s v="-"/>
    <s v="-"/>
    <s v="-"/>
    <s v="Program Wieloletni"/>
    <x v="0"/>
  </r>
  <r>
    <x v="0"/>
    <x v="0"/>
    <x v="14"/>
    <n v="4000"/>
    <s v="n/d"/>
    <s v="D3"/>
    <s v="WB27.BP.PF"/>
    <s v="MC"/>
    <s v="4"/>
    <s v="0"/>
    <s v="2025.16.01.02.01."/>
    <s v="2025.16.01."/>
    <s v="E-Płatności utrzymanie "/>
    <s v="E-Płatności utrzymanie "/>
    <n v="4553"/>
    <m/>
    <n v="3018"/>
    <n v="3926"/>
    <n v="3976"/>
    <n v="5302"/>
    <s v="-"/>
    <s v="-"/>
    <s v="-"/>
    <s v="Program Wieloletni"/>
    <x v="0"/>
  </r>
  <r>
    <x v="0"/>
    <x v="0"/>
    <x v="14"/>
    <n v="6060"/>
    <m/>
    <s v="D3"/>
    <s v="WB27.BP.PF"/>
    <s v="MC"/>
    <s v="6"/>
    <s v="0"/>
    <s v="2025.16.01.02.01."/>
    <s v="2025.16.01."/>
    <s v="BUDOWA, MODERNIZACJA I ROZWÓJ INFRASTRUKTURY SYSTEMÓW, REJESTRÓW I EWIDENCJI PAŃSTWOWYCH: Rozwój Elektronicznej Platformy Usług Cyfrowych (ePUC) - rozwój e-usług publicznych - realizacja prac w zakresie ekosystemu e-usług obejmującego budowę nowych rozwiązań IT, w tym systemów informatycznych i aplikacji związanych z udostępnianiem e-usług"/>
    <s v="Cel realizacji zadania: zapewnienie obywatelom i przedsiębiorcom efektywne e-usługi wysokiej jakości, wspierające rozwój społeczny i gospodarczy. Planowany zakres realizacji zadania: realizacja prac w zakresie ekosystemu e-usług obejmującego budowę nowych rozwiązań IT, w tym systemów informatycznych i aplikacji związanych z udostępnianiem e-usług. Niezbędne jest, aby:_x000a_- tworzyć nowe e-usługi oraz modyfikować te, które już istnieją,_x000a_- modyfikować platformę udostępniania tych usług – Gov.pl,_x000a_- umożliwić integrację e-usług z mObywatelem i innymi systemami,_x000a_- budować nowe rozwiązania wspierające udostępnianie lub podnoszenie dojrzałości e-usług"/>
    <m/>
    <m/>
    <n v="21487"/>
    <n v="23442"/>
    <n v="25576"/>
    <n v="27903"/>
    <s v="-"/>
    <s v="-"/>
    <s v="-"/>
    <s v="Program Wieloletni"/>
    <x v="0"/>
  </r>
  <r>
    <x v="0"/>
    <x v="0"/>
    <x v="14"/>
    <n v="6060"/>
    <m/>
    <s v="D3"/>
    <s v="WB27.BP.PF"/>
    <s v="MC"/>
    <s v="6"/>
    <s v="0"/>
    <s v="2025.16.05.01.02."/>
    <s v="2025.16.05."/>
    <s v="BUDOWA, MODERNIZACJA I ROZWÓJ INFRASTRUKTURY SYSTEMÓW, REJESTRÓW I EWIDENCJI PAŃSTWOWYCH: Rozwój Katalogu Podmiotów Publicznych (KPP)"/>
    <s v="Zgodnie z założeniami projektu pn. „Katalog Administracji Publicznej”, dofinansowanego z POPC na podstawie porozumienia z CPPC oraz w związku z tym, że projekt realizuje cele Programu Zintegrowanej Informatyzacji Państwa, konieczne jest prowadzenie czynności rozwojowych systemu. Katalog Podmiotów Publicznych, jako komponent systemu KAP, ma za zadanie gromadzić wysokiej jakości dane o podmiotach publicznych oraz innych podmiotach realizujących zadania publiczne. Dane tych podmiotów podlegają ciągłym zmianom i muszą być stale aktualizowane. Aby zachować wysoką jakość gromadzonych danych na potrzeby obywateli, przedsiębiorców oraz administracji publicznej, a tym samym realizować zadania ministra cyfryzacji opisane w projekcie i PZIP, niezbędne jest podejmowanie działań usprawniających i automatyzujących procesy związane z ich obsługą. Zaniechanie rozwoju narzędzi KAP może doprowadzić do sytuacji, w której CPPC, w trakcie potencjalnej kontroli projektu w okresie jego trwałości (do 29 marca 2029 r.), zakwestionuje prawidłowe utrzymanie produktu, jakim jest KAP i KPP"/>
    <n v="1693"/>
    <m/>
    <n v="866"/>
    <n v="944"/>
    <n v="1030"/>
    <n v="1124"/>
    <s v="-"/>
    <s v="-"/>
    <s v="-"/>
    <s v="Program Wieloletni"/>
    <x v="0"/>
  </r>
  <r>
    <x v="0"/>
    <x v="0"/>
    <x v="14"/>
    <n v="6060"/>
    <m/>
    <s v="D3"/>
    <s v="WB27.BP.PF"/>
    <s v="MC"/>
    <s v="6"/>
    <s v="0"/>
    <s v="2025.16.01.02.01."/>
    <s v="2025.16.01."/>
    <s v="BUDOWA, MODERNIZACJA I ROZWÓJ INFRASTRUKTURY SYSTEMÓW, REJESTRÓW I EWIDENCJI PAŃSTWOWYCH: Rozwój Krajowego Centrum Przetwarzania Danych (KCPD) - relokacja Systemów MC do KCPD"/>
    <s v="Cel realizacji zadania: przeniesienie i uruchomienie infrastruktury teleinformatycznej Ministerstwa Cyfryzacji, wykorzystywanej do obsługi systemów będących w gestii Ministra Cyfryzacji, do nowo wybudowanych Krajowych Centrów Przetwarzania Danych w ramach Krajowego Planu Odbudowy (KPO)"/>
    <m/>
    <m/>
    <n v="0"/>
    <n v="2067"/>
    <n v="1316"/>
    <n v="0"/>
    <s v="-"/>
    <s v="-"/>
    <s v="-"/>
    <s v="Program Wieloletni"/>
    <x v="0"/>
  </r>
  <r>
    <x v="0"/>
    <x v="0"/>
    <x v="14"/>
    <n v="6060"/>
    <m/>
    <s v="D3"/>
    <s v="WB27.BP.PF"/>
    <s v="MC"/>
    <s v="6"/>
    <s v="0"/>
    <s v="2025.16.01.02.01."/>
    <s v="2025.16.01."/>
    <s v="BUDOWA, MODERNIZACJA I ROZWÓJ INFRASTRUKTURY SYSTEMÓW, REJESTRÓW I EWIDENCJI PAŃSTWOWYCH: Rozwój systemu Centralnego Rejestru Wyborców (CRW)"/>
    <s v="Cel realizacji zadania: zwiększenie efektywności, bezpieczeństwa oraz dostępności usług cyfrowych dla obywateli._x000a_Planowany zakres realizacji zadania:_x000a_- rozwój Centralnego Rejestru Wyborców - zadanie polega na przeniesieniu funkcjonalności systemu eWybory (prowadzonego przez MSZ) do CRW, wdrożenie modyfikacji oczekiwanych przez urzędników gmin i Krajowego Biura Wyborczego oraz rozpoczęcie analizy pod kątem implementacji wyborów do jednostek samorządu terytorialnego. Planowane są także prace związane z przygotowaniem nowelizacji kodeksu wyborczego, mającej na celu dalszą rozbudowę CRW na potrzeby obsługi wyborów zagranicznych, _x000a_z uwzględnieniem dobrych praktyk oraz zasad bezpieczeństwa. Ponadto realizowane będą prace mające na celu zbudowanie funkcjonalności umożliwiającej obywatelom elektroniczne popieranie kandydatów, inicjatywy obywatelskiej oraz budżetu obywatelskiego,_x000a_- zakup urządzeń sieciowych do CRW."/>
    <n v="8000"/>
    <m/>
    <n v="11350"/>
    <n v="12382"/>
    <n v="20050"/>
    <n v="14739"/>
    <s v="-"/>
    <s v="-"/>
    <s v="-"/>
    <s v="Program Wieloletni"/>
    <x v="0"/>
  </r>
  <r>
    <x v="0"/>
    <x v="0"/>
    <x v="14"/>
    <n v="6060"/>
    <m/>
    <s v="D3"/>
    <s v="WB27.BP.PF"/>
    <s v="MC"/>
    <s v="6"/>
    <s v="0"/>
    <s v="2025.16.01.02.01."/>
    <s v="2025.16.01."/>
    <s v="BUDOWA, MODERNIZACJA I ROZWÓJ INFRASTRUKTURY SYSTEMÓW, REJESTRÓW I EWIDENCJI PAŃSTWOWYCH: Rozwój Zintegrowanej Infrastruktury Rejestrów (ZIR) oraz Rządowej Infrastruktury Dodatkowej (RID)"/>
    <s v="Cel realizacji zadania: zwiększenie efektywności, bezpieczeństwa oraz dostępności usług cyfrowych dla obywateli._x000a_Planowany zakres realizacji zadania:_x000a_- zakup licencji, sprzętu komputerowego, urządzeń sieciowych,_x000a_- rozbudowa systemu SIEM o sprzęt i licencje,_x000a_- zakup infrastruktury Centralnego Serwera Logów,_x0009__x000a_- zakup oprogramowania do ochrony warstwy aplikacyjnej,_x000a_- rozbudowa platformy wirtualizacyjnej,_x000a_- zakup urządzeń sieciowych Network Access Control (NAC),_x000a_- zakup licencji Identity Management (IdM) – Zarządzanie Tożsamością,_x000a_- rozbudowa systemu do analizy kodu (DAST, IAST) oraz platform mobilnych."/>
    <m/>
    <m/>
    <n v="104108"/>
    <n v="52802"/>
    <n v="108275"/>
    <n v="63378"/>
    <s v="-"/>
    <s v="-"/>
    <s v="-"/>
    <s v="Program Wieloletni"/>
    <x v="0"/>
  </r>
  <r>
    <x v="0"/>
    <x v="0"/>
    <x v="14"/>
    <n v="6060"/>
    <m/>
    <s v="D3"/>
    <s v="WB27.BP.PF"/>
    <s v="MC"/>
    <s v="6"/>
    <s v="0"/>
    <s v="2025.16.01.02.01."/>
    <s v="2025.16.01."/>
    <s v="BUDOWA, MODERNIZACJA I ROZWÓJ INFRASTRUKTURY SYSTEMÓW, REJESTRÓW I EWIDENCJI PAŃSTWOWYCH: CC SPOC - rozwój Centrum Certyfikacji"/>
    <s v="Cel realizacji zadania: aktualizacja oprogramowania Centaur do najnowszej wersji, która obejmuje: rozbudowę możliwości wystawiania nowych wersji certyfikatów, wprowadzenie nowych algorytmów szyfrowania, poprawę bezpieczeństwa, ujednolicenie centrów certyfikacji, ułatwienie zarządzania kluczami dzięki przeniesieniu _x000a_na HSMy sieciowe oraz dostosowanie do najnowszych wymagań bezpieczeństwa"/>
    <m/>
    <m/>
    <n v="1624"/>
    <n v="0"/>
    <n v="0"/>
    <n v="0"/>
    <s v="-"/>
    <s v="-"/>
    <s v="-"/>
    <s v="Program Wieloletni"/>
    <x v="0"/>
  </r>
  <r>
    <x v="0"/>
    <x v="0"/>
    <x v="14"/>
    <n v="6060"/>
    <m/>
    <s v="D3"/>
    <s v="WB27.BP.PF"/>
    <s v="MC"/>
    <s v="6"/>
    <s v="0"/>
    <s v="2025.16.05.01.02."/>
    <s v="2025.16.05."/>
    <s v="BUDOWA, MODERNIZACJA I ROZWÓJ INFRASTRUKTURY SYSTEMÓW, REJESTRÓW I EWIDENCJI PAŃSTWOWYCH: Rozwój systemu e-Doręczenia"/>
    <s v="Cel realizacji zadania: rozwój publicznej usługi rejestrowanego doręczenia elektronicznego oraz publicznej usługi hybrydowej oraz zapewnienie skutecznego wdrożenia tych usług w podmiotach publicznych i niepublicznych jako podstawowego kanału komunikacji z administracją publiczną poprzez ich stopniowe wprowadzanie wśród zobowiązanych podmiotów. _x000a_Zgodnie z ustawą o doręczeniach elektronicznych (Dz. U. z 2024 r. poz. 1045), w terminie wskazanym w art. 155 ust. 10 tej ustawy, wymienione podmioty publiczne są zobowiązane do doręczania korespondencji _x000a_za pośrednictwem e-Doręczeń. Wraz z wejściem w życie tego obowiązku zaczynają obowiązywać również nowe przepisy KPA oraz ordynacji podatkowej"/>
    <n v="18245"/>
    <m/>
    <n v="16493"/>
    <n v="17994"/>
    <n v="19631"/>
    <n v="21418"/>
    <s v="-"/>
    <s v="-"/>
    <s v="-"/>
    <s v="Program Wieloletni"/>
    <x v="0"/>
  </r>
  <r>
    <x v="0"/>
    <x v="0"/>
    <x v="14"/>
    <n v="6060"/>
    <m/>
    <s v="D3"/>
    <s v="WB27.BP.PF"/>
    <s v="MC"/>
    <s v="6"/>
    <s v="0"/>
    <s v="2025.16.01.02.01."/>
    <s v="2025.16.01."/>
    <s v="BUDOWA, MODERNIZACJA I ROZWÓJ INFRASTRUKTURY SYSTEMÓW, REJESTRÓW I EWIDENCJI PAŃSTWOWYCH: Budowa Systemu Dokumentacji Prawnej (SDP)"/>
    <s v="Cel realizacji zadania: stworzenie nowoczesnego narzędzia wspierającego zarządzanie dokumentacją prawną oraz usprawnienie procesów związanych z obsługą spraw prawnych._x000a_Celem projektu jest budowa modułowego, reużywalnego systemu, opartego na rozwiązaniach klasy Sztucznej Inteligencji, który początkowo będzie wspierał Prokuratorię Generalną RP w pilotażowej fazie, a w kolejnych etapach inne jednostki zajmujące się analizą dokumentacji prawnej. System ma na celu przyspieszenie procesów analizy, porównania, wnioskowania oraz tworzenia dokumentów, co umożliwi podejmowanie szybszych _x000a_i bardziej dokładnych decyzji w prowadzonych sprawach. _x000a_Reużywalność modułów pozwoli na ich implementację w różnych konfiguracjach, m.in. w projektach takich jak E-Legislacja, prowadzonym przez KPRM, oraz w innych jednostkach sektora publicznego. _x000a_Projekt jest niezbędny do rozpoczęcia optymalizacji żmudnych i czasochłonnych czynności _x000a_w administracji publicznej"/>
    <n v="11933"/>
    <m/>
    <n v="4943"/>
    <n v="5393"/>
    <n v="19330"/>
    <n v="21089"/>
    <s v="-"/>
    <s v="-"/>
    <s v="-"/>
    <s v="Program Wieloletni"/>
    <x v="0"/>
  </r>
  <r>
    <x v="0"/>
    <x v="0"/>
    <x v="14"/>
    <n v="6060"/>
    <m/>
    <s v="D3"/>
    <s v="WB27.BP.PF"/>
    <s v="MC"/>
    <s v="6"/>
    <s v="0"/>
    <s v="2025.16.01.02.01."/>
    <s v="2025.16.01."/>
    <s v="BUDOWA, MODERNIZACJA I ROZWÓJ INFRASTRUKTURY SYSTEMÓW, REJESTRÓW I EWIDENCJI PAŃSTWOWYCH: Rozwój Elektronicznej Platformy Usług Administracji Publicznej (ePUAP)"/>
    <s v="Cel realizacji zadania: transformacja istniejącego systemu ePUAP, która umożliwi unowocześnienie _x000a_i wyjście z przestarzałych i drogich technologii przy jednoczesnym zapewnieniu stabilności i ciągłości działania._x000a_ePUAP jako rozwiązanie ponad 15 letnie musi być ciągle dostosowywane do zmian technologicznych oraz zmian w funkcjonowaniu innych systemów zintegrowanych z nim. _x000a_Planowany zakres realizacji zadania: W szczególności wykonywane będą prace nad:_x000a_- wystawieniem API REST zwracającego adres skrzynki ePUAP obywatela zgodnie z ustawą o mObywatelu,_x000a_- migracją MLPZ na Kubernetesa związana ze zmianami w technologiach udostępniania aplikacji webowych_x000a_- modernizacją mechanizmów logowania o atrybuty PZ_login, modyfikacją mechanizmu logowania MLPZ,_x000a_- zastąpieniem serwera aplikacyjnego IBM WebSphere w zakresie CMS nowszym rozwiązaniem,_x000a_- dostosowaniem treści UPD, UPP i oświadczenia przy piśmie ogólnym do eDoręczeń,_x000a_- modyfikacją słowników i wyszukiwarki w systemie ePUAP,_x000a_- integracją ePUAP-KPP na potrzeby e-Doręczeń._x000a_Dla wszystkich tych zadań będzie prowadzona analiza systemowa, projektowanie rozwiązania, implementacja, testy oraz wdrożenie"/>
    <n v="7084"/>
    <m/>
    <n v="9828"/>
    <n v="10722"/>
    <n v="11698"/>
    <n v="12762"/>
    <s v="-"/>
    <s v="-"/>
    <s v="-"/>
    <s v="Program Wieloletni"/>
    <x v="0"/>
  </r>
  <r>
    <x v="0"/>
    <x v="0"/>
    <x v="14"/>
    <n v="6060"/>
    <m/>
    <s v="D3"/>
    <s v="WB27.BP.PF"/>
    <s v="MC"/>
    <s v="6"/>
    <s v="0"/>
    <s v="2025.16.01.02.01."/>
    <s v="2025.16.01."/>
    <s v=" BUDOWA, MODERNIZACJA I ROZWÓJ INFRASTRUKTURY SYSTEMÓW, REJESTRÓW I EWIDENCJI PAŃSTWOWYCH: Rozwój ekosystemu aplikacji mobilnej mObywatel"/>
    <s v="Cel realizacji zadania: ułatwienie obywatelom dostępu do usług publicznych oraz zwiększenie efektywności komunikacji z administracją. Projekt obejmie działania ukierunkowane na konsolidację i standaryzację usług cyfrowych w aplikacji mObywatel w relacjach: A2C, A2B._x000a_Planowany zakres realizacji zadania: Zakres projektu obejmuje:_x000a_- rozwój portfela dokumentów w aplikacji mObywatel oraz dodanie nowych dokumentów o charakterze ogólnokrajowym, lokalnym i zawodowym w ramach usługi modułu systemu mObywatel - Wewnętrzny Rejestr Uprawnień (WRU), a także poprzez integrację systemu mObywatel z innymi podmiotami poprzez API,_x000a_- rozwój aplikacji oraz systemu mObywatel w zakresie wdrożenia szerokopojętych e-usług,_x000a_- dostosowanie do wymagań prawnych UE, w tym rozporządzenia Parlamentu Europejskiego i Rady (UE) nr 910/2014 z dnia 23 lipca 2014 r. w sprawie identyfikacji elektronicznej i usług zaufania w odniesieniu do transakcji elektronicznych na rynku wewnętrznym oraz uchylającego dyrektywę 1999/93/WE uwzględniającego zmiany wprowadzone na gruncie rozporządzenia Parlamentu Europejskiego i Rady nr 2024/1183 z dnia 11 kwietnia 2024 r. w sprawie zmiany rozporządzenia (UE) nr 910/2014 w odniesieniu do ustanowienia ram europejskiej tożsamości cyfrowej (tzw. „Rozporządzenie eIDAS 2.0”),_x000a_- zwiększenie wykorzystania publicznych e-usług przez obywateli"/>
    <m/>
    <m/>
    <n v="31440"/>
    <n v="68602"/>
    <n v="74845"/>
    <n v="81656"/>
    <s v="-"/>
    <s v="-"/>
    <s v="-"/>
    <s v="Program Wieloletni"/>
    <x v="0"/>
  </r>
  <r>
    <x v="0"/>
    <x v="0"/>
    <x v="14"/>
    <n v="6060"/>
    <m/>
    <s v="D3"/>
    <s v="WB27.BP.PF"/>
    <s v="MC"/>
    <s v="6"/>
    <s v="0"/>
    <s v="2025.16.01.02.01."/>
    <s v="2025.16.01."/>
    <s v="BUDOWA, MODERNIZACJA I ROZWÓJ INFRASTRUKTURY SYSTEMÓW, REJESTRÓW I EWIDENCJI PAŃSTWOWYCH: Rozwój Systemu Rejestrów Państwowych"/>
    <s v="Cel realizacji zadania: zwiększenie efektywności, bezpieczeństwa oraz dostępności usług cyfrowych dla obywateli. Celem biznesowym jest osiągnięcie możliwości pełnej &quot;adaptacji&quot; SRP do wymagań dotyczących bezpieczeństwa, biznesowych, wydajnościowych, technologicznych i legislacyjnych._x000a_Realizacja prac związanych z rozwojem rejestrów: PESEL, Rejestru Dowodów Osobowych (RDO), Rejestru Dokumentów Paszportowych (RDP), Rejestru Stanu Cywilnego (RSC), Rejestru Zastrzeżeń Numerów PESEL (RZNP), Rejestru Danych Kontaktowych (RDK). Prace te prowadzone są na podstawie ustaw: o ewidencji ludności, o dowodach osobistych, o aktach stanu cywilnego, oraz o informatyzacji, przez ministra właściwego do spraw informatyzacji. "/>
    <n v="14250"/>
    <m/>
    <n v="75181"/>
    <n v="58690"/>
    <n v="47368"/>
    <n v="67109"/>
    <s v="-"/>
    <s v="-"/>
    <s v="-"/>
    <s v="Program Wieloletni"/>
    <x v="0"/>
  </r>
  <r>
    <x v="0"/>
    <x v="0"/>
    <x v="14"/>
    <n v="6060"/>
    <m/>
    <s v="D3"/>
    <s v="WB27.BP.PF"/>
    <s v="MC"/>
    <s v="6"/>
    <s v="0"/>
    <s v="2025.16.01.02.01."/>
    <s v="2025.16.01."/>
    <s v="BUDOWA, MODERNIZACJA I ROZWÓJ INFRASTRUKTURY SYSTEMÓW, REJESTRÓW I EWIDENCJI PAŃSTWOWYCH: Rozwój systemów teleinformatycznych służących do identyfikacji elektronicznej i składania podpisów elektronicznych, w szczególności: węzeł krajowy (WK), profil zaufany (PZ), system identyfikacji elektronicznej (SIE), węzeł podpisu (WP)"/>
    <s v="Cel realizacji zadania: zwiększenie efektywności, bezpieczeństwa oraz dostępności usług cyfrowych dla obywateli. _x000a_Realizacja zadań ministra właściwego do spraw informatyzacji, wynikających z ustawy o usługach zaufania,  identyfikacji elektronicznej (Dz. U. z 2024 r. poz. 1725), a także z ustawy o informatyzacji działalności podmiotów realizujących zadania publiczne (Dz. U. z 2024 r. poz. 1557 t.j.)._x000a_Zadanie koncentruje się na zapewnieniu ciągłej, bezawaryjnej pracy systemów. Obejmuje to regularne działania serwisowe i pielęgnacyjne, które są kluczowe dla utrzymania wysokiej dostępności oraz niezawodności, a także obsługę zgłoszeń serwisowych i helpdeskowych"/>
    <n v="22632"/>
    <m/>
    <n v="6089"/>
    <n v="7537"/>
    <n v="2353"/>
    <n v="25157"/>
    <s v="-"/>
    <s v="-"/>
    <s v="-"/>
    <s v="Program Wieloletni"/>
    <x v="0"/>
  </r>
  <r>
    <x v="0"/>
    <x v="0"/>
    <x v="14"/>
    <n v="6060"/>
    <m/>
    <s v="D3"/>
    <s v="WB27.BP.PF"/>
    <s v="MC"/>
    <s v="6"/>
    <s v="0"/>
    <s v="2025.16.01.02.01."/>
    <s v="2025.16.01."/>
    <s v="BUDOWA, MODERNIZACJA I ROZWÓJ INFRASTRUKTURY SYSTEMÓW, REJESTRÓW I EWIDENCJI PAŃSTWOWYCH: Rozwój systemu Dane.gov.pl."/>
    <s v="Cel realizacji zadania: zwiększenie dostępności, poprawa jakości oraz wzrost wykorzystania i wymiany danych udostępnianych w portalu. Podstawa prawna dla funkcjonalności zaplanowanych do realizacji na rok 2026 wynika z ustawy z dnia 11 sierpnia 2021 r. o otwartych danych i ponownym wykorzystywaniu informacji sektora publicznego (Dz. U. z 2023 r. poz. 1524 t.j.) oraz rozporządzenia Rady Ministrów z dnia 21 listopada 2022 r. w sprawie portalu danych (Dz. U. z 2022 r. poz. 2415)."/>
    <n v="3090"/>
    <m/>
    <n v="6143"/>
    <n v="6956"/>
    <n v="7816"/>
    <n v="8869"/>
    <s v="-"/>
    <s v="-"/>
    <s v="-"/>
    <s v="Program Wieloletni"/>
    <x v="0"/>
  </r>
  <r>
    <x v="0"/>
    <x v="0"/>
    <x v="14"/>
    <n v="6060"/>
    <m/>
    <s v="D3"/>
    <s v="WB27.BP.PF"/>
    <s v="MC"/>
    <s v="6"/>
    <s v="0"/>
    <s v="2025.16.01.02.01."/>
    <s v="2025.16.01."/>
    <s v="BUDOWA, MODERNIZACJA I ROZWÓJ INFRASTRUKTURY SYSTEMÓW, REJESTRÓW I EWIDENCJI PAŃSTWOWYCH: Rozwój systemu Portal RP"/>
    <s v="Cel realizacji zadania: zwiększenie efektywności, bezpieczeństwa oraz dostępności usług cyfrowych dla obywateli. Celem biznesowym jest wdrażanie inicjatyw oraz dostosowywanie ich do zmieniającego się otoczenia prawnego, standardów i potrzeb użytkowników. _x000a_Portal RP to centralna brama do informacji i usług państwa polskiego. Obejmuje serwisy informacyjne jednostek rządowych zintegrowane i udostępnione w domenie gov.pl oraz samorządowe w domenie samorzad.gov.pl, a także wiele aplikacji. Jest podstawowym źródłem informacji o usługach publicznych dla obywateli i przedsiębiorców._x000a_Istotnym zadaniem Portalu jest również zapewnienie responsywności zespołu obsługującego Portal RP _x000a_w zakresie realizacji drobnych zmian wynikających ze zgłaszanych dysfunkcjonalności, co stanowi realizację zobowiązań wynikających z SLA projektu. W związku z tym konieczne jest prowadzenie dalszych prac rozwojowych"/>
    <m/>
    <m/>
    <n v="17035"/>
    <n v="18946"/>
    <n v="21072"/>
    <n v="23436"/>
    <s v="-"/>
    <s v="-"/>
    <s v="-"/>
    <s v="Program Wieloletni"/>
    <x v="0"/>
  </r>
  <r>
    <x v="0"/>
    <x v="0"/>
    <x v="14"/>
    <n v="6060"/>
    <m/>
    <s v="D3"/>
    <s v="WB27.BP.PF"/>
    <s v="MC"/>
    <s v="6"/>
    <s v="0"/>
    <s v="2025.16.01.02.01."/>
    <s v="2025.16.01."/>
    <s v="BUDOWA, MODERNIZACJA I ROZWÓJ INFRASTRUKTURY SYSTEMÓW, REJESTRÓW I EWIDENCJI PAŃSTWOWYCH: Rozwój Generatora Formularzy"/>
    <s v="Cel realizacji zadania: nowa jakość wytwarzania e-usług w Polsce. _x000a_Generator Formularzy umożliwi podmiotom publicznym budowanie formularzy jako usług, które następnie zostaną udostępnione obywatelom w formie e-usług. Generator Formularzy docelowo ma zastąpić jedną z funkcji ePUAP – e-usługi oraz formularze nForms._x000a_Wszystkie e-usługi wytworzone w ramach projektu będą publikowane w nowym layoucie mObywatel.gov.pl oraz Portalu RP. System umożliwi dostarczenie funkcjonalności w formie formularza elektronicznego lub ankiety oraz konfigurację zaawansowanych ustawień usługi. Formularz taki, po wypełnieniu, umożliwi obywatelowi wygenerowanie dokumentu elektronicznego oraz jego podgląd, podpisanie wygenerowanego dokumentu elektronicznego oraz wysyłkę dokumentu do podmiotu publicznego. Formularze będą mogły również posiadać predefiniowane pola z danymi automatycznie pobieranymi z rejestrów państwowych, dzięki czemu proces ich wypełniania przez użytkowników będzie szybszy i łatwiejszy."/>
    <n v="6000"/>
    <m/>
    <n v="36034"/>
    <n v="39313"/>
    <n v="42890"/>
    <n v="46793"/>
    <s v="-"/>
    <s v="-"/>
    <s v="-"/>
    <s v="Program Wieloletni"/>
    <x v="0"/>
  </r>
  <r>
    <x v="0"/>
    <x v="0"/>
    <x v="14"/>
    <n v="6060"/>
    <m/>
    <s v="D3"/>
    <s v="WB27.BP.PF"/>
    <s v="MC"/>
    <s v="6"/>
    <s v="0"/>
    <s v="2025.16.01.02.01."/>
    <s v="2025.16.01."/>
    <s v="BUDOWA, MODERNIZACJA I ROZWÓJ INFRASTRUKTURY SYSTEMÓW, REJESTRÓW I EWIDENCJI PAŃSTWOWYCH: Rozwój strony z serwisem mObywatel.gov.pl"/>
    <s v="Cel realizacji zadania: zwiększenie dostępności i funkcjonalności platformy. Planowany zakres realizacji zadania: Rozwój systemu mObywatel.gov.pl o takie elementy jak:_x000a_- udostępnienie kolejnych widoków kontekstowych adresujących potrzeby różnych grup użytkowników, _x000a_na przykład urzędów świadczących usługi publiczne na rzecz obywateli i przedsiębiorców,_x000a_- zapewnienie użytkownikom dostępu do kluczowych usług publicznych (jak obecnie poprzez ePUAP) oraz danych gromadzonych w innych systemach dziedzinowych i rejestrach państwowych, celem optymalnego wykorzystania istniejącego potencjału. Wgląd do danych odbywa się na podstawie przepisów konkretnych ustaw regulujących dostęp do danych przetwarzanych w danym rejestrze,_x000a_- udostępnienie zalogowanym użytkownikom możliwości płynnego poruszania się pomiędzy poszczególnymi kontekstami i aplikacjami w ramach całego systemu e-usług, bez potrzeby ponownego logowania się, _x000a_z zachowaniem standardów wynikających z polityk bezpieczeństwa,_x000a_- rozwój funkcjonalny serwisu ukierunkowany na wsparcie obsługi procesów biznesowych dla poszczególnych grup użytkowników. Optymalizacja procesów systemowych w celu zapewnienia interoperacyjnych rozwiązań oraz wykorzystanie zdolności cyfrowych przez krajową administrację publiczną oraz obywateli (np. poprzez wdrożenie Chatbota AI – na start przygotowanie wersji pilotażowej lub funkcjonalność zmiany wersji językowej interfejsu użytkownika),_x000a_- podniesienie poziomu dojrzałości istniejących e-usług poprzez wdrożenie podejścia procesowego, które umożliwi zapoznanie się z dalszymi etapami procesu po złożeniu wniosku do urzędu. Odciążenie placówek_x000a_ i infolinii urzędów/instytucji państwowych poprzez prezentację w serwisie informacji o aktualnym statusie sprawy oraz zwiększenie liczby czynności realizowanych online na całej ścieżce procesu."/>
    <n v="7774"/>
    <m/>
    <n v="24093"/>
    <n v="26285"/>
    <n v="28677"/>
    <n v="31287"/>
    <s v="-"/>
    <s v="-"/>
    <s v="-"/>
    <s v="Program Wieloletni"/>
    <x v="0"/>
  </r>
  <r>
    <x v="0"/>
    <x v="0"/>
    <x v="14"/>
    <n v="6060"/>
    <m/>
    <s v="D3"/>
    <s v="WB27.BP.PF"/>
    <s v="MC"/>
    <s v="6"/>
    <s v="0"/>
    <s v="2025.16.01.02.01."/>
    <s v="2025.16.01."/>
    <s v="BUDOWA, MODERNIZACJA I ROZWÓJ INFRASTRUKTURY SYSTEMÓW, REJESTRÓW I EWIDENCJI PAŃSTWOWYCH: Rozwój Landing page - info.mobywatel.gov.pl"/>
    <s v="Cel realizacji zadania: modernizacja i rozbudowa serwisu info.mobywatel.gov.pl pod kątem użyteczności dla interesariuszy oraz ilości dostępnych treści. Rozwój portalu informacyjno-promocyjnego (webowej witryny) dla aplikacji mObywatel 2.0 oraz dostarczenie treści o usługach i dokumentach dostępnych z poziomu aplikacji mobilnej._x000a_Planowany zakres realizacji zadania: przeniesienie 100% treści możliwych do edycji bez udziału zespołu programistów z wykorzystaniem istniejących narzędzi, dodanie tłumaczeń treści w witrynie, stworzenie dedykowanej przestrzeni dla projektów unijnych (eIDAS 2.0/Europejski Portfel Tożsamości Cyfrowej) oraz zwiększenie użyteczności poprzez przebudowę nawigacji na stronie, wraz z możliwością wyboru języka witryny przez użytkownika"/>
    <m/>
    <m/>
    <n v="366"/>
    <n v="399"/>
    <n v="436"/>
    <n v="475"/>
    <s v="-"/>
    <s v="-"/>
    <s v="-"/>
    <s v="Program Wieloletni"/>
    <x v="0"/>
  </r>
  <r>
    <x v="0"/>
    <x v="0"/>
    <x v="14"/>
    <n v="6060"/>
    <m/>
    <s v="D3"/>
    <s v="WB27.BP.PF"/>
    <s v="MC"/>
    <s v="6"/>
    <s v="0"/>
    <s v="2025.16.01.02.01."/>
    <s v="2025.16.01."/>
    <s v="BUDOWA, MODERNIZACJA I ROZWÓJ INFRASTRUKTURY SYSTEMÓW, REJESTRÓW I EWIDENCJI PAŃSTWOWYCH: Rozwój Platformy ePłatności"/>
    <s v="Cel realizacji zadania: umożliwienie użytkownikom dokonywania płatności w sposób szybki, prosty i wygodny, co zwiększy ich satysfakcję oraz zaangażowanie w korzystanie z usług._x000a_Planowany zakres realizacji zadania:_x000a_- rozwój Platformy ePłatności,_x000a_- zakup urządzeń sieciowych._x000a_Platforma ePłatności została wprowadzona w systemie teleinformatycznym, zaprojektowanym i zbudowanym w ramach istniejącej infrastruktury. W związku z dynamicznym rozwojem, platforma wymaga przeniesienia na dedykowaną infrastrukturę. _x000a_Rozwój systemu Platformy ePłatności obejmuje następujące rozwiązania:_x000a_- rozszerzenie funkcjonalności – wprowadzenie możliwość dokonywania płatności za pomocą kart płatniczych,_x000a_- integracja z Aplikacją mObywatel 2.0 – umożliwienie płatności za zobowiązania bezpośrednio w Urzędzie/JST,_x000a_- obsługa opłat inicjowanych przez obywateli – wykorzystanie ePłatności do realizacji opłat z inicjatywy obywateli,_x000a_- automatyzacja procesu przyłączenia JST – usprawnienie procedur związanych z przyłączaniem jednostek samorządu terytorialnego,_x000a_- nowe metody płatności – rozszerzenie o możliwość płatności za pomocą Google Pay oraz Apple Pay._x000a_Ze względu na krytyczne znaczenie Platformy ePłatności oraz kwestie bezpieczeństwa, zaleca się korzystanie z dedykowanej infrastruktury techniczno-systemowej. W celu przeniesienia systemu niezbędne będzie dostarczenie sprzętu i oprogramowania, ich konfiguracja oraz zapewnienie wsparcia technicznego._x000a_W związku z powyższym przewidziano przeprowadzenie postępowania zakupowego. W zależności od przebiegu procedury zakupowej, w 2025 roku planowane jest kontynuowanie prac związanych z zakończeniem procedury zakupowej oraz finalizacją dostaw, konfiguracją infrastruktury i migracją danych na nowe środowiska, zarówno nieprodukcyjne, jak i produkcyjne"/>
    <n v="9829"/>
    <m/>
    <n v="8762"/>
    <n v="9559"/>
    <n v="18317"/>
    <n v="11378"/>
    <s v="-"/>
    <s v="-"/>
    <s v="-"/>
    <s v="Program Wieloletni"/>
    <x v="0"/>
  </r>
  <r>
    <x v="0"/>
    <x v="0"/>
    <x v="14"/>
    <n v="6060"/>
    <m/>
    <s v="D3"/>
    <s v="WB27.BP.PF"/>
    <s v="MC"/>
    <s v="6"/>
    <s v="0"/>
    <s v="2025.16.01.02.01."/>
    <s v="2025.16.01."/>
    <s v="BUDOWA, MODERNIZACJA I ROZWÓJ INFRASTRUKTURY SYSTEMÓW, REJESTRÓW I EWIDENCJI PAŃSTWOWYCH: Rozwój systemu Kronik@"/>
    <s v="Cel realizacji zadania: budowa i rozwój systemów w celu zapewnienia ciągłości działania oraz bezpieczeństwa systemów i rejestrów będących w kompetencji Ministra Cyfryzacji._x000a_Planowany zakres realizacji zadania: zakup sprzętu oraz oprogramowania niezbędnego do migracji systemu Kronik@ na infrastrukturę COI"/>
    <n v="49944"/>
    <m/>
    <n v="41513"/>
    <n v="0"/>
    <n v="0"/>
    <n v="0"/>
    <s v="-"/>
    <s v="-"/>
    <s v="-"/>
    <s v="Program Wieloletni"/>
    <x v="0"/>
  </r>
  <r>
    <x v="0"/>
    <x v="0"/>
    <x v="14"/>
    <n v="2830"/>
    <s v="n/d"/>
    <s v="D1"/>
    <s v="DGW27.BP.PF"/>
    <s v="MC"/>
    <s v="2"/>
    <s v="0"/>
    <s v="2025.16.01.02.01."/>
    <s v="2025.16.01."/>
    <s v="Budowa i wdrożenie systemu elektronicznego zarządzania dokumentacją "/>
    <s v="Budowa i wdrożenie systemu elektronicznego zarządzania dokumentacją ; Wsparcie wdrożeniowe i utrzymaniowe EZD PUW oraz EZD RP, realizacja wsparcia informacyjnego oraz doradczego na rzecz podmiotów publicznych zainteresowanych_x000a_wdrożeniem systemu klasy EZD - Celem podzadania jest zapewnienie wsparcia we wdrażaniu systemu EZD PUW oraz EZD RP podmiotom publicznym; Stabilizacja i rozwój aplikacji EZD RP oraz ekosystemu współpracy_x000a_Celem tego podzadania jest zwiększenie stabilności, użyteczności i ergonomii systemu EZD RP; Utrzymanie i rozbudowa SaaS EZD RP Celem tego podzadania jest odciążenie podmiotów administracji rządowej i urzędów_x000a_centralnych z obowiązku uruchomienia własnej infrastruktury technicznej na potrzeby instancji EZD RP"/>
    <n v="23000"/>
    <m/>
    <n v="35924"/>
    <n v="39583"/>
    <n v="40933"/>
    <n v="45728"/>
    <s v="umowa 11/DTC/2024/EZD_x000a_zawarta do dnia 2026.12.31"/>
    <s v="NASK-PIB"/>
    <s v="Ustawa z dnia 27 sierpnia 2009 r. o finansach publicznych (Dz. U. z 2024 r. poz. 1530) oraz ustawa z dnia 30 kwietnia 2010 r. o instytutach badawczych (Dz. U. z 2024 r. poz. 534)"/>
    <s v="zaangażowano środki w kwocie 35.923.529,80 zł"/>
    <x v="0"/>
  </r>
  <r>
    <x v="0"/>
    <x v="0"/>
    <x v="14"/>
    <n v="6230"/>
    <m/>
    <s v="D1"/>
    <s v="DGW27.BP.PF"/>
    <s v="MC"/>
    <s v="6"/>
    <s v="0"/>
    <s v="2025.16.01.02.01."/>
    <s v="2025.16.01."/>
    <s v="Dotacja celowa dla NASK-PIB - rozwój, wdrażanie upowszechnienie systemu do elektronicznego zarządzania dokumentacją w podmiotach publicznych - Operator EZD"/>
    <s v="Cel realizacji zadania: wdrożenie elektronicznego zarządzania dokumentacją (EZD) w podmiotach realizujących zadania publiczne, w tym EZD PUW oraz EZD RP. Celem jest ustanowienie jednolitego systemu elektronicznego zarządzania dokumentacją w administracji rządowej oraz standardu systemów klasy EZD w administracji publicznej RP. Działania te są skierowane do podmiotów publicznych zainteresowanych wdrożeniem systemu klasy EZD._x000a_Planowane do osiągnięcia efekty rzeczowe: zakup infrastruktury stanowiskowej (laptopy i serwery stanowiskowe z oprogramowaniem), serwerów stanowiących wyposażenie sal mobilnych, oprogramowania specjalistycznego oraz sprzętu i oprogramowania w celu utrzymania oraz rozbudowy systemu i infrastruktury chmurowej SaaS EZD RP"/>
    <n v="10000"/>
    <m/>
    <n v="656"/>
    <n v="800"/>
    <n v="800"/>
    <n v="1000"/>
    <s v="umowa 11/DTC/2024/EZD_x000a_zawarta do dnia 2026.12.31"/>
    <s v="NASK-PIB"/>
    <s v="Ustawa z dnia 27 sierpnia 2009 r. o finansach publicznych (Dz. U. z 2024 r. poz. 1530) oraz ustawa z dnia 30 kwietnia 2010 r. o instytutach badawczych (Dz. U. z 2024 r. poz. 534)"/>
    <s v="zaangażowano środki w kwocie 655.800 zł"/>
    <x v="0"/>
  </r>
  <r>
    <x v="0"/>
    <x v="0"/>
    <x v="14"/>
    <n v="2830"/>
    <s v="n/d"/>
    <s v="D1"/>
    <s v="DGW27.BP.PF"/>
    <s v="MC"/>
    <s v="2"/>
    <s v="0"/>
    <s v="2025.16.05.01.02."/>
    <s v="2025.16.05."/>
    <s v="Człowiek w kryzysie – platforma wiedzy i komunikacji- kontynuacja i rozwój"/>
    <s v="Człowiek w kryzysie – platforma wiedzy i komunikacji- kontynuacja i rozwój; konieczność dalszego utrzymania i rozwoju platformy pomocowej (zwanej dalej „Platformą 116sos.pl”) dla osób w kryzysie emocjonalnym. Zadanie będzie realizowane w szczególności poprzez następujące działania:m.in.: 1. Zapewnienie i rozwój narzędzia typu contact center niezbędnego do zarządzaniaprocesem komunikacji Konsultant-Klient. . Dzięki odpowiedniemu narzędziu typu contact_x000a_center możliwa jest obsługa wszystkich form komunikacji, ale także agregacja; 2. Przygotowanie inteligentnego asystenta (czatbota) pozwalającego na triaż Klientów korzystających z czatu; 3. Zapewnienie stabilnego rozwiązania służącego do zgłaszania interwencji kryzysowych; 4. Weryfikacja oraz rozbudowa bazy ośrodków pomocowych w Polsce poprzez proaktywne wyszukiwanie nowych ośrodków i dodawanie ich do bazy"/>
    <n v="3490"/>
    <m/>
    <n v="12487"/>
    <n v="14985"/>
    <n v="17981"/>
    <n v="21578"/>
    <s v="umowa DTC.MC.WNS.530.3.2025.NASK_x000a_zawarta do dnia 2026.12.31."/>
    <s v="NASK-PIB"/>
    <s v="art. 37 ust. 1 ustawy z dnia 30 kwietnia 2010 r. _x000a_o instytutach badawczych (Dz. U. z 2024 r. poz. 534), w celu wykonania decyzji nr 3 Ministra Cyfryzacji _x000a_z dnia 7 czerwca 2024 r. w sprawie wyznaczenia instytutowi badawczemu – Naukowej i Akademickiej Sieci _x000a_Komputerowej z siedzibą w Warszawie zadania pn. „Człowiek w kryzysie – platforma wiedzy i komunikacji _x000a_– kontynuacja i rozwój”"/>
    <s v="zaangażowano środki w kwocie 4.340.313,59 zł_x000a_zawarta umowa obowiązuje w 2025; zawarto nową umowę nr DTC.MC.WNS.530.3.2025.NASK obowiązuje 01.06.2025-31.05.2026 "/>
    <x v="0"/>
  </r>
  <r>
    <x v="0"/>
    <x v="0"/>
    <x v="14"/>
    <n v="4000"/>
    <s v="n/d"/>
    <s v="D3"/>
    <s v="WB27.BP.PF"/>
    <s v="MC"/>
    <s v="4"/>
    <s v="0"/>
    <s v="2025.16.01.02.01."/>
    <s v="2025.16.01."/>
    <s v="Usługi ekspercie w zakresie wsparcia wdrożenia rozporządzenia eIDAS2"/>
    <s v="Celem zadania jest znalezienie ekspertów rynku aby w jak efektywniejszy sposób dostosować systemy MC do rozporządzenia eIDAS2"/>
    <n v="80"/>
    <m/>
    <n v="80"/>
    <n v="0"/>
    <n v="0"/>
    <n v="0"/>
    <s v="-"/>
    <s v="-"/>
    <s v="-"/>
    <m/>
    <x v="0"/>
  </r>
  <r>
    <x v="0"/>
    <x v="0"/>
    <x v="14"/>
    <n v="4000"/>
    <s v="n/d"/>
    <s v="D3"/>
    <s v="WB27.BP.PF"/>
    <s v="MC"/>
    <s v="4"/>
    <s v="0"/>
    <s v="2025.16.05.01.02."/>
    <s v="2025.16.05."/>
    <s v="Opłata roczna za używanie licencji Systemu BotSense Mobile dla klienta GOV dla  aplikacji mObywatel (platformy Android i IOS) "/>
    <s v="Opłata roczna za używanie licencji Systemu BotSense Mobile dla klienta GOV dla  aplikacji mObywatel (platformy Android i IOS) (Botsense)"/>
    <n v="406"/>
    <m/>
    <n v="406"/>
    <n v="406"/>
    <n v="0"/>
    <n v="0"/>
    <s v="-"/>
    <s v="-"/>
    <s v="-"/>
    <s v="Aneksy do obecnego projektu umowy Botsense (MC) NASK-PIB"/>
    <x v="0"/>
  </r>
  <r>
    <x v="0"/>
    <x v="0"/>
    <x v="14"/>
    <n v="4000"/>
    <s v="n/d"/>
    <s v="D3"/>
    <s v="WB27.BP.PF"/>
    <s v="MC"/>
    <s v="4"/>
    <s v="0"/>
    <s v="2025.16.01.02.01."/>
    <s v="2025.16.01."/>
    <s v="Bankowi Gospodarstwa Krajowego przysługuje wynagrodzenie z tytułu obsługi przyjmowania elektronicznych transakcji płatniczych finansowane z budżetu państwa z części, której dysponentem jest minister właściwy do spraw informatyzacji, przy czym wysokość wynagrodzenia nie może przekroczyć 0,05 zł od pojedyńczej transakcji"/>
    <s v="Bankowi Gospodarstwa Krajowego przysługuje wynagrodzenie z tytułu obsługi przyjmowania elektronicznych transakcji płatniczych finansowane z budżetu państwa z części, której dysponentem jest minister właściwy do spraw informatyzacji, przy czym wysokość wynagrodzenia nie może przekroczyć 0,05 zł od pojedyńczej transakcji (System ePłatności)"/>
    <n v="100"/>
    <m/>
    <n v="300"/>
    <n v="5000"/>
    <n v="5000"/>
    <n v="5000"/>
    <s v="-"/>
    <s v="-"/>
    <s v="-"/>
    <s v="Umowa do podpisania po zakończeniu pilotażu czyli powinna być ważna od 1.01.2025r. BGK"/>
    <x v="0"/>
  </r>
  <r>
    <x v="0"/>
    <x v="0"/>
    <x v="14"/>
    <n v="2830"/>
    <s v="n/d"/>
    <s v="D1"/>
    <s v="DGW27.BP.PF"/>
    <s v="MC"/>
    <s v="2"/>
    <s v="0"/>
    <s v="2025.16.05.01.02."/>
    <s v="2025.16.05."/>
    <s v="Zadanie dot. zapewnienia prawidłowego i niezawodnego funkcjonowania węzła eIDAS. Zadanie będzie realizowane w ramach dotacji celowych przez NASK PIB"/>
    <s v="Zadanie dot. zapewnienia prawidłowego i niezawodnego funkcjonowania węzła eIDAS. Zadanie będzie realizowane w ramach dotacji celowych przez NASK PIB (Dotacja celowa dla NASK PIB dot. pełnienia roli operatora węzła eIDAS)"/>
    <n v="3000"/>
    <m/>
    <n v="3070"/>
    <n v="3377"/>
    <n v="3545"/>
    <n v="3723"/>
    <s v="umowa 150/DTC/25_x000a_zawarta do dnia 2026.12.31"/>
    <s v="NASK-PIB"/>
    <s v="art. 37 ust. 1 ustawy z_x000a_dnia 30 kwietnia 2010 r. o instytutach badawczych"/>
    <s v="_x000a_zaangażowano środki w kwocie 3.069.380 zł_x000a__x000a_nie było możliwości wskazania wcześniejszych planów z uwagi na trwający proces decyzji dot. przeniesienia realizacji zadania do COI, zgodnie z ostateczną decyzją MC, zadanie będzie realizowane w formie dotacji NASK."/>
    <x v="0"/>
  </r>
  <r>
    <x v="0"/>
    <x v="0"/>
    <x v="14"/>
    <n v="2830"/>
    <s v="n/d"/>
    <s v="D1"/>
    <s v="DGW27.BP.PF"/>
    <s v="MC"/>
    <s v="2"/>
    <s v="0"/>
    <s v="2025.16.05.01.03."/>
    <s v="2025.16.05."/>
    <s v="Zadanie: Elementy nadzoru nad krajowym schematem identyfikacji elektronicznej - realizacja zadań szczególnie ważnych dla planowania i realizacji polityki państwa (dawniej OCT)"/>
    <s v="Dotacja celowa dla NASK PIB obejmuje udział w sprawowanym przez Ministra Cyfryzacji nadzorze nad podmiotami odpowiedzialnymi za systemy identyfikacji elektronicznej przyłączone do węzła krajowego. Zakres czynności obejmuje również udział w sprawowanym przez Ministra nadzorze nad podmiotami odpowiedzialnymi za systemy teleinformatyczne w których udostępniane są usługi online i zgodnie z art. 21t ust. 1 ustawy z dnia 5 września 2016 r. o usługach zaufania oraz identyfikacji elektronicznej za zgodą Ministra właściwego do spraw informatyzacji dostały zgodę na przyłączenie do węzła krajowego"/>
    <m/>
    <m/>
    <n v="445"/>
    <n v="490"/>
    <n v="538"/>
    <n v="592"/>
    <s v="-"/>
    <s v="NASK-PIB"/>
    <s v="Zgodnie z art. 21 ust. 6 Ustawy  z_x000d__x000a_dnia 30 kwietnia 2010 r.  o instytutach badawczych"/>
    <s v="Dane zaktualizowane o wartości z procedowanej umowy +kontynuację zadania w kolejnych latach NASK-PIB"/>
    <x v="0"/>
  </r>
  <r>
    <x v="0"/>
    <x v="0"/>
    <x v="14"/>
    <n v="4000"/>
    <s v="n/d"/>
    <s v="D3"/>
    <s v="WB27.BP.PF"/>
    <s v="MC"/>
    <s v="4"/>
    <s v="0"/>
    <s v="2025.16.01.02.01."/>
    <s v="2025.16.01."/>
    <s v="Wynajem powierzchni DC Bielany, ul. Barcicka 52/56 Warszawa"/>
    <s v="Wynajem powierzchni DC Bielany, ul. Barcicka 52/56 Warszawa (Utrzymanie DC Bielany) (energia elektryczna, CO, CW, woda, ścieki, śmieci"/>
    <n v="2960"/>
    <m/>
    <n v="2002"/>
    <n v="2202"/>
    <n v="2422"/>
    <n v="2665"/>
    <s v="-"/>
    <s v="-"/>
    <s v="-"/>
    <s v="Porozumienie nr 1/22 z dnia 15 marca 2022 roku z KGP w spr. współpracy w zakresie udostępnienia powierzchni komory serwerownii oraz dostępu do urządzeń technicznych w obiekcie KGP"/>
    <x v="0"/>
  </r>
  <r>
    <x v="0"/>
    <x v="0"/>
    <x v="14"/>
    <n v="4480"/>
    <s v="n/d"/>
    <s v="D3"/>
    <s v="WB27.BP.PF"/>
    <s v="MC"/>
    <s v="4"/>
    <s v="0"/>
    <s v="2025.16.01.02.01."/>
    <s v="2025.16.01."/>
    <s v="Wynajem powierzchni DC Bielany, ul. Barcicka 52/56 Warszawa"/>
    <s v="Wynajem powierzchni DC Bielany, ul. Barcicka 52/56 Warszawa (Utrzymanie DC Bielany) (podatek od nieruchomości)"/>
    <n v="3"/>
    <m/>
    <n v="3"/>
    <n v="3"/>
    <n v="3"/>
    <n v="2"/>
    <s v="-"/>
    <s v="-"/>
    <s v="-"/>
    <s v="Porozumienie nr 1/22 z dnia 15 marca 2022 roku z KGP w spr. współpracy w zakresie udostępnienia powierzchni komory serwerownii oraz dostępu do urządzeń technicznych w obiekcie KGP"/>
    <x v="0"/>
  </r>
  <r>
    <x v="0"/>
    <x v="0"/>
    <x v="14"/>
    <n v="4270"/>
    <s v="n/d"/>
    <s v="D3"/>
    <s v="WB27.BP.PF"/>
    <s v="MC"/>
    <s v="4"/>
    <s v="0"/>
    <s v="2025.16.01.02.01."/>
    <s v="2025.16.01."/>
    <s v="Wynajem powierzchni DC Bielany, ul. Barcicka 52/56 Warszawa"/>
    <s v="Wynajem powierzchni DC Bielany, ul. Barcicka 52/56 Warszawa (Utrzymanie DC Bielany)"/>
    <n v="2"/>
    <m/>
    <n v="2"/>
    <n v="2"/>
    <n v="0"/>
    <n v="0"/>
    <s v="-"/>
    <s v="-"/>
    <s v="-"/>
    <s v="Porozumienie nr 1/22 z dnia 15 marca 2022 roku z KGP w spr. współpracy w zakresie udostępnienia powierzchni komory serwerownii oraz dostępu do urządzeń technicznych w obiekcie KGP"/>
    <x v="0"/>
  </r>
  <r>
    <x v="0"/>
    <x v="0"/>
    <x v="14"/>
    <n v="4000"/>
    <s v="n/d"/>
    <s v="D3"/>
    <s v="WB27.BP.PF"/>
    <s v="MC"/>
    <s v="4"/>
    <s v="0"/>
    <s v="2025.16.01.02.01."/>
    <s v="2025.16.01."/>
    <s v="Wynajem powierzchni DC Ochota, ul. Pawińskiego 17/21 Warszawa"/>
    <s v="Wynajem powierzchni DC Ochota, ul. Pawińskiego 17/21 Warszawa (Utrzymanie DC Ochota)"/>
    <n v="1796"/>
    <m/>
    <n v="1397"/>
    <n v="1537"/>
    <n v="1690"/>
    <n v="1859"/>
    <s v="-"/>
    <s v="-"/>
    <s v="-"/>
    <s v="Umowa Użyczenia Nr 3/U/BDG/2018 z dnia 22 lutego 2018 roku wraz z Aneksami."/>
    <x v="0"/>
  </r>
  <r>
    <x v="0"/>
    <x v="0"/>
    <x v="14"/>
    <n v="4480"/>
    <s v="n/d"/>
    <s v="D3"/>
    <s v="WB27.BP.PF"/>
    <s v="MC"/>
    <s v="4"/>
    <s v="0"/>
    <s v="2025.16.01.02.01."/>
    <s v="2025.16.01."/>
    <s v="Wynajem powierzchni DC Ochota, ul. Pawińskiego 17/21 Warszawa"/>
    <s v="Wynajem powierzchni DC Ochota, ul. Pawińskiego 17/21 Warszawa (Utrzymanie DC Ochota)"/>
    <n v="28"/>
    <m/>
    <n v="31"/>
    <n v="34"/>
    <n v="37"/>
    <n v="0"/>
    <s v="-"/>
    <s v="-"/>
    <s v="-"/>
    <s v="Umowa Użyczenia Nr 3/U/BDG/2018 z dnia 22 lutego 2018 roku wraz z Aneksami."/>
    <x v="0"/>
  </r>
  <r>
    <x v="0"/>
    <x v="0"/>
    <x v="14"/>
    <n v="4270"/>
    <s v="n/d"/>
    <s v="D3"/>
    <s v="WB27.BP.PF"/>
    <s v="MC"/>
    <s v="4"/>
    <s v="0"/>
    <s v="2025.16.01.02.01."/>
    <s v="2025.16.01."/>
    <s v="Wynajem powierzchni DC Ochota, ul. Pawińskiego 17/21 Warszawa"/>
    <s v="Wynajem powierzchni DC Ochota, ul. Pawińskiego 17/21 Warszawa (Utrzymanie DC Ochota)"/>
    <n v="288"/>
    <m/>
    <n v="487"/>
    <n v="536"/>
    <n v="589"/>
    <n v="0"/>
    <s v="-"/>
    <s v="-"/>
    <s v="-"/>
    <s v="Umowa Użyczenia Nr 3/U/BDG/2018 z dnia 22 lutego 2018 roku wraz z Aneksami."/>
    <x v="0"/>
  </r>
  <r>
    <x v="0"/>
    <x v="0"/>
    <x v="14"/>
    <n v="4000"/>
    <s v="n/d"/>
    <s v="D3"/>
    <s v="WB27.BP.PF"/>
    <s v="MC"/>
    <s v="4"/>
    <s v="0"/>
    <s v="2025.16.01.02.01."/>
    <s v="2025.16.01."/>
    <s v="Odpłatne świadczenie usług udostępnienia systemu dla infolinii w celu zapewnienia funkcjonowania systemu telefonów informacyjnych „Informacja dla obywatela” uzupełniającego funkcjonalność www.gov.pl oraz narzędzi klasy CRM"/>
    <s v="Zapewnienie systemu do realizacji połączeń informacyjnych we wszystkich ministerstwach, urzędach wojewódzkich, KPRM i GUNB (Odpłatne świadczenie usług udostępnienia systemu dla infolinii w celu zapewnienia funkcjonowania systemu telefonów informacyjnych „Informacja dla obywatela” uzupełniającego funkcjonalność www.gov.pl oraz narzędzi klasy CRM)"/>
    <n v="106"/>
    <m/>
    <n v="191"/>
    <n v="0"/>
    <n v="0"/>
    <n v="0"/>
    <s v="wniosek 124/DTC/25"/>
    <s v="-"/>
    <s v="-"/>
    <s v="zaangażowano środki w kwocie 190.500 zł"/>
    <x v="0"/>
  </r>
  <r>
    <x v="0"/>
    <x v="0"/>
    <x v="14"/>
    <n v="4540"/>
    <s v="n/d"/>
    <s v="D3"/>
    <s v="WB27.BP.PF"/>
    <s v="MC"/>
    <s v="4"/>
    <s v="0"/>
    <s v="2025.16.01.02.01."/>
    <s v="2025.16.01."/>
    <s v="Opłata roczna  za utrzymanie adresacji IP (RIPE NCC)"/>
    <s v="Opłata roczna  za utrzymanie adresacji IP (RIPE NCC)."/>
    <n v="10"/>
    <m/>
    <n v="13"/>
    <n v="13"/>
    <n v="13"/>
    <n v="13"/>
    <s v="-"/>
    <s v="-"/>
    <s v="-"/>
    <s v="kwota składki jest wartością zmienną, może ulec zmianie tj. zwiększyć się lub zmniejszyć_x000a_umowa RIPE NCC Standard Service Agreement zawarta z Réseaux IP Européens Network Coordination Centre (RIPE NCC)"/>
    <x v="0"/>
  </r>
  <r>
    <x v="0"/>
    <x v="0"/>
    <x v="14"/>
    <n v="4600"/>
    <s v="n/d"/>
    <s v="D3"/>
    <s v="WB27.BP.PF"/>
    <s v="MC"/>
    <s v="4"/>
    <s v="0"/>
    <s v="2025.16.01.02.01."/>
    <s v="2025.16.01."/>
    <s v="Kary i odszkodowania na rzecz osób prawnych"/>
    <s v="szacunkowe koszty w zakresie spraw  administracyjnych na lata 2026-2030 (sprawy nowe - w oparciu o ilość spraw z lat ubiegłych)"/>
    <n v="22"/>
    <m/>
    <n v="16"/>
    <n v="0"/>
    <n v="0"/>
    <n v="0"/>
    <s v="-"/>
    <s v="-"/>
    <s v="-"/>
    <s v="inne: m.in.. decyzje administracyjne, wyroki sądowe"/>
    <x v="0"/>
  </r>
  <r>
    <x v="0"/>
    <x v="0"/>
    <x v="14"/>
    <n v="4610"/>
    <s v="n/d"/>
    <s v="D3"/>
    <s v="WB27.BP.PF"/>
    <s v="MC"/>
    <s v="4"/>
    <s v="0"/>
    <s v="2025.16.01.02.01."/>
    <s v="2025.16.01."/>
    <s v="Koszty w zakresie spraw sądowych"/>
    <s v="szacunkowe koszty w zakresie spraw sądowych na lata 2026-2030 (sprawy nowe - w oparciu o ilość spraw z lat ubiegłych)"/>
    <n v="1"/>
    <m/>
    <n v="1"/>
    <n v="0"/>
    <n v="0"/>
    <n v="0"/>
    <s v="-"/>
    <s v="-"/>
    <s v="-"/>
    <m/>
    <x v="0"/>
  </r>
  <r>
    <x v="1"/>
    <x v="2"/>
    <x v="14"/>
    <n v="6800"/>
    <s v="-"/>
    <s v="-"/>
    <s v="-"/>
    <s v="-"/>
    <s v="-"/>
    <s v="-"/>
    <s v="2025.16.01.02.01."/>
    <s v="2025.16.01."/>
    <s v="Wspólna Infrastruktura Informatyczna Państwa (WYDATKI MAJĄTKOWE)"/>
    <s v="WYDATKI MAJKOWE I WYDATKI BIEŻĄCE - Środki w kwocie ogółem 79.916 tys. zł przeznaczone na finansowanie zadań wynikających z uchwały Nr 97 Rady Ministrów z dnia 11 września 2019 r. w sprawie Inicjatywy „Wspólna Infrastruktura Informatyczna Państwa”.:_x000a_Ministerstwo Edukacji i Nauki - 1.219 tys. zł, Ministerstwo Rozwoju i Technolgii - 867 tys. zł, Ministerstwo Zdrowia - 2.285 tys. zł, KPRM - 122 tys. zł, Ministerstwo Cyfryzacji - 75.423 tys. zł (§ 6060)_x000a_NIEOSZACOWANE (w trakcie uzgodnień): Ministerstwo Klimatu (system BDO), KPRM (system e-learning w SC), Ministerstwo Aktywów Państwowych (system Kontroli Zarządczej), Ministerstwo Spraw Zagranicznych (system ewybory.msz.gov.pl)"/>
    <n v="21000"/>
    <m/>
    <n v="36878"/>
    <n v="226894"/>
    <n v="36907"/>
    <n v="17179"/>
    <s v="-"/>
    <s v="-"/>
    <s v="-"/>
    <s v="Uwzględniono WIIP - finansowanie z rezerwy celowej (§ 6060)_x000a_§ 11.1. Źródłem finansowania Inicjatywy WIIP będą środki budżetu państwa w ramach rezerwy celowej pod nazwą „Finansowanie Inicjatywy Wspólna Infrastruktura Informatyczna Państwa”._x000a_3. Środki na rezerwę celową, o której mowa w ust. 1, będą pochodziły ze środków finansowych, które dotychczas były przeznaczone, a także były lub będą planowane na zapewnienie usług przetwarzania pozwalających na rozwój i utrzymanie systemów teleinformatycznych przenoszonych na Rządową Chmurę Obliczeniową"/>
    <x v="0"/>
  </r>
  <r>
    <x v="1"/>
    <x v="2"/>
    <x v="14"/>
    <n v="4810"/>
    <s v="-"/>
    <s v="-"/>
    <s v="-"/>
    <s v="-"/>
    <s v="-"/>
    <s v="-"/>
    <s v="2025.16.01.02.01."/>
    <s v="2025.16.01."/>
    <s v="Wspólna Infrastruktura Informatyczna Państwa (WYDATKI BIEŻĄCE)"/>
    <s v="jak wyżej"/>
    <m/>
    <m/>
    <n v="43037.64"/>
    <n v="43967"/>
    <n v="69939"/>
    <n v="76144"/>
    <s v="-"/>
    <s v="-"/>
    <s v="-"/>
    <s v="Uwzględniono WIIP - finansowanie z rezerwy celowej (§ 4000)_x000a_zaangażowano środki w kwocie 33.948 zł+54.243 zł=88.191 zł"/>
    <x v="0"/>
  </r>
  <r>
    <x v="1"/>
    <x v="2"/>
    <x v="14"/>
    <n v="4421"/>
    <s v="n/d"/>
    <s v="D3"/>
    <s v="WB27.BP.PF"/>
    <s v="DEP.APTITUDE"/>
    <s v="4"/>
    <n v="1"/>
    <s v="2025.16.05.01.02."/>
    <s v="2025.16.05."/>
    <s v="Digital Europe Programme (DEP) - Advanced Project for Trusted Identity Technologies and Unified Digital Ecosystem “APTITUDE”  Zaawansowany projekt na rzec zaufanych Technologii tożsamości i jednolitego Ekosystemu cyfrowego “APTITUDE”"/>
    <s v="środki przeznaczone na delegacje zagraniczne w ramach projektu APTITUDE"/>
    <m/>
    <m/>
    <n v="10"/>
    <n v="0"/>
    <n v="0"/>
    <n v="0"/>
    <s v="-"/>
    <s v="-"/>
    <s v="-"/>
    <s v="Advanced Project for Trusted Identity Technologies and Unified Digital Ecosystem “APTITUDE” (kontynuacja POTENTIAL)_x000a_Umowa pomiędzy Ministere DE L’INTERIEUR (Koordynator) oraz Ministerstwo Cyfryzacji (Beneficjent)"/>
    <x v="0"/>
  </r>
  <r>
    <x v="0"/>
    <x v="0"/>
    <x v="14"/>
    <n v="4422"/>
    <s v="n/d"/>
    <s v="D3"/>
    <s v="WB27.BP.PF"/>
    <s v="DEP.APTITUDE"/>
    <s v="4"/>
    <n v="2"/>
    <s v="2025.16.05.01.02."/>
    <s v="2025.16.05."/>
    <s v="Digital Europe Programme (DEP) - Advanced Project for Trusted Identity Technologies and Unified Digital Ecosystem “APTITUDE”  Zaawansowany projekt na rzec zaufanych Technologii tożsamości i jednolitego Ekosystemu cyfrowego “APTITUDE”"/>
    <s v="środki przeznaczone na delegacje zagraniczne w ramach projektu APTITUDE"/>
    <m/>
    <m/>
    <n v="10"/>
    <n v="0"/>
    <n v="0"/>
    <n v="0"/>
    <s v="-"/>
    <s v="-"/>
    <s v="-"/>
    <s v="Advanced Project for Trusted Identity Technologies and Unified Digital Ecosystem “APTITUDE” (kontynuacja POTENTIAL)_x000a_Umowa pomiędzy Ministere DE L’INTERIEUR (Koordynator) oraz Ministerstwo Cyfryzacji (Beneficjent)"/>
    <x v="0"/>
  </r>
  <r>
    <x v="1"/>
    <x v="2"/>
    <x v="14"/>
    <n v="4021"/>
    <s v="PW.KSC.WYN"/>
    <s v="D3"/>
    <s v="WB27.BP.PF"/>
    <s v="DEP.APTITUDE"/>
    <s v="4"/>
    <n v="1"/>
    <s v="2025.16.05.01.02."/>
    <s v="2025.16.05."/>
    <s v="Digital Europe Programme (DEP) - Advanced Project for Trusted Identity Technologies and Unified Digital Ecosystem “APTITUDE”  Zaawansowany projekt na rzec zaufanych Technologii tożsamości i jednolitego Ekosystemu cyfrowego “APTITUDE”"/>
    <s v="środki przeznaczone na wynagrodzenia w ramach projektu APTITUDE"/>
    <n v="41"/>
    <m/>
    <n v="60"/>
    <n v="49"/>
    <n v="0"/>
    <n v="0"/>
    <s v="-"/>
    <s v="-"/>
    <s v="-"/>
    <s v="Advanced Project for Trusted Identity Technologies and Unified Digital Ecosystem “APTITUDE” (kontynuacja POTENTIAL)_x000a_Umowa pomiędzy Ministere DE L’INTERIEUR (Koordynator) oraz Ministerstwo Cyfryzacji (Beneficjent)"/>
    <x v="0"/>
  </r>
  <r>
    <x v="0"/>
    <x v="0"/>
    <x v="14"/>
    <n v="4022"/>
    <s v="PW.KSC.WYN"/>
    <s v="D3"/>
    <s v="WB27.BP.PF"/>
    <s v="DEP.APTITUDE"/>
    <s v="4"/>
    <n v="2"/>
    <s v="2025.16.05.01.02."/>
    <s v="2025.16.05."/>
    <s v="Digital Europe Programme (DEP) - Advanced Project for Trusted Identity Technologies and Unified Digital Ecosystem “APTITUDE”  Zaawansowany projekt na rzec zaufanych Technologii tożsamości i jednolitego Ekosystemu cyfrowego “APTITUDE”"/>
    <s v="środki przeznaczone na wynagrodzenia w ramach projektu APTITUDE"/>
    <m/>
    <m/>
    <n v="60"/>
    <n v="49"/>
    <n v="0"/>
    <n v="0"/>
    <s v="-"/>
    <s v="-"/>
    <s v="-"/>
    <s v="Advanced Project for Trusted Identity Technologies and Unified Digital Ecosystem “APTITUDE” (kontynuacja POTENTIAL)_x000a_Umowa pomiędzy Ministere DE L’INTERIEUR (Koordynator) oraz Ministerstwo Cyfryzacji (Beneficjent)"/>
    <x v="0"/>
  </r>
  <r>
    <x v="1"/>
    <x v="2"/>
    <x v="14"/>
    <n v="4111"/>
    <s v="n/d"/>
    <s v="D3"/>
    <s v="WB27.BP.PF"/>
    <s v="DEP.APTITUDE"/>
    <s v="4"/>
    <n v="1"/>
    <s v="2025.16.05.01.02."/>
    <s v="2025.16.05."/>
    <s v="Digital Europe Programme (DEP) - Advanced Project for Trusted Identity Technologies and Unified Digital Ecosystem “APTITUDE”  Zaawansowany projekt na rzec zaufanych Technologii tożsamości i jednolitego Ekosystemu cyfrowego “APTITUDE”"/>
    <s v="środki przeznaczone na pochodne od wynagrodzeń w ramach projektu APTITUDE"/>
    <n v="7"/>
    <m/>
    <n v="11"/>
    <n v="10"/>
    <n v="0"/>
    <n v="0"/>
    <s v="-"/>
    <s v="-"/>
    <s v="-"/>
    <s v="Advanced Project for Trusted Identity Technologies and Unified Digital Ecosystem “APTITUDE” (kontynuacja POTENTIAL)_x000a_Umowa pomiędzy Ministere DE L’INTERIEUR (Koordynator) oraz Ministerstwo Cyfryzacji (Beneficjent)"/>
    <x v="0"/>
  </r>
  <r>
    <x v="0"/>
    <x v="0"/>
    <x v="14"/>
    <n v="4112"/>
    <s v="n/d"/>
    <s v="D3"/>
    <s v="WB27.BP.PF"/>
    <s v="DEP.APTITUDE"/>
    <s v="4"/>
    <n v="2"/>
    <s v="2025.16.05.01.02."/>
    <s v="2025.16.05."/>
    <s v="Digital Europe Programme (DEP) - Advanced Project for Trusted Identity Technologies and Unified Digital Ecosystem “APTITUDE”  Zaawansowany projekt na rzec zaufanych Technologii tożsamości i jednolitego Ekosystemu cyfrowego “APTITUDE”"/>
    <s v="środki przeznaczone na pochodne od wynagrodzeń w ramach projektu APTITUDE"/>
    <m/>
    <m/>
    <n v="11"/>
    <n v="10"/>
    <n v="0"/>
    <n v="0"/>
    <s v="-"/>
    <s v="-"/>
    <s v="-"/>
    <s v="Advanced Project for Trusted Identity Technologies and Unified Digital Ecosystem “APTITUDE” (kontynuacja POTENTIAL)_x000a_Umowa pomiędzy Ministere DE L’INTERIEUR (Koordynator) oraz Ministerstwo Cyfryzacji (Beneficjent)"/>
    <x v="0"/>
  </r>
  <r>
    <x v="1"/>
    <x v="2"/>
    <x v="14"/>
    <n v="4121"/>
    <s v="n/d"/>
    <s v="D3"/>
    <s v="WB27.BP.PF"/>
    <s v="DEP.APTITUDE"/>
    <s v="4"/>
    <n v="1"/>
    <s v="2025.16.05.01.02."/>
    <s v="2025.16.05."/>
    <s v="Digital Europe Programme (DEP) - Advanced Project for Trusted Identity Technologies and Unified Digital Ecosystem “APTITUDE”  Zaawansowany projekt na rzec zaufanych Technologii tożsamości i jednolitego Ekosystemu cyfrowego “APTITUDE”"/>
    <s v="środki przeznaczone na pochodne od wynagrodzeń w ramach projektu APTITUDE"/>
    <n v="1"/>
    <m/>
    <n v="2"/>
    <n v="2"/>
    <n v="0"/>
    <n v="0"/>
    <s v="-"/>
    <s v="-"/>
    <s v="-"/>
    <s v="Advanced Project for Trusted Identity Technologies and Unified Digital Ecosystem “APTITUDE” (kontynuacja POTENTIAL)_x000a_Umowa pomiędzy Ministere DE L’INTERIEUR (Koordynator) oraz Ministerstwo Cyfryzacji (Beneficjent)"/>
    <x v="0"/>
  </r>
  <r>
    <x v="0"/>
    <x v="0"/>
    <x v="14"/>
    <n v="4122"/>
    <s v="n/d"/>
    <s v="D3"/>
    <s v="WB27.BP.PF"/>
    <s v="DEP.APTITUDE"/>
    <s v="4"/>
    <n v="2"/>
    <s v="2025.16.05.01.02."/>
    <s v="2025.16.05."/>
    <s v="Digital Europe Programme (DEP) - Advanced Project for Trusted Identity Technologies and Unified Digital Ecosystem “APTITUDE”  Zaawansowany projekt na rzec zaufanych Technologii tożsamości i jednolitego Ekosystemu cyfrowego “APTITUDE”"/>
    <s v="środki przeznaczone na pochodne od wynagrodzeń w ramach projektu APTITUDE"/>
    <m/>
    <m/>
    <n v="2"/>
    <n v="2"/>
    <n v="0"/>
    <n v="0"/>
    <s v="-"/>
    <s v="-"/>
    <s v="-"/>
    <s v="Advanced Project for Trusted Identity Technologies and Unified Digital Ecosystem “APTITUDE” (kontynuacja POTENTIAL)_x000a_Umowa pomiędzy Ministere DE L’INTERIEUR (Koordynator) oraz Ministerstwo Cyfryzacji (Beneficjent)"/>
    <x v="0"/>
  </r>
  <r>
    <x v="0"/>
    <x v="0"/>
    <x v="14"/>
    <n v="4711"/>
    <s v="n/d"/>
    <s v="D3"/>
    <s v="WB27.BP.PF"/>
    <s v="DEP.APTITUDE"/>
    <s v="4"/>
    <n v="1"/>
    <s v="2025.16.05.01.02."/>
    <s v="2025.16.05."/>
    <s v="Digital Europe Programme (DEP) - Advanced Project for Trusted Identity Technologies and Unified Digital Ecosystem “APTITUDE”  Zaawansowany projekt na rzec zaufanych Technologii tożsamości i jednolitego Ekosystemu cyfrowego “APTITUDE”"/>
    <s v="środki przeznaczone na PPK w ramach projektu APTITUDE"/>
    <m/>
    <m/>
    <n v="1"/>
    <n v="1"/>
    <n v="0"/>
    <n v="0"/>
    <s v="-"/>
    <s v="-"/>
    <s v="-"/>
    <s v="Advanced Project for Trusted Identity Technologies and Unified Digital Ecosystem “APTITUDE” (kontynuacja POTENTIAL)_x000a_Umowa pomiędzy Ministere DE L’INTERIEUR (Koordynator) oraz Ministerstwo Cyfryzacji (Beneficjent)"/>
    <x v="0"/>
  </r>
  <r>
    <x v="0"/>
    <x v="0"/>
    <x v="14"/>
    <n v="4712"/>
    <s v="n/d"/>
    <s v="D3"/>
    <s v="WB27.BP.PF"/>
    <s v="DEP.APTITUDE"/>
    <s v="4"/>
    <n v="2"/>
    <s v="2025.16.05.01.02."/>
    <s v="2025.16.05."/>
    <s v="Digital Europe Programme (DEP) - Advanced Project for Trusted Identity Technologies and Unified Digital Ecosystem “APTITUDE”  Zaawansowany projekt na rzec zaufanych Technologii tożsamości i jednolitego Ekosystemu cyfrowego “APTITUDE”"/>
    <s v="środki przeznaczone na PPK w ramach projektu APTITUDE"/>
    <m/>
    <m/>
    <n v="1"/>
    <n v="1"/>
    <n v="0"/>
    <n v="0"/>
    <s v="-"/>
    <s v="-"/>
    <s v="-"/>
    <s v="Advanced Project for Trusted Identity Technologies and Unified Digital Ecosystem “APTITUDE” (kontynuacja POTENTIAL)_x000a_Umowa pomiędzy Ministere DE L’INTERIEUR (Koordynator) oraz Ministerstwo Cyfryzacji (Beneficjent)"/>
    <x v="0"/>
  </r>
  <r>
    <x v="1"/>
    <x v="2"/>
    <x v="14"/>
    <n v="4041"/>
    <s v="PW.KSC.DWR"/>
    <s v="D3"/>
    <s v="WB27.BP.PF"/>
    <s v="DEP.APTITUDE"/>
    <s v="4"/>
    <n v="1"/>
    <s v="2025.16.05.01.02."/>
    <s v="2025.16.05."/>
    <s v="Digital Europe Programme (DEP) - Advanced Project for Trusted Identity Technologies and Unified Digital Ecosystem “APTITUDE”  Zaawansowany projekt na rzec zaufanych Technologii tożsamości i jednolitego Ekosystemu cyfrowego “APTITUDE”"/>
    <s v="środki przeznaczone na DWR w ramach projektu APTITUDE"/>
    <n v="4"/>
    <m/>
    <n v="2"/>
    <n v="5"/>
    <n v="0"/>
    <n v="0"/>
    <s v="-"/>
    <s v="-"/>
    <s v="-"/>
    <s v="Advanced Project for Trusted Identity Technologies and Unified Digital Ecosystem “APTITUDE” (kontynuacja POTENTIAL)_x000a_Umowa pomiędzy Ministere DE L’INTERIEUR (Koordynator) oraz Ministerstwo Cyfryzacji (Beneficjent)"/>
    <x v="0"/>
  </r>
  <r>
    <x v="0"/>
    <x v="0"/>
    <x v="14"/>
    <n v="4042"/>
    <s v="PW.KSC.DWR"/>
    <s v="D3"/>
    <s v="WB27.BP.PF"/>
    <s v="DEP.APTITUDE"/>
    <s v="4"/>
    <n v="2"/>
    <s v="2025.16.05.01.02."/>
    <s v="2025.16.05."/>
    <s v="Digital Europe Programme (DEP) - Advanced Project for Trusted Identity Technologies and Unified Digital Ecosystem “APTITUDE”  Zaawansowany projekt na rzec zaufanych Technologii tożsamości i jednolitego Ekosystemu cyfrowego “APTITUDE”"/>
    <s v="środki przeznaczone na DWR w ramach projektu APTITUDE"/>
    <m/>
    <m/>
    <n v="2"/>
    <n v="5"/>
    <n v="0"/>
    <n v="0"/>
    <s v="-"/>
    <s v="-"/>
    <s v="-"/>
    <s v="Advanced Project for Trusted Identity Technologies and Unified Digital Ecosystem “APTITUDE” (kontynuacja POTENTIAL)_x000a_Umowa pomiędzy Ministere DE L’INTERIEUR (Koordynator) oraz Ministerstwo Cyfryzacji (Beneficjent)"/>
    <x v="0"/>
  </r>
  <r>
    <x v="0"/>
    <x v="0"/>
    <x v="14"/>
    <n v="4000"/>
    <s v="n/d"/>
    <s v="D3"/>
    <s v="WB27.BP.PF"/>
    <s v="MC"/>
    <s v="4"/>
    <s v="0"/>
    <s v="2025.16.01.02.01."/>
    <s v="2025.16.01."/>
    <s v="Umowa najmu powierzchni biurowo-technicznej"/>
    <s v="Przedmiotem Umowy jest oddanie przez Konsorcjum (NASK-PIB i NASK S.A. Najemcy (COI) do używania przez czas oznaczony:_x000a_1) komory serwerowni o powierzchni 240 m2 znajdującej się w należącej do Członka Konsorcjum serwerowni DC NASK 11.11 położonej w Warszawie przy ul. 11 listopada 23a, zwanej dalej „Powierzchnią”,_x000a_2) powierzchni biurowej o powierzchni 315 m2, znajdującej się w należącym do Członka Konsorcjum budynku biurowym na terenie DC NASK 11.11 położonym w Warszawie przy ul. 11 listopada 23, zwanej dalej „Powierzchnią biurową”"/>
    <m/>
    <m/>
    <n v="3583"/>
    <n v="4298.9999999999991"/>
    <n v="4298.9999999999991"/>
    <n v="4298.9999999999991"/>
    <s v="Porozumienie dot. przeniesienia praw i obowiązków do umowy najmu powierzchni biurowo-technicznej_x000a_zawarte do dnia 2026.12.01."/>
    <s v="COI i Konsorcjum (NASK-PIB i NASK S.A.)"/>
    <s v="-"/>
    <s v="zaangażowano środki w kwocie 3.582.900,75 zł_x000a_umowa obowiązuje do 2026; konieczne będzie zapewnienie ciągłości zadania i zabezpieczenie na kolejne lata (to jest nowy wiersz dodany w załączniku nr 1)"/>
    <x v="0"/>
  </r>
  <r>
    <x v="0"/>
    <x v="0"/>
    <x v="14"/>
    <n v="6050"/>
    <m/>
    <s v="D3"/>
    <s v="WB27.BP.PF"/>
    <s v="MC"/>
    <s v="6"/>
    <s v="0"/>
    <s v="2025.16.01.02.01."/>
    <s v="2025.16.01."/>
    <s v="Budowa Krajowego Centrum Przetwarzania Danych (KCPD)"/>
    <s v="Budowa KCPD podzielona jest na dwa etapy:_x000a_Etap I  KCPD (finansowany z KPO, nr wniosku: KPOD.05.10-IW.06-0001/23) obejmuje:_x000a_Uzyskanie pozwoleń na budowę dla trzech ośrodków MC._x000a_Budowę dwóch ośrodków w stanie surowym zamkniętym (SSZ), w tym roboty ziemne, konstrukcyjne i elewacyjne oraz infrastruktura zewnętrzna._x000a_Realizację niezbędnej infrastruktury towarzyszącej (światłowody, przyłącza energetyczne 5MW i 2×15MW dla wszystkich trzech lokalizacji)._x000a_Pozyskanie działek i kompletnej dokumentacji projektowej, środowiskowej i budowlanej._x000a_Do tej pory uzyskano decyzje środowiskowe (14.04.2025) oraz złożono wnioski o decyzje lokalizacyjne (planowane uzyskanie: czerwiec–lipiec 2025). Pozwolenia na budowę planowane są na przełom sierpnia i września 2025 r._x000a_Etap II (planowany do sfinansowania z Działania 2.1 FERC) zakłada:_x000a_Dokończenie budowy dwóch ośrodków (uzyskanie pozwoleń na użytkowanie)._x000a_Budowę trzeciego ośrodka do stanu operacyjnego._x000a_Doposażenie wszystkich ośrodków do klasy dostępności 3 (PN-EN 50600)._x000a_Finalizację przyłączy energetycznych 2×15MW (w tym stacje transformatorowe i energetyzację)._x000a_W związku z faktem, że na chwilę obecną brak jest zapewnienia finansowania do realizacji zadań planowanych w ramach FERC niezbędne jest zabezpiecznie kwoty ok 278 mln, która planowana jest już do poniesienia w ramach etapu II finsowanego z FERC w 2026 r."/>
    <m/>
    <m/>
    <n v="278000"/>
    <n v="0"/>
    <n v="0"/>
    <n v="0"/>
    <s v="-"/>
    <s v="-"/>
    <s v="-"/>
    <s v="Umowy z Wykonawcami (NASK-PIB i wykonawcami relaizującym porjekt KCPD) zawarte będą w 2025. Program inwestycji zostanie przygotowany i zatwierdzony "/>
    <x v="0"/>
  </r>
  <r>
    <x v="0"/>
    <x v="0"/>
    <x v="14"/>
    <n v="4000"/>
    <s v="n/d"/>
    <s v="D3"/>
    <s v="WB27.BP.PF"/>
    <s v="MC"/>
    <s v="4"/>
    <s v="0"/>
    <s v="2025.16.01.02.01."/>
    <s v="2025.16.01."/>
    <s v="Projekt Krajowe Centrum Przetwarzania Danych (KCPD)"/>
    <s v="Środki bieżące wynikające z realizacji Umowy o partnerstwie zawartej pomiędzy NASK a Ministerstwem Cyfryzacji na realizację projektu KCPD w ramach inwestycji C3.1.1, które nie kwalifikują się jako wydatki kwalifikowalne w ramach projektu realizowanego ze środków Krajowego Planu Odbudowy."/>
    <m/>
    <m/>
    <n v="400"/>
    <n v="0"/>
    <n v="0"/>
    <n v="0"/>
    <s v="-"/>
    <s v="-"/>
    <s v="-"/>
    <s v="Umowa partnerska zawarta z NASK-PIB na realizację projektu KCPD. Umowy z Wykonawcami zawarte będą w 2025"/>
    <x v="0"/>
  </r>
  <r>
    <x v="0"/>
    <x v="0"/>
    <x v="14"/>
    <n v="4000"/>
    <s v="n/d"/>
    <s v="D3"/>
    <s v="WB27.BP.PF"/>
    <s v="MC"/>
    <s v="4"/>
    <s v="0"/>
    <s v="2025.16.01.02.01."/>
    <s v="2025.16.01."/>
    <s v="Zadania obsługowe"/>
    <s v="Prace niedotyczące żadnych systemów - prace obsługowe MC finansowane w ramach umowy fuzyjnej"/>
    <m/>
    <m/>
    <n v="12500"/>
    <n v="13750"/>
    <n v="15125"/>
    <n v="16637"/>
    <s v="-"/>
    <s v="-"/>
    <s v="-"/>
    <s v="Prace obsługowe MC - finansowane z umowy fuzyjnej"/>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D398002-EA39-43ED-BD30-D687F4ADA619}" name="Tabela przestawna5" cacheId="1" applyNumberFormats="0" applyBorderFormats="0" applyFontFormats="0" applyPatternFormats="0" applyAlignmentFormats="0" applyWidthHeightFormats="1" dataCaption="Wartości" updatedVersion="8" minRefreshableVersion="3" useAutoFormatting="1" itemPrintTitles="1" createdVersion="8" indent="0" outline="1" outlineData="1" multipleFieldFilters="0">
  <location ref="B76:G81" firstHeaderRow="0" firstDataRow="1" firstDataCol="1"/>
  <pivotFields count="24">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showAll="0"/>
    <pivotField showAll="0"/>
    <pivotField showAll="0"/>
    <pivotField showAll="0"/>
    <pivotField showAll="0"/>
    <pivotField axis="axisRow" showAll="0">
      <items count="5">
        <item x="1"/>
        <item x="2"/>
        <item x="0"/>
        <item x="3"/>
        <item t="default"/>
      </items>
    </pivotField>
  </pivotFields>
  <rowFields count="1">
    <field x="23"/>
  </rowFields>
  <rowItems count="5">
    <i>
      <x/>
    </i>
    <i>
      <x v="1"/>
    </i>
    <i>
      <x v="2"/>
    </i>
    <i>
      <x v="3"/>
    </i>
    <i t="grand">
      <x/>
    </i>
  </rowItems>
  <colFields count="1">
    <field x="-2"/>
  </colFields>
  <colItems count="5">
    <i>
      <x/>
    </i>
    <i i="1">
      <x v="1"/>
    </i>
    <i i="2">
      <x v="2"/>
    </i>
    <i i="3">
      <x v="3"/>
    </i>
    <i i="4">
      <x v="4"/>
    </i>
  </colItems>
  <dataFields count="5">
    <dataField name="Suma z 2025" fld="13" baseField="0" baseItem="0"/>
    <dataField name="Suma z 2026" fld="14" baseField="0" baseItem="0"/>
    <dataField name="Suma z 2027" fld="15" baseField="0" baseItem="0"/>
    <dataField name="Suma z 2028" fld="16" baseField="0" baseItem="0"/>
    <dataField name="Suma z 2029"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250A4A9-53B0-4637-BE5E-B97A69E73FDC}" name="Tabela przestawna8" cacheId="2" applyNumberFormats="0" applyBorderFormats="0" applyFontFormats="0" applyPatternFormats="0" applyAlignmentFormats="0" applyWidthHeightFormats="1" dataCaption="Wartości" updatedVersion="8" minRefreshableVersion="3" useAutoFormatting="1" itemPrintTitles="1" createdVersion="8" indent="0" outline="1" outlineData="1" multipleFieldFilters="0">
  <location ref="C27:F33" firstHeaderRow="1" firstDataRow="2" firstDataCol="1"/>
  <pivotFields count="20">
    <pivotField axis="axisRow" showAll="0">
      <items count="3">
        <item x="0"/>
        <item h="1" x="1"/>
        <item t="default"/>
      </items>
    </pivotField>
    <pivotField axis="axisRow" showAll="0">
      <items count="6">
        <item x="1"/>
        <item x="0"/>
        <item m="1" x="4"/>
        <item x="2"/>
        <item x="3"/>
        <item t="default"/>
      </items>
    </pivotField>
    <pivotField showAll="0"/>
    <pivotField showAll="0"/>
    <pivotField showAll="0"/>
    <pivotField axis="axisCol" multipleItemSelectionAllowed="1" showAll="0">
      <items count="8">
        <item x="0"/>
        <item h="1" m="1" x="2"/>
        <item x="1"/>
        <item m="1" x="3"/>
        <item m="1" x="4"/>
        <item m="1" x="5"/>
        <item h="1" m="1" x="6"/>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s>
  <rowFields count="2">
    <field x="0"/>
    <field x="1"/>
  </rowFields>
  <rowItems count="5">
    <i>
      <x/>
    </i>
    <i r="1">
      <x/>
    </i>
    <i r="1">
      <x v="1"/>
    </i>
    <i r="1">
      <x v="3"/>
    </i>
    <i t="grand">
      <x/>
    </i>
  </rowItems>
  <colFields count="1">
    <field x="5"/>
  </colFields>
  <colItems count="3">
    <i>
      <x/>
    </i>
    <i>
      <x v="2"/>
    </i>
    <i t="grand">
      <x/>
    </i>
  </colItems>
  <dataFields count="1">
    <dataField name="Suma z 2025" fld="10" baseField="0" baseItem="0" numFmtId="4"/>
  </dataFields>
  <formats count="5">
    <format dxfId="43">
      <pivotArea outline="0" collapsedLevelsAreSubtotals="1" fieldPosition="0"/>
    </format>
    <format dxfId="42">
      <pivotArea dataOnly="0" labelOnly="1" outline="0" fieldPosition="0">
        <references count="1">
          <reference field="5" count="0"/>
        </references>
      </pivotArea>
    </format>
    <format dxfId="41">
      <pivotArea dataOnly="0" labelOnly="1" outline="0" axis="axisValues" fieldPosition="0"/>
    </format>
    <format dxfId="40">
      <pivotArea dataOnly="0" labelOnly="1" fieldPosition="0">
        <references count="1">
          <reference field="5" count="0"/>
        </references>
      </pivotArea>
    </format>
    <format dxfId="39">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D0288FD-5344-4A6C-BC96-1A823134D832}" name="Tabela przestawna7" cacheId="2" applyNumberFormats="0" applyBorderFormats="0" applyFontFormats="0" applyPatternFormats="0" applyAlignmentFormats="0" applyWidthHeightFormats="1" dataCaption="Wartości" updatedVersion="8" minRefreshableVersion="3" useAutoFormatting="1" itemPrintTitles="1" createdVersion="8" indent="0" outline="1" outlineData="1" multipleFieldFilters="0">
  <location ref="C3:F15" firstHeaderRow="1" firstDataRow="2" firstDataCol="1"/>
  <pivotFields count="20">
    <pivotField axis="axisRow" showAll="0">
      <items count="3">
        <item x="0"/>
        <item h="1" x="1"/>
        <item t="default"/>
      </items>
    </pivotField>
    <pivotField axis="axisRow" showAll="0">
      <items count="6">
        <item x="1"/>
        <item x="0"/>
        <item m="1" x="4"/>
        <item x="2"/>
        <item x="3"/>
        <item t="default"/>
      </items>
    </pivotField>
    <pivotField showAll="0"/>
    <pivotField showAll="0"/>
    <pivotField axis="axisRow" showAll="0">
      <items count="7">
        <item h="1" m="1" x="4"/>
        <item x="3"/>
        <item x="2"/>
        <item x="0"/>
        <item x="1"/>
        <item h="1" m="1" x="5"/>
        <item t="default"/>
      </items>
    </pivotField>
    <pivotField axis="axisCol" multipleItemSelectionAllowed="1" showAll="0">
      <items count="8">
        <item x="0"/>
        <item h="1" m="1" x="2"/>
        <item x="1"/>
        <item m="1" x="3"/>
        <item m="1" x="4"/>
        <item m="1" x="5"/>
        <item h="1" m="1" x="6"/>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s>
  <rowFields count="3">
    <field x="0"/>
    <field x="1"/>
    <field x="4"/>
  </rowFields>
  <rowItems count="11">
    <i>
      <x/>
    </i>
    <i r="1">
      <x/>
    </i>
    <i r="2">
      <x v="1"/>
    </i>
    <i r="1">
      <x v="1"/>
    </i>
    <i r="2">
      <x v="1"/>
    </i>
    <i r="2">
      <x v="2"/>
    </i>
    <i r="2">
      <x v="3"/>
    </i>
    <i r="2">
      <x v="4"/>
    </i>
    <i r="1">
      <x v="3"/>
    </i>
    <i r="2">
      <x v="3"/>
    </i>
    <i t="grand">
      <x/>
    </i>
  </rowItems>
  <colFields count="1">
    <field x="5"/>
  </colFields>
  <colItems count="3">
    <i>
      <x/>
    </i>
    <i>
      <x v="2"/>
    </i>
    <i t="grand">
      <x/>
    </i>
  </colItems>
  <dataFields count="1">
    <dataField name="Suma z 2025" fld="10" baseField="0" baseItem="0" numFmtId="4"/>
  </dataFields>
  <formats count="5">
    <format dxfId="48">
      <pivotArea outline="0" collapsedLevelsAreSubtotals="1" fieldPosition="0"/>
    </format>
    <format dxfId="47">
      <pivotArea dataOnly="0" labelOnly="1" outline="0" fieldPosition="0">
        <references count="1">
          <reference field="5" count="0"/>
        </references>
      </pivotArea>
    </format>
    <format dxfId="46">
      <pivotArea dataOnly="0" labelOnly="1" outline="0" axis="axisValues" fieldPosition="0"/>
    </format>
    <format dxfId="45">
      <pivotArea dataOnly="0" labelOnly="1" fieldPosition="0">
        <references count="1">
          <reference field="5" count="0"/>
        </references>
      </pivotArea>
    </format>
    <format dxfId="44">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B1C8077-D3BB-4D78-90E4-937D6C59CD7A}" name="Tabela przestawna2" cacheId="2" applyNumberFormats="0" applyBorderFormats="0" applyFontFormats="0" applyPatternFormats="0" applyAlignmentFormats="0" applyWidthHeightFormats="1" dataCaption="Wartości" updatedVersion="8" minRefreshableVersion="3" useAutoFormatting="1" itemPrintTitles="1" createdVersion="8" indent="0" outline="1" outlineData="1" multipleFieldFilters="0">
  <location ref="L3:M14" firstHeaderRow="1" firstDataRow="1" firstDataCol="1" rowPageCount="1" colPageCount="1"/>
  <pivotFields count="20">
    <pivotField axis="axisRow" showAll="0">
      <items count="3">
        <item x="0"/>
        <item h="1" x="1"/>
        <item t="default"/>
      </items>
    </pivotField>
    <pivotField axis="axisRow" showAll="0">
      <items count="6">
        <item x="1"/>
        <item x="0"/>
        <item m="1" x="4"/>
        <item x="2"/>
        <item x="3"/>
        <item t="default"/>
      </items>
    </pivotField>
    <pivotField showAll="0"/>
    <pivotField axis="axisRow" showAll="0">
      <items count="97">
        <item h="1" x="34"/>
        <item h="1" x="29"/>
        <item h="1" x="27"/>
        <item h="1" x="26"/>
        <item h="1" x="24"/>
        <item h="1" x="19"/>
        <item h="1" x="18"/>
        <item h="1" x="17"/>
        <item h="1" x="0"/>
        <item x="6"/>
        <item x="7"/>
        <item h="1" x="35"/>
        <item x="8"/>
        <item h="1" x="36"/>
        <item x="9"/>
        <item x="10"/>
        <item x="11"/>
        <item h="1" x="37"/>
        <item x="12"/>
        <item h="1" x="38"/>
        <item h="1" m="1" x="40"/>
        <item h="1" x="15"/>
        <item h="1" x="31"/>
        <item h="1" x="4"/>
        <item h="1" x="22"/>
        <item h="1" x="23"/>
        <item h="1" x="2"/>
        <item h="1" x="16"/>
        <item h="1" x="1"/>
        <item h="1" x="30"/>
        <item h="1" x="28"/>
        <item h="1" x="20"/>
        <item h="1" x="33"/>
        <item h="1" x="13"/>
        <item h="1" x="32"/>
        <item h="1" x="21"/>
        <item h="1" x="14"/>
        <item h="1" x="39"/>
        <item h="1" x="5"/>
        <item h="1" x="3"/>
        <item h="1" x="25"/>
        <item h="1" m="1" x="41"/>
        <item h="1" m="1" x="42"/>
        <item h="1" m="1" x="43"/>
        <item h="1" m="1" x="44"/>
        <item h="1" m="1" x="45"/>
        <item h="1" m="1" x="46"/>
        <item h="1" m="1" x="47"/>
        <item h="1" m="1" x="48"/>
        <item h="1" m="1" x="49"/>
        <item h="1" m="1" x="50"/>
        <item h="1" m="1" x="51"/>
        <item h="1" m="1" x="52"/>
        <item h="1" m="1" x="53"/>
        <item h="1" m="1" x="54"/>
        <item h="1" m="1" x="55"/>
        <item h="1" m="1" x="56"/>
        <item h="1" m="1" x="57"/>
        <item h="1" m="1" x="58"/>
        <item h="1" m="1" x="59"/>
        <item h="1" m="1" x="60"/>
        <item h="1" m="1" x="61"/>
        <item h="1" m="1" x="62"/>
        <item h="1" m="1" x="63"/>
        <item h="1" m="1" x="64"/>
        <item h="1" m="1" x="65"/>
        <item h="1" m="1" x="66"/>
        <item h="1" m="1" x="67"/>
        <item h="1" m="1" x="68"/>
        <item h="1" m="1" x="69"/>
        <item h="1" m="1" x="70"/>
        <item h="1" m="1" x="71"/>
        <item h="1" m="1" x="72"/>
        <item h="1" m="1" x="73"/>
        <item h="1" m="1" x="74"/>
        <item h="1" m="1" x="75"/>
        <item h="1" m="1" x="76"/>
        <item h="1" m="1" x="77"/>
        <item h="1" m="1" x="78"/>
        <item h="1" m="1" x="79"/>
        <item h="1" m="1" x="80"/>
        <item h="1" m="1" x="81"/>
        <item h="1" m="1" x="82"/>
        <item h="1" m="1" x="83"/>
        <item h="1" m="1" x="84"/>
        <item h="1" m="1" x="85"/>
        <item h="1" m="1" x="86"/>
        <item h="1" m="1" x="87"/>
        <item h="1" m="1" x="88"/>
        <item h="1" m="1" x="89"/>
        <item h="1" m="1" x="90"/>
        <item h="1" m="1" x="91"/>
        <item h="1" m="1" x="92"/>
        <item m="1" x="93"/>
        <item h="1" m="1" x="94"/>
        <item h="1" m="1" x="95"/>
        <item t="default"/>
      </items>
    </pivotField>
    <pivotField axis="axisRow" showAll="0">
      <items count="7">
        <item h="1" m="1" x="4"/>
        <item x="3"/>
        <item x="2"/>
        <item x="0"/>
        <item x="1"/>
        <item h="1" m="1" x="5"/>
        <item t="default"/>
      </items>
    </pivotField>
    <pivotField axis="axisPage" multipleItemSelectionAllowed="1" showAll="0">
      <items count="8">
        <item x="0"/>
        <item h="1" m="1" x="2"/>
        <item h="1" x="1"/>
        <item h="1" m="1" x="3"/>
        <item h="1" m="1" x="4"/>
        <item h="1" m="1" x="5"/>
        <item h="1" m="1" x="6"/>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s>
  <rowFields count="4">
    <field x="0"/>
    <field x="1"/>
    <field x="4"/>
    <field x="3"/>
  </rowFields>
  <rowItems count="11">
    <i>
      <x/>
    </i>
    <i r="1">
      <x v="1"/>
    </i>
    <i r="2">
      <x v="3"/>
    </i>
    <i r="3">
      <x v="9"/>
    </i>
    <i r="3">
      <x v="10"/>
    </i>
    <i r="3">
      <x v="12"/>
    </i>
    <i r="3">
      <x v="14"/>
    </i>
    <i r="3">
      <x v="15"/>
    </i>
    <i r="3">
      <x v="16"/>
    </i>
    <i r="3">
      <x v="18"/>
    </i>
    <i t="grand">
      <x/>
    </i>
  </rowItems>
  <colItems count="1">
    <i/>
  </colItems>
  <pageFields count="1">
    <pageField fld="5" hier="-1"/>
  </pageFields>
  <dataFields count="1">
    <dataField name="Suma z 2025" fld="10" baseField="0" baseItem="0" numFmtId="4"/>
  </dataFields>
  <formats count="3">
    <format dxfId="51">
      <pivotArea outline="0" collapsedLevelsAreSubtotals="1" fieldPosition="0"/>
    </format>
    <format dxfId="50">
      <pivotArea dataOnly="0" labelOnly="1" outline="0" fieldPosition="0">
        <references count="1">
          <reference field="5" count="0"/>
        </references>
      </pivotArea>
    </format>
    <format dxfId="4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240C890-C9A7-4177-881E-196945769AA7}" name="Tabela przestawna4" cacheId="2" applyNumberFormats="0" applyBorderFormats="0" applyFontFormats="0" applyPatternFormats="0" applyAlignmentFormats="0" applyWidthHeightFormats="1" dataCaption="Wartości" updatedVersion="8" minRefreshableVersion="3" useAutoFormatting="1" itemPrintTitles="1" createdVersion="8" indent="0" outline="1" outlineData="1" multipleFieldFilters="0">
  <location ref="S5:T10" firstHeaderRow="1" firstDataRow="1" firstDataCol="1" rowPageCount="1" colPageCount="1"/>
  <pivotFields count="20">
    <pivotField axis="axisRow" showAll="0">
      <items count="3">
        <item x="0"/>
        <item h="1" x="1"/>
        <item t="default"/>
      </items>
    </pivotField>
    <pivotField axis="axisRow" showAll="0">
      <items count="6">
        <item x="1"/>
        <item x="0"/>
        <item m="1" x="4"/>
        <item x="2"/>
        <item x="3"/>
        <item t="default"/>
      </items>
    </pivotField>
    <pivotField showAll="0"/>
    <pivotField axis="axisRow" showAll="0">
      <items count="97">
        <item h="1" x="34"/>
        <item h="1" x="29"/>
        <item h="1" x="27"/>
        <item h="1" x="26"/>
        <item h="1" x="24"/>
        <item h="1" x="19"/>
        <item h="1" x="18"/>
        <item h="1" x="17"/>
        <item h="1" x="0"/>
        <item x="6"/>
        <item h="1" x="7"/>
        <item h="1" x="35"/>
        <item h="1" x="8"/>
        <item h="1" x="36"/>
        <item h="1" x="9"/>
        <item h="1" x="10"/>
        <item h="1" x="11"/>
        <item h="1" x="37"/>
        <item h="1" x="12"/>
        <item h="1" x="38"/>
        <item h="1" m="1" x="40"/>
        <item h="1" x="15"/>
        <item h="1" x="31"/>
        <item h="1" x="4"/>
        <item h="1" x="22"/>
        <item h="1" x="23"/>
        <item h="1" x="2"/>
        <item h="1" x="16"/>
        <item h="1" x="1"/>
        <item h="1" x="30"/>
        <item h="1" x="28"/>
        <item h="1" x="20"/>
        <item h="1" x="33"/>
        <item h="1" x="13"/>
        <item h="1" x="32"/>
        <item h="1" x="21"/>
        <item h="1" x="14"/>
        <item h="1" x="39"/>
        <item h="1" x="5"/>
        <item h="1" x="3"/>
        <item h="1" x="25"/>
        <item h="1" m="1" x="41"/>
        <item h="1" m="1" x="42"/>
        <item h="1" m="1" x="43"/>
        <item h="1" m="1" x="44"/>
        <item h="1" m="1" x="45"/>
        <item h="1" m="1" x="46"/>
        <item h="1" m="1" x="47"/>
        <item h="1" m="1" x="48"/>
        <item h="1" m="1" x="49"/>
        <item h="1" m="1" x="50"/>
        <item h="1" m="1" x="51"/>
        <item h="1" m="1" x="52"/>
        <item h="1" m="1" x="53"/>
        <item h="1" m="1" x="54"/>
        <item h="1" m="1" x="55"/>
        <item h="1" m="1" x="56"/>
        <item h="1" m="1" x="57"/>
        <item h="1" m="1" x="58"/>
        <item h="1" m="1" x="59"/>
        <item h="1" m="1" x="60"/>
        <item h="1" m="1" x="61"/>
        <item h="1" m="1" x="62"/>
        <item m="1" x="63"/>
        <item h="1" m="1" x="64"/>
        <item h="1" m="1" x="65"/>
        <item h="1" m="1" x="66"/>
        <item h="1" m="1" x="67"/>
        <item h="1" m="1" x="68"/>
        <item h="1" m="1" x="69"/>
        <item h="1" m="1" x="70"/>
        <item h="1" m="1" x="71"/>
        <item h="1" m="1" x="72"/>
        <item h="1" m="1" x="73"/>
        <item m="1" x="74"/>
        <item h="1" m="1" x="75"/>
        <item h="1" m="1" x="76"/>
        <item h="1" m="1" x="77"/>
        <item h="1" m="1" x="78"/>
        <item m="1" x="79"/>
        <item h="1" m="1" x="80"/>
        <item h="1" m="1" x="81"/>
        <item h="1" m="1" x="82"/>
        <item h="1" m="1" x="83"/>
        <item h="1" m="1" x="84"/>
        <item h="1" m="1" x="85"/>
        <item h="1" m="1" x="86"/>
        <item h="1" m="1" x="87"/>
        <item h="1" m="1" x="88"/>
        <item h="1" m="1" x="89"/>
        <item h="1" m="1" x="90"/>
        <item h="1" m="1" x="91"/>
        <item h="1" m="1" x="92"/>
        <item h="1" m="1" x="93"/>
        <item h="1" m="1" x="94"/>
        <item m="1" x="95"/>
        <item t="default"/>
      </items>
    </pivotField>
    <pivotField axis="axisRow" showAll="0">
      <items count="7">
        <item h="1" m="1" x="4"/>
        <item x="3"/>
        <item x="2"/>
        <item x="0"/>
        <item x="1"/>
        <item h="1" m="1" x="5"/>
        <item t="default"/>
      </items>
    </pivotField>
    <pivotField axis="axisPage" multipleItemSelectionAllowed="1" showAll="0">
      <items count="8">
        <item x="0"/>
        <item h="1" m="1" x="2"/>
        <item x="1"/>
        <item m="1" x="3"/>
        <item m="1" x="4"/>
        <item m="1" x="5"/>
        <item h="1" m="1" x="6"/>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s>
  <rowFields count="4">
    <field x="0"/>
    <field x="1"/>
    <field x="4"/>
    <field x="3"/>
  </rowFields>
  <rowItems count="5">
    <i>
      <x/>
    </i>
    <i r="1">
      <x v="1"/>
    </i>
    <i r="2">
      <x v="3"/>
    </i>
    <i r="3">
      <x v="9"/>
    </i>
    <i t="grand">
      <x/>
    </i>
  </rowItems>
  <colItems count="1">
    <i/>
  </colItems>
  <pageFields count="1">
    <pageField fld="5" hier="-1"/>
  </pageFields>
  <dataFields count="1">
    <dataField name="Suma z 2025" fld="10" baseField="0" baseItem="0" numFmtId="4"/>
  </dataFields>
  <formats count="3">
    <format dxfId="54">
      <pivotArea outline="0" collapsedLevelsAreSubtotals="1" fieldPosition="0"/>
    </format>
    <format dxfId="53">
      <pivotArea dataOnly="0" labelOnly="1" outline="0" fieldPosition="0">
        <references count="1">
          <reference field="5" count="0"/>
        </references>
      </pivotArea>
    </format>
    <format dxfId="5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B557E71-535D-49A5-962A-2C2BBF0725C7}" name="Tabela przestawna3" cacheId="2" applyNumberFormats="0" applyBorderFormats="0" applyFontFormats="0" applyPatternFormats="0" applyAlignmentFormats="0" applyWidthHeightFormats="1" dataCaption="Wartości" updatedVersion="8" minRefreshableVersion="3" useAutoFormatting="1" itemPrintTitles="1" createdVersion="8" indent="0" outline="1" outlineData="1" multipleFieldFilters="0">
  <location ref="W5:X11" firstHeaderRow="1" firstDataRow="1" firstDataCol="1" rowPageCount="1" colPageCount="1"/>
  <pivotFields count="20">
    <pivotField axis="axisRow" showAll="0">
      <items count="3">
        <item x="0"/>
        <item h="1" x="1"/>
        <item t="default"/>
      </items>
    </pivotField>
    <pivotField axis="axisRow" showAll="0">
      <items count="6">
        <item x="1"/>
        <item x="0"/>
        <item m="1" x="4"/>
        <item x="2"/>
        <item x="3"/>
        <item t="default"/>
      </items>
    </pivotField>
    <pivotField showAll="0"/>
    <pivotField axis="axisRow" showAll="0">
      <items count="97">
        <item h="1" x="34"/>
        <item h="1" x="29"/>
        <item h="1" x="27"/>
        <item h="1" x="26"/>
        <item h="1" x="24"/>
        <item h="1" x="19"/>
        <item h="1" x="18"/>
        <item h="1" x="17"/>
        <item h="1" x="0"/>
        <item h="1" x="6"/>
        <item x="7"/>
        <item x="35"/>
        <item h="1" x="8"/>
        <item h="1" x="36"/>
        <item h="1" x="9"/>
        <item h="1" x="10"/>
        <item h="1" x="11"/>
        <item h="1" x="37"/>
        <item h="1" x="12"/>
        <item h="1" x="38"/>
        <item h="1" m="1" x="40"/>
        <item h="1" x="15"/>
        <item h="1" x="31"/>
        <item h="1" x="4"/>
        <item h="1" x="22"/>
        <item h="1" x="23"/>
        <item h="1" x="2"/>
        <item h="1" x="16"/>
        <item h="1" x="1"/>
        <item h="1" x="30"/>
        <item h="1" x="28"/>
        <item h="1" x="20"/>
        <item h="1" x="33"/>
        <item h="1" x="13"/>
        <item h="1" x="32"/>
        <item h="1" x="21"/>
        <item h="1" x="14"/>
        <item h="1" x="39"/>
        <item h="1" x="5"/>
        <item h="1" x="3"/>
        <item h="1" x="25"/>
        <item h="1" m="1" x="41"/>
        <item h="1" m="1" x="42"/>
        <item m="1" x="43"/>
        <item h="1" m="1" x="44"/>
        <item h="1" m="1" x="45"/>
        <item h="1" m="1" x="46"/>
        <item h="1" m="1" x="47"/>
        <item h="1" m="1" x="48"/>
        <item h="1" m="1" x="49"/>
        <item h="1" m="1" x="50"/>
        <item h="1" m="1" x="51"/>
        <item h="1" m="1" x="52"/>
        <item m="1" x="53"/>
        <item h="1" m="1" x="54"/>
        <item h="1" m="1" x="55"/>
        <item h="1" m="1" x="56"/>
        <item h="1" m="1" x="57"/>
        <item h="1" m="1" x="58"/>
        <item h="1" m="1" x="59"/>
        <item h="1" m="1" x="60"/>
        <item h="1" m="1" x="61"/>
        <item h="1" m="1" x="62"/>
        <item h="1" m="1" x="63"/>
        <item m="1" x="64"/>
        <item h="1" m="1" x="65"/>
        <item h="1" m="1" x="66"/>
        <item h="1" m="1" x="67"/>
        <item h="1" m="1" x="68"/>
        <item h="1" m="1" x="69"/>
        <item h="1" m="1" x="70"/>
        <item h="1" m="1" x="71"/>
        <item h="1" m="1" x="72"/>
        <item h="1" m="1" x="73"/>
        <item h="1" m="1" x="74"/>
        <item h="1" m="1" x="75"/>
        <item h="1" m="1" x="76"/>
        <item h="1" m="1" x="77"/>
        <item h="1" m="1" x="78"/>
        <item h="1" m="1" x="79"/>
        <item h="1" m="1" x="80"/>
        <item h="1" m="1" x="81"/>
        <item h="1" m="1" x="82"/>
        <item h="1" m="1" x="83"/>
        <item h="1" m="1" x="84"/>
        <item h="1" m="1" x="85"/>
        <item h="1" m="1" x="86"/>
        <item h="1" m="1" x="87"/>
        <item h="1" m="1" x="88"/>
        <item h="1" m="1" x="89"/>
        <item h="1" m="1" x="90"/>
        <item h="1" m="1" x="91"/>
        <item h="1" m="1" x="92"/>
        <item h="1" m="1" x="93"/>
        <item h="1" m="1" x="94"/>
        <item h="1" m="1" x="95"/>
        <item t="default"/>
      </items>
    </pivotField>
    <pivotField axis="axisRow" showAll="0">
      <items count="7">
        <item h="1" m="1" x="4"/>
        <item x="3"/>
        <item x="2"/>
        <item x="0"/>
        <item x="1"/>
        <item h="1" m="1" x="5"/>
        <item t="default"/>
      </items>
    </pivotField>
    <pivotField axis="axisPage" multipleItemSelectionAllowed="1" showAll="0">
      <items count="8">
        <item x="0"/>
        <item h="1" m="1" x="2"/>
        <item x="1"/>
        <item m="1" x="3"/>
        <item m="1" x="4"/>
        <item m="1" x="5"/>
        <item h="1" m="1" x="6"/>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s>
  <rowFields count="4">
    <field x="0"/>
    <field x="1"/>
    <field x="4"/>
    <field x="3"/>
  </rowFields>
  <rowItems count="6">
    <i>
      <x/>
    </i>
    <i r="1">
      <x v="1"/>
    </i>
    <i r="2">
      <x v="3"/>
    </i>
    <i r="3">
      <x v="10"/>
    </i>
    <i r="3">
      <x v="11"/>
    </i>
    <i t="grand">
      <x/>
    </i>
  </rowItems>
  <colItems count="1">
    <i/>
  </colItems>
  <pageFields count="1">
    <pageField fld="5" hier="-1"/>
  </pageFields>
  <dataFields count="1">
    <dataField name="Suma z 2025" fld="10" baseField="0" baseItem="0" numFmtId="4"/>
  </dataFields>
  <formats count="3">
    <format dxfId="57">
      <pivotArea outline="0" collapsedLevelsAreSubtotals="1" fieldPosition="0"/>
    </format>
    <format dxfId="56">
      <pivotArea dataOnly="0" labelOnly="1" outline="0" fieldPosition="0">
        <references count="1">
          <reference field="5" count="0"/>
        </references>
      </pivotArea>
    </format>
    <format dxfId="5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A518616-9B21-4C70-A40E-80324D49EA57}" name="Tabela przestawna1" cacheId="2" applyNumberFormats="0" applyBorderFormats="0" applyFontFormats="0" applyPatternFormats="0" applyAlignmentFormats="0" applyWidthHeightFormats="1" dataCaption="Wartości" updatedVersion="8" minRefreshableVersion="3" useAutoFormatting="1" itemPrintTitles="1" createdVersion="8" indent="0" outline="1" outlineData="1" multipleFieldFilters="0">
  <location ref="AD5:AE10" firstHeaderRow="1" firstDataRow="1" firstDataCol="1" rowPageCount="1" colPageCount="1"/>
  <pivotFields count="20">
    <pivotField axis="axisRow" showAll="0">
      <items count="3">
        <item x="0"/>
        <item h="1" x="1"/>
        <item t="default"/>
      </items>
    </pivotField>
    <pivotField axis="axisRow" showAll="0">
      <items count="6">
        <item x="1"/>
        <item x="0"/>
        <item m="1" x="4"/>
        <item x="2"/>
        <item x="3"/>
        <item t="default"/>
      </items>
    </pivotField>
    <pivotField showAll="0"/>
    <pivotField axis="axisRow" showAll="0">
      <items count="97">
        <item h="1" x="34"/>
        <item h="1" x="29"/>
        <item h="1" x="27"/>
        <item h="1" x="26"/>
        <item h="1" x="24"/>
        <item h="1" x="19"/>
        <item h="1" x="18"/>
        <item h="1" x="17"/>
        <item h="1" x="0"/>
        <item h="1" x="6"/>
        <item h="1" x="7"/>
        <item h="1" x="35"/>
        <item x="8"/>
        <item h="1" x="36"/>
        <item h="1" x="9"/>
        <item h="1" x="10"/>
        <item h="1" x="11"/>
        <item h="1" x="37"/>
        <item h="1" x="12"/>
        <item h="1" x="38"/>
        <item h="1" m="1" x="40"/>
        <item h="1" x="15"/>
        <item h="1" x="31"/>
        <item h="1" x="4"/>
        <item h="1" x="22"/>
        <item h="1" x="23"/>
        <item h="1" x="2"/>
        <item h="1" x="16"/>
        <item h="1" x="1"/>
        <item h="1" x="30"/>
        <item h="1" x="28"/>
        <item h="1" x="20"/>
        <item h="1" x="33"/>
        <item h="1" x="13"/>
        <item h="1" x="32"/>
        <item h="1" x="21"/>
        <item h="1" x="14"/>
        <item h="1" x="39"/>
        <item h="1" x="5"/>
        <item h="1" x="3"/>
        <item h="1" x="25"/>
        <item h="1" m="1" x="41"/>
        <item h="1" m="1" x="42"/>
        <item h="1" m="1" x="43"/>
        <item h="1" m="1" x="44"/>
        <item h="1" m="1" x="45"/>
        <item h="1" m="1" x="46"/>
        <item h="1" m="1" x="47"/>
        <item h="1" m="1" x="48"/>
        <item h="1" m="1" x="49"/>
        <item h="1" m="1" x="50"/>
        <item h="1" m="1" x="51"/>
        <item h="1" m="1" x="52"/>
        <item h="1" m="1" x="53"/>
        <item h="1" m="1" x="54"/>
        <item h="1" m="1" x="55"/>
        <item h="1" m="1" x="56"/>
        <item h="1" m="1" x="57"/>
        <item h="1" m="1" x="58"/>
        <item h="1" m="1" x="59"/>
        <item h="1" m="1" x="60"/>
        <item h="1" m="1" x="61"/>
        <item h="1" m="1" x="62"/>
        <item h="1" m="1" x="63"/>
        <item h="1" m="1" x="64"/>
        <item h="1" m="1" x="65"/>
        <item h="1" m="1" x="66"/>
        <item h="1" m="1" x="67"/>
        <item h="1" m="1" x="68"/>
        <item h="1" m="1" x="69"/>
        <item h="1" m="1" x="70"/>
        <item h="1" m="1" x="71"/>
        <item h="1" m="1" x="72"/>
        <item h="1" m="1" x="73"/>
        <item h="1" m="1" x="74"/>
        <item h="1" m="1" x="75"/>
        <item h="1" m="1" x="76"/>
        <item h="1" m="1" x="77"/>
        <item h="1" m="1" x="78"/>
        <item h="1" m="1" x="79"/>
        <item h="1" m="1" x="80"/>
        <item h="1" m="1" x="81"/>
        <item h="1" m="1" x="82"/>
        <item h="1" m="1" x="83"/>
        <item h="1" m="1" x="84"/>
        <item h="1" m="1" x="85"/>
        <item h="1" m="1" x="86"/>
        <item h="1" m="1" x="87"/>
        <item h="1" m="1" x="88"/>
        <item h="1" m="1" x="89"/>
        <item h="1" m="1" x="90"/>
        <item h="1" m="1" x="91"/>
        <item h="1" m="1" x="92"/>
        <item h="1" m="1" x="93"/>
        <item h="1" m="1" x="94"/>
        <item h="1" m="1" x="95"/>
        <item t="default"/>
      </items>
    </pivotField>
    <pivotField axis="axisRow" showAll="0">
      <items count="7">
        <item h="1" m="1" x="4"/>
        <item x="3"/>
        <item x="2"/>
        <item x="0"/>
        <item x="1"/>
        <item h="1" m="1" x="5"/>
        <item t="default"/>
      </items>
    </pivotField>
    <pivotField axis="axisPage" multipleItemSelectionAllowed="1" showAll="0">
      <items count="8">
        <item x="0"/>
        <item h="1" m="1" x="2"/>
        <item x="1"/>
        <item m="1" x="3"/>
        <item m="1" x="4"/>
        <item m="1" x="5"/>
        <item h="1" m="1" x="6"/>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s>
  <rowFields count="4">
    <field x="0"/>
    <field x="1"/>
    <field x="4"/>
    <field x="3"/>
  </rowFields>
  <rowItems count="5">
    <i>
      <x/>
    </i>
    <i r="1">
      <x v="1"/>
    </i>
    <i r="2">
      <x v="3"/>
    </i>
    <i r="3">
      <x v="12"/>
    </i>
    <i t="grand">
      <x/>
    </i>
  </rowItems>
  <colItems count="1">
    <i/>
  </colItems>
  <pageFields count="1">
    <pageField fld="5" hier="-1"/>
  </pageFields>
  <dataFields count="1">
    <dataField name="Suma z 2025" fld="10" baseField="0" baseItem="0" numFmtId="4"/>
  </dataFields>
  <formats count="3">
    <format dxfId="60">
      <pivotArea outline="0" collapsedLevelsAreSubtotals="1" fieldPosition="0"/>
    </format>
    <format dxfId="59">
      <pivotArea dataOnly="0" labelOnly="1" outline="0" fieldPosition="0">
        <references count="1">
          <reference field="5" count="0"/>
        </references>
      </pivotArea>
    </format>
    <format dxfId="5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1504440-98B5-414D-9B21-3DC022CB5404}" name="Tabela przestawna12" cacheId="2" applyNumberFormats="0" applyBorderFormats="0" applyFontFormats="0" applyPatternFormats="0" applyAlignmentFormats="0" applyWidthHeightFormats="1" dataCaption="Wartości" updatedVersion="8" minRefreshableVersion="3" useAutoFormatting="1" itemPrintTitles="1" createdVersion="8" indent="0" outline="1" outlineData="1" multipleFieldFilters="0">
  <location ref="L49:O57" firstHeaderRow="1" firstDataRow="2" firstDataCol="1"/>
  <pivotFields count="20">
    <pivotField axis="axisRow" showAll="0">
      <items count="3">
        <item x="0"/>
        <item h="1" x="1"/>
        <item t="default"/>
      </items>
    </pivotField>
    <pivotField axis="axisRow" showAll="0">
      <items count="6">
        <item x="1"/>
        <item x="0"/>
        <item m="1" x="4"/>
        <item x="2"/>
        <item x="3"/>
        <item t="default"/>
      </items>
    </pivotField>
    <pivotField showAll="0"/>
    <pivotField axis="axisRow" showAll="0">
      <items count="97">
        <item h="1" m="1" x="61"/>
        <item h="1" m="1" x="41"/>
        <item h="1" m="1" x="51"/>
        <item h="1" m="1" x="91"/>
        <item h="1" m="1" x="92"/>
        <item h="1" x="34"/>
        <item h="1" x="29"/>
        <item h="1" x="27"/>
        <item h="1" x="26"/>
        <item h="1" x="24"/>
        <item h="1" x="19"/>
        <item h="1" m="1" x="80"/>
        <item h="1" m="1" x="84"/>
        <item h="1" x="18"/>
        <item h="1" x="17"/>
        <item h="1" x="0"/>
        <item h="1" m="1" x="62"/>
        <item h="1" m="1" x="42"/>
        <item h="1" m="1" x="52"/>
        <item h="1" x="6"/>
        <item h="1" m="1" x="95"/>
        <item h="1" m="1" x="63"/>
        <item h="1" m="1" x="79"/>
        <item h="1" m="1" x="74"/>
        <item h="1" x="7"/>
        <item h="1" x="35"/>
        <item h="1" m="1" x="64"/>
        <item h="1" m="1" x="43"/>
        <item h="1" m="1" x="53"/>
        <item h="1" x="8"/>
        <item h="1" x="36"/>
        <item h="1" m="1" x="65"/>
        <item h="1" m="1" x="44"/>
        <item h="1" m="1" x="54"/>
        <item h="1" x="9"/>
        <item h="1" m="1" x="66"/>
        <item h="1" m="1" x="75"/>
        <item h="1" m="1" x="93"/>
        <item h="1" x="10"/>
        <item h="1" m="1" x="67"/>
        <item h="1" m="1" x="76"/>
        <item x="11"/>
        <item x="37"/>
        <item m="1" x="68"/>
        <item m="1" x="45"/>
        <item m="1" x="55"/>
        <item x="12"/>
        <item x="38"/>
        <item m="1" x="69"/>
        <item m="1" x="46"/>
        <item m="1" x="56"/>
        <item h="1" m="1" x="40"/>
        <item h="1" x="15"/>
        <item h="1" m="1" x="70"/>
        <item h="1" m="1" x="81"/>
        <item h="1" m="1" x="77"/>
        <item h="1" x="31"/>
        <item h="1" x="4"/>
        <item h="1" x="22"/>
        <item h="1" m="1" x="86"/>
        <item h="1" m="1" x="47"/>
        <item h="1" m="1" x="57"/>
        <item h="1" x="23"/>
        <item h="1" m="1" x="48"/>
        <item h="1" m="1" x="58"/>
        <item h="1" x="2"/>
        <item h="1" x="16"/>
        <item h="1" x="1"/>
        <item h="1" m="1" x="94"/>
        <item h="1" x="30"/>
        <item h="1" x="28"/>
        <item h="1" x="20"/>
        <item h="1" m="1" x="71"/>
        <item h="1" m="1" x="49"/>
        <item h="1" m="1" x="59"/>
        <item h="1" x="33"/>
        <item h="1" x="13"/>
        <item h="1" x="32"/>
        <item h="1" x="21"/>
        <item h="1" m="1" x="82"/>
        <item h="1" m="1" x="85"/>
        <item h="1" x="14"/>
        <item h="1" x="39"/>
        <item h="1" m="1" x="72"/>
        <item h="1" m="1" x="50"/>
        <item h="1" m="1" x="60"/>
        <item h="1" x="5"/>
        <item h="1" x="3"/>
        <item h="1" m="1" x="73"/>
        <item h="1" m="1" x="83"/>
        <item h="1" m="1" x="78"/>
        <item h="1" m="1" x="87"/>
        <item h="1" m="1" x="89"/>
        <item h="1" x="25"/>
        <item h="1" m="1" x="88"/>
        <item h="1" m="1" x="90"/>
        <item t="default"/>
      </items>
    </pivotField>
    <pivotField showAll="0"/>
    <pivotField axis="axisCol" multipleItemSelectionAllowed="1" showAll="0">
      <items count="8">
        <item x="0"/>
        <item h="1" m="1" x="2"/>
        <item x="1"/>
        <item m="1" x="3"/>
        <item m="1" x="4"/>
        <item m="1" x="5"/>
        <item h="1" m="1" x="6"/>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s>
  <rowFields count="3">
    <field x="0"/>
    <field x="1"/>
    <field x="3"/>
  </rowFields>
  <rowItems count="7">
    <i>
      <x/>
    </i>
    <i r="1">
      <x v="1"/>
    </i>
    <i r="2">
      <x v="41"/>
    </i>
    <i r="2">
      <x v="42"/>
    </i>
    <i r="2">
      <x v="46"/>
    </i>
    <i r="2">
      <x v="47"/>
    </i>
    <i t="grand">
      <x/>
    </i>
  </rowItems>
  <colFields count="1">
    <field x="5"/>
  </colFields>
  <colItems count="3">
    <i>
      <x/>
    </i>
    <i>
      <x v="2"/>
    </i>
    <i t="grand">
      <x/>
    </i>
  </colItems>
  <dataFields count="1">
    <dataField name="Suma z 2025" fld="10" baseField="0" baseItem="0" numFmtId="4"/>
  </dataFields>
  <formats count="5">
    <format dxfId="65">
      <pivotArea outline="0" collapsedLevelsAreSubtotals="1" fieldPosition="0"/>
    </format>
    <format dxfId="64">
      <pivotArea dataOnly="0" labelOnly="1" outline="0" fieldPosition="0">
        <references count="1">
          <reference field="5" count="0"/>
        </references>
      </pivotArea>
    </format>
    <format dxfId="63">
      <pivotArea dataOnly="0" labelOnly="1" outline="0" axis="axisValues" fieldPosition="0"/>
    </format>
    <format dxfId="62">
      <pivotArea dataOnly="0" labelOnly="1" fieldPosition="0">
        <references count="1">
          <reference field="5" count="0"/>
        </references>
      </pivotArea>
    </format>
    <format dxfId="61">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D330AD6-FAAC-4679-A165-3B12254B90E3}" name="Tabela przestawna6" cacheId="2" applyNumberFormats="0" applyBorderFormats="0" applyFontFormats="0" applyPatternFormats="0" applyAlignmentFormats="0" applyWidthHeightFormats="1" dataCaption="Wartości" updatedVersion="8" minRefreshableVersion="3" useAutoFormatting="1" itemPrintTitles="1" createdVersion="8" indent="0" outline="1" outlineData="1" multipleFieldFilters="0">
  <location ref="AA5:AB10" firstHeaderRow="1" firstDataRow="1" firstDataCol="1" rowPageCount="1" colPageCount="1"/>
  <pivotFields count="20">
    <pivotField axis="axisRow" showAll="0">
      <items count="3">
        <item x="0"/>
        <item h="1" x="1"/>
        <item t="default"/>
      </items>
    </pivotField>
    <pivotField axis="axisRow" showAll="0">
      <items count="6">
        <item x="1"/>
        <item x="0"/>
        <item m="1" x="4"/>
        <item x="2"/>
        <item x="3"/>
        <item t="default"/>
      </items>
    </pivotField>
    <pivotField showAll="0"/>
    <pivotField axis="axisRow" showAll="0">
      <items count="97">
        <item h="1" x="34"/>
        <item h="1" x="29"/>
        <item h="1" x="27"/>
        <item h="1" x="26"/>
        <item h="1" x="24"/>
        <item h="1" x="19"/>
        <item h="1" x="18"/>
        <item h="1" x="17"/>
        <item h="1" x="0"/>
        <item h="1" x="6"/>
        <item h="1" x="7"/>
        <item h="1" x="35"/>
        <item h="1" x="8"/>
        <item h="1" x="36"/>
        <item x="9"/>
        <item h="1" x="10"/>
        <item h="1" x="11"/>
        <item h="1" x="37"/>
        <item h="1" x="12"/>
        <item h="1" x="38"/>
        <item h="1" m="1" x="40"/>
        <item h="1" x="15"/>
        <item h="1" x="31"/>
        <item h="1" x="4"/>
        <item h="1" x="22"/>
        <item h="1" x="23"/>
        <item h="1" x="2"/>
        <item h="1" x="16"/>
        <item h="1" x="1"/>
        <item h="1" x="30"/>
        <item h="1" x="28"/>
        <item h="1" x="20"/>
        <item h="1" x="33"/>
        <item h="1" x="13"/>
        <item h="1" x="32"/>
        <item h="1" x="21"/>
        <item h="1" x="14"/>
        <item h="1" x="39"/>
        <item h="1" x="5"/>
        <item h="1" x="3"/>
        <item h="1" x="25"/>
        <item h="1" m="1" x="41"/>
        <item h="1" m="1" x="42"/>
        <item h="1" m="1" x="43"/>
        <item h="1" m="1" x="44"/>
        <item h="1" m="1" x="45"/>
        <item h="1" m="1" x="46"/>
        <item h="1" m="1" x="47"/>
        <item h="1" m="1" x="48"/>
        <item h="1" m="1" x="49"/>
        <item h="1" m="1" x="50"/>
        <item h="1" m="1" x="51"/>
        <item h="1" m="1" x="52"/>
        <item h="1" m="1" x="53"/>
        <item h="1" m="1" x="54"/>
        <item h="1" m="1" x="55"/>
        <item h="1" m="1" x="56"/>
        <item h="1" m="1" x="57"/>
        <item h="1" m="1" x="58"/>
        <item h="1" m="1" x="59"/>
        <item h="1" m="1" x="60"/>
        <item h="1" m="1" x="61"/>
        <item h="1" m="1" x="62"/>
        <item h="1" m="1" x="63"/>
        <item h="1" m="1" x="64"/>
        <item h="1" m="1" x="65"/>
        <item m="1" x="66"/>
        <item h="1" m="1" x="67"/>
        <item h="1" m="1" x="68"/>
        <item h="1" m="1" x="69"/>
        <item h="1" m="1" x="70"/>
        <item h="1" m="1" x="71"/>
        <item h="1" m="1" x="72"/>
        <item h="1" m="1" x="73"/>
        <item h="1" m="1" x="74"/>
        <item m="1" x="75"/>
        <item h="1" m="1" x="76"/>
        <item h="1" m="1" x="77"/>
        <item h="1" m="1" x="78"/>
        <item h="1" m="1" x="79"/>
        <item h="1" m="1" x="80"/>
        <item h="1" m="1" x="81"/>
        <item h="1" m="1" x="82"/>
        <item h="1" m="1" x="83"/>
        <item h="1" m="1" x="84"/>
        <item h="1" m="1" x="85"/>
        <item h="1" m="1" x="86"/>
        <item h="1" m="1" x="87"/>
        <item h="1" m="1" x="88"/>
        <item h="1" m="1" x="89"/>
        <item h="1" m="1" x="90"/>
        <item h="1" m="1" x="91"/>
        <item h="1" m="1" x="92"/>
        <item m="1" x="93"/>
        <item h="1" m="1" x="94"/>
        <item h="1" m="1" x="95"/>
        <item t="default"/>
      </items>
    </pivotField>
    <pivotField axis="axisRow" showAll="0">
      <items count="7">
        <item h="1" m="1" x="4"/>
        <item x="3"/>
        <item x="2"/>
        <item x="0"/>
        <item x="1"/>
        <item h="1" m="1" x="5"/>
        <item t="default"/>
      </items>
    </pivotField>
    <pivotField axis="axisPage" multipleItemSelectionAllowed="1" showAll="0">
      <items count="8">
        <item x="0"/>
        <item h="1" m="1" x="2"/>
        <item x="1"/>
        <item m="1" x="3"/>
        <item m="1" x="4"/>
        <item m="1" x="5"/>
        <item h="1" m="1" x="6"/>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s>
  <rowFields count="4">
    <field x="0"/>
    <field x="1"/>
    <field x="4"/>
    <field x="3"/>
  </rowFields>
  <rowItems count="5">
    <i>
      <x/>
    </i>
    <i r="1">
      <x v="1"/>
    </i>
    <i r="2">
      <x v="3"/>
    </i>
    <i r="3">
      <x v="14"/>
    </i>
    <i t="grand">
      <x/>
    </i>
  </rowItems>
  <colItems count="1">
    <i/>
  </colItems>
  <pageFields count="1">
    <pageField fld="5" hier="-1"/>
  </pageFields>
  <dataFields count="1">
    <dataField name="Suma z 2025" fld="10" baseField="0" baseItem="0" numFmtId="4"/>
  </dataFields>
  <formats count="3">
    <format dxfId="68">
      <pivotArea outline="0" collapsedLevelsAreSubtotals="1" fieldPosition="0"/>
    </format>
    <format dxfId="67">
      <pivotArea dataOnly="0" labelOnly="1" outline="0" fieldPosition="0">
        <references count="1">
          <reference field="5" count="0"/>
        </references>
      </pivotArea>
    </format>
    <format dxfId="6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9706C8C-552A-4220-8A35-6D5A58E69082}" name="Tabela przestawna11" cacheId="2" applyNumberFormats="0" applyBorderFormats="0" applyFontFormats="0" applyPatternFormats="0" applyAlignmentFormats="0" applyWidthHeightFormats="1" dataCaption="Wartości" updatedVersion="8" minRefreshableVersion="3" useAutoFormatting="1" itemPrintTitles="1" createdVersion="8" indent="0" outline="1" outlineData="1" multipleFieldFilters="0">
  <location ref="C49:F60" firstHeaderRow="1" firstDataRow="2" firstDataCol="1"/>
  <pivotFields count="20">
    <pivotField axis="axisRow" showAll="0">
      <items count="3">
        <item x="0"/>
        <item h="1" x="1"/>
        <item t="default"/>
      </items>
    </pivotField>
    <pivotField axis="axisRow" showAll="0">
      <items count="6">
        <item x="1"/>
        <item x="0"/>
        <item m="1" x="4"/>
        <item x="2"/>
        <item x="3"/>
        <item t="default"/>
      </items>
    </pivotField>
    <pivotField showAll="0"/>
    <pivotField axis="axisRow" showAll="0">
      <items count="97">
        <item h="1" m="1" x="61"/>
        <item h="1" m="1" x="41"/>
        <item h="1" m="1" x="51"/>
        <item h="1" m="1" x="91"/>
        <item h="1" m="1" x="92"/>
        <item h="1" x="34"/>
        <item h="1" x="29"/>
        <item h="1" x="27"/>
        <item h="1" x="26"/>
        <item h="1" x="24"/>
        <item h="1" x="19"/>
        <item h="1" m="1" x="80"/>
        <item h="1" m="1" x="84"/>
        <item h="1" x="18"/>
        <item h="1" x="17"/>
        <item h="1" x="0"/>
        <item h="1" m="1" x="62"/>
        <item h="1" m="1" x="42"/>
        <item h="1" m="1" x="52"/>
        <item x="6"/>
        <item m="1" x="95"/>
        <item m="1" x="63"/>
        <item m="1" x="79"/>
        <item m="1" x="74"/>
        <item x="7"/>
        <item x="35"/>
        <item m="1" x="64"/>
        <item m="1" x="43"/>
        <item m="1" x="53"/>
        <item x="8"/>
        <item x="36"/>
        <item m="1" x="65"/>
        <item m="1" x="44"/>
        <item m="1" x="54"/>
        <item x="9"/>
        <item m="1" x="66"/>
        <item m="1" x="75"/>
        <item m="1" x="93"/>
        <item x="10"/>
        <item m="1" x="67"/>
        <item m="1" x="76"/>
        <item h="1" x="11"/>
        <item h="1" x="37"/>
        <item h="1" m="1" x="68"/>
        <item h="1" m="1" x="45"/>
        <item h="1" m="1" x="55"/>
        <item h="1" x="12"/>
        <item h="1" x="38"/>
        <item h="1" m="1" x="69"/>
        <item h="1" m="1" x="46"/>
        <item h="1" m="1" x="56"/>
        <item h="1" m="1" x="40"/>
        <item h="1" x="15"/>
        <item h="1" m="1" x="70"/>
        <item h="1" m="1" x="81"/>
        <item h="1" m="1" x="77"/>
        <item h="1" x="31"/>
        <item h="1" x="4"/>
        <item h="1" x="22"/>
        <item h="1" m="1" x="86"/>
        <item h="1" m="1" x="47"/>
        <item h="1" m="1" x="57"/>
        <item h="1" x="23"/>
        <item h="1" m="1" x="48"/>
        <item h="1" m="1" x="58"/>
        <item h="1" x="2"/>
        <item h="1" x="16"/>
        <item h="1" x="1"/>
        <item h="1" m="1" x="94"/>
        <item h="1" x="30"/>
        <item h="1" x="28"/>
        <item h="1" x="20"/>
        <item h="1" m="1" x="71"/>
        <item h="1" m="1" x="49"/>
        <item h="1" m="1" x="59"/>
        <item h="1" x="33"/>
        <item h="1" x="13"/>
        <item h="1" x="32"/>
        <item h="1" x="21"/>
        <item h="1" m="1" x="82"/>
        <item h="1" m="1" x="85"/>
        <item h="1" x="14"/>
        <item h="1" x="39"/>
        <item h="1" m="1" x="72"/>
        <item h="1" m="1" x="50"/>
        <item h="1" m="1" x="60"/>
        <item h="1" x="5"/>
        <item h="1" x="3"/>
        <item h="1" m="1" x="73"/>
        <item h="1" m="1" x="83"/>
        <item h="1" m="1" x="78"/>
        <item h="1" m="1" x="87"/>
        <item h="1" m="1" x="89"/>
        <item h="1" x="25"/>
        <item h="1" m="1" x="88"/>
        <item h="1" m="1" x="90"/>
        <item t="default"/>
      </items>
    </pivotField>
    <pivotField showAll="0"/>
    <pivotField axis="axisCol" multipleItemSelectionAllowed="1" showAll="0">
      <items count="8">
        <item x="0"/>
        <item h="1" m="1" x="2"/>
        <item x="1"/>
        <item m="1" x="3"/>
        <item m="1" x="4"/>
        <item m="1" x="5"/>
        <item h="1" m="1" x="6"/>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s>
  <rowFields count="3">
    <field x="0"/>
    <field x="1"/>
    <field x="3"/>
  </rowFields>
  <rowItems count="10">
    <i>
      <x/>
    </i>
    <i r="1">
      <x v="1"/>
    </i>
    <i r="2">
      <x v="19"/>
    </i>
    <i r="2">
      <x v="24"/>
    </i>
    <i r="2">
      <x v="25"/>
    </i>
    <i r="2">
      <x v="29"/>
    </i>
    <i r="2">
      <x v="30"/>
    </i>
    <i r="2">
      <x v="34"/>
    </i>
    <i r="2">
      <x v="38"/>
    </i>
    <i t="grand">
      <x/>
    </i>
  </rowItems>
  <colFields count="1">
    <field x="5"/>
  </colFields>
  <colItems count="3">
    <i>
      <x/>
    </i>
    <i>
      <x v="2"/>
    </i>
    <i t="grand">
      <x/>
    </i>
  </colItems>
  <dataFields count="1">
    <dataField name="Suma z 2025" fld="10" baseField="0" baseItem="0" numFmtId="4"/>
  </dataFields>
  <formats count="5">
    <format dxfId="73">
      <pivotArea outline="0" collapsedLevelsAreSubtotals="1" fieldPosition="0"/>
    </format>
    <format dxfId="72">
      <pivotArea dataOnly="0" labelOnly="1" outline="0" fieldPosition="0">
        <references count="1">
          <reference field="5" count="0"/>
        </references>
      </pivotArea>
    </format>
    <format dxfId="71">
      <pivotArea dataOnly="0" labelOnly="1" outline="0" axis="axisValues" fieldPosition="0"/>
    </format>
    <format dxfId="70">
      <pivotArea dataOnly="0" labelOnly="1" fieldPosition="0">
        <references count="1">
          <reference field="5" count="0"/>
        </references>
      </pivotArea>
    </format>
    <format dxfId="69">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DAAEDCC-1177-4152-8F03-AB678149BDB2}" name="Tabela przestawna1" cacheId="3" applyNumberFormats="0" applyBorderFormats="0" applyFontFormats="0" applyPatternFormats="0" applyAlignmentFormats="0" applyWidthHeightFormats="1" dataCaption="Wartości" updatedVersion="8" minRefreshableVersion="3" useAutoFormatting="1" itemPrintTitles="1" createdVersion="8" indent="0" outline="1" outlineData="1" multipleFieldFilters="0">
  <location ref="A3:D28" firstHeaderRow="1" firstDataRow="2" firstDataCol="1"/>
  <pivotFields count="25">
    <pivotField axis="axisRow" showAll="0">
      <items count="3">
        <item x="0"/>
        <item x="1"/>
        <item t="default"/>
      </items>
    </pivotField>
    <pivotField axis="axisRow" showAll="0">
      <items count="5">
        <item x="1"/>
        <item x="0"/>
        <item m="1" x="3"/>
        <item x="2"/>
        <item t="default"/>
      </items>
    </pivotField>
    <pivotField axis="axisRow" showAll="0">
      <items count="16">
        <item x="5"/>
        <item x="12"/>
        <item x="4"/>
        <item x="2"/>
        <item x="0"/>
        <item x="6"/>
        <item x="9"/>
        <item x="10"/>
        <item x="8"/>
        <item x="3"/>
        <item x="13"/>
        <item x="1"/>
        <item x="14"/>
        <item x="11"/>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axis="axisCol" showAll="0">
      <items count="11">
        <item m="1" x="3"/>
        <item m="1" x="7"/>
        <item m="1" x="2"/>
        <item m="1" x="8"/>
        <item m="1" x="9"/>
        <item m="1" x="5"/>
        <item m="1" x="4"/>
        <item x="0"/>
        <item x="1"/>
        <item m="1" x="6"/>
        <item t="default"/>
      </items>
    </pivotField>
  </pivotFields>
  <rowFields count="3">
    <field x="0"/>
    <field x="1"/>
    <field x="2"/>
  </rowFields>
  <rowItems count="24">
    <i>
      <x/>
    </i>
    <i r="1">
      <x/>
    </i>
    <i r="2">
      <x v="7"/>
    </i>
    <i r="1">
      <x v="1"/>
    </i>
    <i r="2">
      <x/>
    </i>
    <i r="2">
      <x v="1"/>
    </i>
    <i r="2">
      <x v="2"/>
    </i>
    <i r="2">
      <x v="3"/>
    </i>
    <i r="2">
      <x v="4"/>
    </i>
    <i r="2">
      <x v="5"/>
    </i>
    <i r="2">
      <x v="6"/>
    </i>
    <i r="2">
      <x v="7"/>
    </i>
    <i r="2">
      <x v="8"/>
    </i>
    <i r="2">
      <x v="9"/>
    </i>
    <i r="2">
      <x v="10"/>
    </i>
    <i r="2">
      <x v="11"/>
    </i>
    <i r="2">
      <x v="12"/>
    </i>
    <i r="2">
      <x v="13"/>
    </i>
    <i r="2">
      <x v="14"/>
    </i>
    <i>
      <x v="1"/>
    </i>
    <i r="1">
      <x v="3"/>
    </i>
    <i r="2">
      <x v="7"/>
    </i>
    <i r="2">
      <x v="12"/>
    </i>
    <i t="grand">
      <x/>
    </i>
  </rowItems>
  <colFields count="1">
    <field x="24"/>
  </colFields>
  <colItems count="3">
    <i>
      <x v="7"/>
    </i>
    <i>
      <x v="8"/>
    </i>
    <i t="grand">
      <x/>
    </i>
  </colItems>
  <dataFields count="1">
    <dataField name="Suma z 2026 rok" fld="16" baseField="0" baseItem="0" numFmtId="4"/>
  </dataFields>
  <formats count="16">
    <format dxfId="38">
      <pivotArea collapsedLevelsAreSubtotals="1" fieldPosition="0">
        <references count="2">
          <reference field="0" count="1">
            <x v="0"/>
          </reference>
          <reference field="24" count="1" selected="0">
            <x v="2"/>
          </reference>
        </references>
      </pivotArea>
    </format>
    <format dxfId="37">
      <pivotArea collapsedLevelsAreSubtotals="1" fieldPosition="0">
        <references count="2">
          <reference field="0" count="1">
            <x v="0"/>
          </reference>
          <reference field="24" count="1" selected="0">
            <x v="7"/>
          </reference>
        </references>
      </pivotArea>
    </format>
    <format dxfId="36">
      <pivotArea outline="0" collapsedLevelsAreSubtotals="1" fieldPosition="0"/>
    </format>
    <format dxfId="35">
      <pivotArea field="24" type="button" dataOnly="0" labelOnly="1" outline="0" axis="axisCol" fieldPosition="0"/>
    </format>
    <format dxfId="34">
      <pivotArea type="topRight" dataOnly="0" labelOnly="1" outline="0" fieldPosition="0"/>
    </format>
    <format dxfId="33">
      <pivotArea dataOnly="0" labelOnly="1" fieldPosition="0">
        <references count="1">
          <reference field="24" count="0"/>
        </references>
      </pivotArea>
    </format>
    <format dxfId="32">
      <pivotArea dataOnly="0" labelOnly="1" grandCol="1" outline="0" fieldPosition="0"/>
    </format>
    <format dxfId="31">
      <pivotArea collapsedLevelsAreSubtotals="1" fieldPosition="0">
        <references count="2">
          <reference field="0" count="1">
            <x v="0"/>
          </reference>
          <reference field="24" count="1" selected="0">
            <x v="7"/>
          </reference>
        </references>
      </pivotArea>
    </format>
    <format dxfId="30">
      <pivotArea collapsedLevelsAreSubtotals="1" fieldPosition="0">
        <references count="4">
          <reference field="0" count="1" selected="0">
            <x v="0"/>
          </reference>
          <reference field="1" count="1" selected="0">
            <x v="1"/>
          </reference>
          <reference field="2" count="1">
            <x v="6"/>
          </reference>
          <reference field="24" count="1" selected="0">
            <x v="7"/>
          </reference>
        </references>
      </pivotArea>
    </format>
    <format dxfId="29">
      <pivotArea collapsedLevelsAreSubtotals="1" fieldPosition="0">
        <references count="4">
          <reference field="0" count="1" selected="0">
            <x v="0"/>
          </reference>
          <reference field="1" count="1" selected="0">
            <x v="1"/>
          </reference>
          <reference field="2" count="1">
            <x v="7"/>
          </reference>
          <reference field="24" count="1" selected="0">
            <x v="7"/>
          </reference>
        </references>
      </pivotArea>
    </format>
    <format dxfId="28">
      <pivotArea collapsedLevelsAreSubtotals="1" fieldPosition="0">
        <references count="4">
          <reference field="0" count="1" selected="0">
            <x v="0"/>
          </reference>
          <reference field="1" count="1" selected="0">
            <x v="1"/>
          </reference>
          <reference field="2" count="1">
            <x v="9"/>
          </reference>
          <reference field="24" count="1" selected="0">
            <x v="7"/>
          </reference>
        </references>
      </pivotArea>
    </format>
    <format dxfId="27">
      <pivotArea collapsedLevelsAreSubtotals="1" fieldPosition="0">
        <references count="4">
          <reference field="0" count="1" selected="0">
            <x v="0"/>
          </reference>
          <reference field="1" count="1" selected="0">
            <x v="1"/>
          </reference>
          <reference field="2" count="1">
            <x v="12"/>
          </reference>
          <reference field="24" count="1" selected="0">
            <x v="7"/>
          </reference>
        </references>
      </pivotArea>
    </format>
    <format dxfId="26">
      <pivotArea collapsedLevelsAreSubtotals="1" fieldPosition="0">
        <references count="4">
          <reference field="0" count="1" selected="0">
            <x v="0"/>
          </reference>
          <reference field="1" count="1" selected="0">
            <x v="1"/>
          </reference>
          <reference field="2" count="1">
            <x v="7"/>
          </reference>
          <reference field="24" count="1" selected="0">
            <x v="7"/>
          </reference>
        </references>
      </pivotArea>
    </format>
    <format dxfId="25">
      <pivotArea collapsedLevelsAreSubtotals="1" fieldPosition="0">
        <references count="4">
          <reference field="0" count="1" selected="0">
            <x v="0"/>
          </reference>
          <reference field="1" count="1" selected="0">
            <x v="1"/>
          </reference>
          <reference field="2" count="1">
            <x v="12"/>
          </reference>
          <reference field="24" count="1" selected="0">
            <x v="7"/>
          </reference>
        </references>
      </pivotArea>
    </format>
    <format dxfId="24">
      <pivotArea collapsedLevelsAreSubtotals="1" fieldPosition="0">
        <references count="4">
          <reference field="0" count="1" selected="0">
            <x v="0"/>
          </reference>
          <reference field="1" count="1" selected="0">
            <x v="1"/>
          </reference>
          <reference field="2" count="1">
            <x v="9"/>
          </reference>
          <reference field="24" count="1" selected="0">
            <x v="7"/>
          </reference>
        </references>
      </pivotArea>
    </format>
    <format dxfId="23">
      <pivotArea collapsedLevelsAreSubtotals="1" fieldPosition="0">
        <references count="4">
          <reference field="0" count="1" selected="0">
            <x v="0"/>
          </reference>
          <reference field="1" count="1" selected="0">
            <x v="1"/>
          </reference>
          <reference field="2" count="1">
            <x v="6"/>
          </reference>
          <reference field="24" count="1" selected="0">
            <x v="7"/>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08F5C73-27E1-4233-A956-3BD4664FF201}" name="Tabela przestawna1" cacheId="0" applyNumberFormats="0" applyBorderFormats="0" applyFontFormats="0" applyPatternFormats="0" applyAlignmentFormats="0" applyWidthHeightFormats="1" dataCaption="Wartości" updatedVersion="8" minRefreshableVersion="3" useAutoFormatting="1" itemPrintTitles="1" createdVersion="8" indent="0" outline="1" outlineData="1" multipleFieldFilters="0">
  <location ref="C867:G902" firstHeaderRow="0" firstDataRow="1" firstDataCol="1"/>
  <pivotFields count="22">
    <pivotField axis="axisRow" multipleItemSelectionAllowed="1" showAll="0">
      <items count="8">
        <item x="0"/>
        <item x="1"/>
        <item x="2"/>
        <item x="3"/>
        <item x="4"/>
        <item x="5"/>
        <item x="6"/>
        <item t="default"/>
      </items>
    </pivotField>
    <pivotField axis="axisRow" showAll="0">
      <items count="16">
        <item x="0"/>
        <item x="2"/>
        <item x="3"/>
        <item x="4"/>
        <item x="5"/>
        <item x="6"/>
        <item x="7"/>
        <item x="9"/>
        <item x="10"/>
        <item x="11"/>
        <item x="12"/>
        <item x="13"/>
        <item x="14"/>
        <item x="8"/>
        <item x="1"/>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showAll="0"/>
    <pivotField showAll="0"/>
    <pivotField showAll="0"/>
    <pivotField showAll="0"/>
    <pivotField showAll="0"/>
  </pivotFields>
  <rowFields count="2">
    <field x="0"/>
    <field x="1"/>
  </rowFields>
  <rowItems count="35">
    <i>
      <x/>
    </i>
    <i r="1">
      <x/>
    </i>
    <i r="1">
      <x v="1"/>
    </i>
    <i r="1">
      <x v="2"/>
    </i>
    <i r="1">
      <x v="3"/>
    </i>
    <i r="1">
      <x v="4"/>
    </i>
    <i r="1">
      <x v="5"/>
    </i>
    <i r="1">
      <x v="6"/>
    </i>
    <i r="1">
      <x v="7"/>
    </i>
    <i r="1">
      <x v="8"/>
    </i>
    <i r="1">
      <x v="9"/>
    </i>
    <i r="1">
      <x v="10"/>
    </i>
    <i r="1">
      <x v="11"/>
    </i>
    <i r="1">
      <x v="12"/>
    </i>
    <i r="1">
      <x v="13"/>
    </i>
    <i r="1">
      <x v="14"/>
    </i>
    <i>
      <x v="1"/>
    </i>
    <i r="1">
      <x v="10"/>
    </i>
    <i>
      <x v="2"/>
    </i>
    <i r="1">
      <x v="6"/>
    </i>
    <i>
      <x v="3"/>
    </i>
    <i r="1">
      <x v="6"/>
    </i>
    <i r="1">
      <x v="8"/>
    </i>
    <i r="1">
      <x v="9"/>
    </i>
    <i r="1">
      <x v="11"/>
    </i>
    <i r="1">
      <x v="12"/>
    </i>
    <i>
      <x v="4"/>
    </i>
    <i r="1">
      <x v="6"/>
    </i>
    <i>
      <x v="5"/>
    </i>
    <i r="1">
      <x v="6"/>
    </i>
    <i r="1">
      <x v="9"/>
    </i>
    <i>
      <x v="6"/>
    </i>
    <i r="1">
      <x v="4"/>
    </i>
    <i r="1">
      <x v="6"/>
    </i>
    <i t="grand">
      <x/>
    </i>
  </rowItems>
  <colFields count="1">
    <field x="-2"/>
  </colFields>
  <colItems count="4">
    <i>
      <x/>
    </i>
    <i i="1">
      <x v="1"/>
    </i>
    <i i="2">
      <x v="2"/>
    </i>
    <i i="3">
      <x v="3"/>
    </i>
  </colItems>
  <dataFields count="4">
    <dataField name="Suma z 2025" fld="13" baseField="0" baseItem="0"/>
    <dataField name="Suma z 2026" fld="14" baseField="1" baseItem="0"/>
    <dataField name="Suma z 2027" fld="15" baseField="1" baseItem="0"/>
    <dataField name="Suma z 2028" fld="16" baseField="1" baseItem="0"/>
  </dataFields>
  <formats count="22">
    <format dxfId="22">
      <pivotArea outline="0" collapsedLevelsAreSubtotals="1" fieldPosition="0"/>
    </format>
    <format dxfId="21">
      <pivotArea collapsedLevelsAreSubtotals="1" fieldPosition="0">
        <references count="3">
          <reference field="4294967294" count="2" selected="0">
            <x v="1"/>
            <x v="2"/>
          </reference>
          <reference field="0" count="1" selected="0">
            <x v="0"/>
          </reference>
          <reference field="1" count="1">
            <x v="10"/>
          </reference>
        </references>
      </pivotArea>
    </format>
    <format dxfId="20">
      <pivotArea collapsedLevelsAreSubtotals="1" fieldPosition="0">
        <references count="3">
          <reference field="4294967294" count="3" selected="0">
            <x v="0"/>
            <x v="1"/>
            <x v="2"/>
          </reference>
          <reference field="0" count="1" selected="0">
            <x v="0"/>
          </reference>
          <reference field="1" count="1">
            <x v="1"/>
          </reference>
        </references>
      </pivotArea>
    </format>
    <format dxfId="19">
      <pivotArea collapsedLevelsAreSubtotals="1" fieldPosition="0">
        <references count="3">
          <reference field="4294967294" count="1" selected="0">
            <x v="0"/>
          </reference>
          <reference field="0" count="1" selected="0">
            <x v="0"/>
          </reference>
          <reference field="1" count="1">
            <x v="10"/>
          </reference>
        </references>
      </pivotArea>
    </format>
    <format dxfId="18">
      <pivotArea collapsedLevelsAreSubtotals="1" fieldPosition="0">
        <references count="3">
          <reference field="4294967294" count="1" selected="0">
            <x v="2"/>
          </reference>
          <reference field="0" count="1" selected="0">
            <x v="0"/>
          </reference>
          <reference field="1" count="1">
            <x v="10"/>
          </reference>
        </references>
      </pivotArea>
    </format>
    <format dxfId="17">
      <pivotArea collapsedLevelsAreSubtotals="1" fieldPosition="0">
        <references count="3">
          <reference field="4294967294" count="1" selected="0">
            <x v="0"/>
          </reference>
          <reference field="0" count="1" selected="0">
            <x v="0"/>
          </reference>
          <reference field="1" count="1">
            <x v="8"/>
          </reference>
        </references>
      </pivotArea>
    </format>
    <format dxfId="16">
      <pivotArea collapsedLevelsAreSubtotals="1" fieldPosition="0">
        <references count="3">
          <reference field="4294967294" count="1" selected="0">
            <x v="1"/>
          </reference>
          <reference field="0" count="1" selected="0">
            <x v="0"/>
          </reference>
          <reference field="1" count="1">
            <x v="10"/>
          </reference>
        </references>
      </pivotArea>
    </format>
    <format dxfId="15">
      <pivotArea type="all" dataOnly="0" outline="0" fieldPosition="0"/>
    </format>
    <format dxfId="14">
      <pivotArea outline="0" collapsedLevelsAreSubtotals="1" fieldPosition="0"/>
    </format>
    <format dxfId="13">
      <pivotArea field="0" type="button" dataOnly="0" labelOnly="1" outline="0" axis="axisRow" fieldPosition="0"/>
    </format>
    <format dxfId="12">
      <pivotArea dataOnly="0" labelOnly="1" fieldPosition="0">
        <references count="1">
          <reference field="0" count="0"/>
        </references>
      </pivotArea>
    </format>
    <format dxfId="11">
      <pivotArea dataOnly="0" labelOnly="1" grandRow="1" outline="0" fieldPosition="0"/>
    </format>
    <format dxfId="10">
      <pivotArea dataOnly="0" labelOnly="1" fieldPosition="0">
        <references count="2">
          <reference field="0" count="1" selected="0">
            <x v="0"/>
          </reference>
          <reference field="1" count="14">
            <x v="0"/>
            <x v="1"/>
            <x v="2"/>
            <x v="3"/>
            <x v="4"/>
            <x v="5"/>
            <x v="6"/>
            <x v="7"/>
            <x v="8"/>
            <x v="9"/>
            <x v="10"/>
            <x v="11"/>
            <x v="12"/>
            <x v="14"/>
          </reference>
        </references>
      </pivotArea>
    </format>
    <format dxfId="9">
      <pivotArea dataOnly="0" labelOnly="1" fieldPosition="0">
        <references count="2">
          <reference field="0" count="1" selected="0">
            <x v="1"/>
          </reference>
          <reference field="1" count="1">
            <x v="10"/>
          </reference>
        </references>
      </pivotArea>
    </format>
    <format dxfId="8">
      <pivotArea dataOnly="0" labelOnly="1" fieldPosition="0">
        <references count="2">
          <reference field="0" count="1" selected="0">
            <x v="2"/>
          </reference>
          <reference field="1" count="1">
            <x v="6"/>
          </reference>
        </references>
      </pivotArea>
    </format>
    <format dxfId="7">
      <pivotArea dataOnly="0" labelOnly="1" fieldPosition="0">
        <references count="2">
          <reference field="0" count="1" selected="0">
            <x v="3"/>
          </reference>
          <reference field="1" count="5">
            <x v="6"/>
            <x v="8"/>
            <x v="9"/>
            <x v="11"/>
            <x v="12"/>
          </reference>
        </references>
      </pivotArea>
    </format>
    <format dxfId="6">
      <pivotArea dataOnly="0" labelOnly="1" fieldPosition="0">
        <references count="2">
          <reference field="0" count="1" selected="0">
            <x v="4"/>
          </reference>
          <reference field="1" count="1">
            <x v="6"/>
          </reference>
        </references>
      </pivotArea>
    </format>
    <format dxfId="5">
      <pivotArea dataOnly="0" labelOnly="1" fieldPosition="0">
        <references count="2">
          <reference field="0" count="1" selected="0">
            <x v="5"/>
          </reference>
          <reference field="1" count="2">
            <x v="6"/>
            <x v="9"/>
          </reference>
        </references>
      </pivotArea>
    </format>
    <format dxfId="4">
      <pivotArea dataOnly="0" labelOnly="1" fieldPosition="0">
        <references count="2">
          <reference field="0" count="1" selected="0">
            <x v="6"/>
          </reference>
          <reference field="1" count="2">
            <x v="4"/>
            <x v="6"/>
          </reference>
        </references>
      </pivotArea>
    </format>
    <format dxfId="3">
      <pivotArea dataOnly="0" labelOnly="1" outline="0" fieldPosition="0">
        <references count="1">
          <reference field="4294967294" count="4">
            <x v="0"/>
            <x v="1"/>
            <x v="2"/>
            <x v="3"/>
          </reference>
        </references>
      </pivotArea>
    </format>
    <format dxfId="2">
      <pivotArea collapsedLevelsAreSubtotals="1" fieldPosition="0">
        <references count="3">
          <reference field="4294967294" count="1" selected="0">
            <x v="3"/>
          </reference>
          <reference field="0" count="1" selected="0">
            <x v="2"/>
          </reference>
          <reference field="1" count="1">
            <x v="6"/>
          </reference>
        </references>
      </pivotArea>
    </format>
    <format dxfId="1">
      <pivotArea collapsedLevelsAreSubtotals="1" fieldPosition="0">
        <references count="3">
          <reference field="4294967294" count="1" selected="0">
            <x v="3"/>
          </reference>
          <reference field="0" count="1" selected="0">
            <x v="2"/>
          </reference>
          <reference field="1" count="1">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DDD960E-A5F3-4736-87D7-62C18ACAE935}" name="Tabela1" displayName="Tabela1" ref="A1:W73" totalsRowShown="0">
  <autoFilter ref="A1:W73" xr:uid="{3DDD960E-A5F3-4736-87D7-62C18ACAE935}"/>
  <tableColumns count="23">
    <tableColumn id="1" xr3:uid="{90963544-95A4-4D6E-963F-D728250C75D4}" name="część"/>
    <tableColumn id="2" xr3:uid="{0DC07763-D254-41FD-8144-48A01B946A48}" name="departament"/>
    <tableColumn id="3" xr3:uid="{5AEC5F92-386E-49C2-B06E-EEDBE3668990}" name="rodzaj projektu "/>
    <tableColumn id="4" xr3:uid="{003E8AE6-427C-4859-AA06-EDCC6E6BBAD8}" name="opis projektu"/>
    <tableColumn id="5" xr3:uid="{2FFE5BAB-48EF-4F05-999C-6D3F55BD7102}" name="DATA ZŁOŻENIA WNIOSKU/_x000a_PLANOWANA DATA ZŁOŻENIA WNIOSKU / PREUMOWA"/>
    <tableColumn id="6" xr3:uid="{0741E7D1-E591-44AA-B00F-A1FEED57A707}" name="PROGRAM OPERACYJNY/ INICJATYWA "/>
    <tableColumn id="7" xr3:uid="{4444FF37-CA4A-4988-8C54-633C015922A4}" name="termin realizacji_x000a_"/>
    <tableColumn id="8" xr3:uid="{35A587A7-A167-4261-A3CD-3B44600B8698}" name="paragraf"/>
    <tableColumn id="9" xr3:uid="{B5915C83-6A1F-4BDE-8A21-14B35F058CA8}" name="źródło fin."/>
    <tableColumn id="10" xr3:uid="{D5E690B0-3C56-444C-AF68-43DBAC0342E0}" name="bz"/>
    <tableColumn id="11" xr3:uid="{2FFEFA9F-8E4D-49B7-8DE8-F1A6F00E9CAC}" name="Beneficjent"/>
    <tableColumn id="12" xr3:uid="{A82C1059-1F3F-4E76-80CC-6C88DB87F260}" name="nazwa zadania_x000a_"/>
    <tableColumn id="13" xr3:uid="{24038539-66EF-4703-A074-1E8EC4294BB5}" name="Szczegółowe uzasadnienie"/>
    <tableColumn id="14" xr3:uid="{BBD84F5E-9638-4B5D-AEB6-4DE987916FDA}" name="2025"/>
    <tableColumn id="15" xr3:uid="{9A5977A4-70BE-46F1-9AB8-8ED1E2034C10}" name="2026"/>
    <tableColumn id="16" xr3:uid="{5E9D10F2-23E3-4C94-A9C8-E9F669FD3682}" name="2027"/>
    <tableColumn id="17" xr3:uid="{1C1CD1DD-EBF7-416F-86FF-402335DB0E22}" name="2028"/>
    <tableColumn id="18" xr3:uid="{1CDC55F4-9901-4CC6-818E-05806135DF88}" name="2029"/>
    <tableColumn id="19" xr3:uid="{1BE89E48-9040-4DDF-9166-A1B27DCD4302}" name="etap działań"/>
    <tableColumn id="20" xr3:uid="{D28C7D57-CE83-488A-8B78-B11402568868}" name="umowy"/>
    <tableColumn id="21" xr3:uid="{5BEF6C7A-02C3-433D-A666-1601118343F0}" name="nr umowy"/>
    <tableColumn id="22" xr3:uid="{91D8EC89-17A6-4339-ABD7-ED2DBE2B4FA8}" name="z kim zawarta"/>
    <tableColumn id="23" xr3:uid="{ED3A0597-36BD-4DE5-911F-2C1976474744}" name="Uwagi"/>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E7E933B-DC52-4EA0-907F-48FBADEDF7DC}" name="Tabela2" displayName="Tabela2" ref="A1:W13" totalsRowShown="0">
  <autoFilter ref="A1:W13" xr:uid="{6E7E933B-DC52-4EA0-907F-48FBADEDF7DC}"/>
  <tableColumns count="23">
    <tableColumn id="1" xr3:uid="{70DE11A7-174C-4038-8D63-4B390EA42FFD}" name="część"/>
    <tableColumn id="2" xr3:uid="{366BC1C3-EF2C-4181-A500-093B17A79B74}" name="departament"/>
    <tableColumn id="3" xr3:uid="{8A0F0F40-FA4D-47DF-B110-CC059517BB2C}" name="rodzaj projektu "/>
    <tableColumn id="4" xr3:uid="{E54539C0-EA18-4310-8DC5-3F1ABCAD32C8}" name="opis projektu"/>
    <tableColumn id="5" xr3:uid="{2F1EEA18-54B7-4D0F-905A-35D677D4BB8F}" name="DATA ZŁOŻENIA WNIOSKU/_x000a_PLANOWANA DATA ZŁOŻENIA WNIOSKU / PREUMOWA"/>
    <tableColumn id="6" xr3:uid="{C745072D-9456-42EB-A5E3-31B1A89D5A55}" name="PROGRAM OPERACYJNY/ INICJATYWA "/>
    <tableColumn id="7" xr3:uid="{027E5D1A-BC86-416B-8840-0FBA3FDEAD70}" name="termin realizacji_x000a_"/>
    <tableColumn id="8" xr3:uid="{BDD78501-12F2-4B7A-B357-3C46E3C20543}" name="paragraf"/>
    <tableColumn id="9" xr3:uid="{2917B797-DB35-4FB9-94B4-825E7D34B1CA}" name="źródło fin."/>
    <tableColumn id="10" xr3:uid="{9BAACB4D-A278-4E53-A49C-6AFCE2C19C5F}" name="bz"/>
    <tableColumn id="11" xr3:uid="{CB0A5621-E258-4029-ACB9-4CA4FE90968E}" name="Beneficjent"/>
    <tableColumn id="12" xr3:uid="{7548A81F-BD27-42FA-8315-D2AAA22F50DE}" name="nazwa zadania_x000a_"/>
    <tableColumn id="13" xr3:uid="{88E1DEB4-6CAF-4EF0-A64D-C05AEA80855A}" name="Szczegółowe uzasadnienie"/>
    <tableColumn id="14" xr3:uid="{226C38F4-7060-4BC7-A9AE-AACD256F9278}" name="2025"/>
    <tableColumn id="15" xr3:uid="{9CF14350-7DB9-450A-B2DE-1834DBBF4FC0}" name="2026"/>
    <tableColumn id="16" xr3:uid="{BA1F791B-0466-48F2-846D-42DA72C003FD}" name="2027"/>
    <tableColumn id="17" xr3:uid="{4FB2B422-85A4-4C47-B995-9BDFBED5992B}" name="2028"/>
    <tableColumn id="18" xr3:uid="{8A75618B-AA1B-43DC-9F7E-934517F2BA7D}" name="2029"/>
    <tableColumn id="19" xr3:uid="{D4A73062-4BB5-4DFF-A88C-FCD06B211DD3}" name="etap działań"/>
    <tableColumn id="20" xr3:uid="{C57500BE-82B3-40CB-B710-B808FFCB68A4}" name="umowy"/>
    <tableColumn id="21" xr3:uid="{4A65C434-CFE8-421A-9279-B5F1A65EBBDF}" name="nr umowy"/>
    <tableColumn id="22" xr3:uid="{6DDC4D9E-CAA1-4558-8024-80CF47FBD1BD}" name="z kim zawarta"/>
    <tableColumn id="23" xr3:uid="{CE7693D2-06E3-43D1-B787-1C267EF20E84}" name="Uwagi"/>
  </tableColumns>
  <tableStyleInfo name="TableStyleMedium2" showFirstColumn="0" showLastColumn="0" showRowStripes="1" showColumnStripes="0"/>
</table>
</file>

<file path=xl/theme/theme1.xml><?xml version="1.0" encoding="utf-8"?>
<a:theme xmlns:a="http://schemas.openxmlformats.org/drawingml/2006/main" name="Motyw pakietu Office">
  <a:themeElements>
    <a:clrScheme name="Pakiet 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Pakiet 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Pakiet 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D3" dT="2025-05-23T12:25:16.43" personId="{E12E9651-6BE0-4520-8AEE-1AF7588F9540}" id="{52B7F8B4-F139-4E9D-AA58-D0C2204DE7B9}">
    <text>Brak paragrafu - wydatki zagregowane dot. wynagrodzeń osobowych (brutto-brutto)</text>
  </threadedComment>
</ThreadedComments>
</file>

<file path=xl/threadedComments/threadedComment2.xml><?xml version="1.0" encoding="utf-8"?>
<ThreadedComments xmlns="http://schemas.microsoft.com/office/spreadsheetml/2018/threadedcomments" xmlns:x="http://schemas.openxmlformats.org/spreadsheetml/2006/main">
  <threadedComment ref="N113" dT="2024-07-26T16:37:29.35" personId="{38804A01-0B19-45FE-9282-F80A3B94E8AF}" id="{C591BCDE-F328-4600-A246-FEB38E8AFA86}">
    <text>Zwiększenie odpisu na 2025 r.</text>
  </threadedComment>
  <threadedComment ref="O113" dT="2024-07-26T16:37:29.35" personId="{38804A01-0B19-45FE-9282-F80A3B94E8AF}" id="{BB4F986D-78A3-4DA8-B102-09B0B1265B7F}">
    <text>Zwiększenie odpisu na 2025 r.</text>
  </threadedComment>
  <threadedComment ref="P113" dT="2024-07-26T16:37:29.35" personId="{38804A01-0B19-45FE-9282-F80A3B94E8AF}" id="{9DD5733E-A9C5-4F47-AC74-9348B9A3BBD8}">
    <text>Zwiększenie odpisu na 2025 r.</text>
  </threadedComment>
  <threadedComment ref="Q113" dT="2024-07-26T16:37:29.35" personId="{38804A01-0B19-45FE-9282-F80A3B94E8AF}" id="{55D5519C-CCC7-4473-9760-BBB5657533A2}">
    <text>Zwiększenie odpisu na 2025 r.</text>
  </threadedComment>
  <threadedComment ref="H820" dT="2024-07-17T12:22:58.86" personId="{38804A01-0B19-45FE-9282-F80A3B94E8AF}" id="{24E62770-77D8-4338-BF58-C2593C551F43}">
    <text>Do wyjaśnienia paragraf</text>
  </threadedComment>
  <threadedComment ref="H821" dT="2024-07-17T12:23:16.27" personId="{38804A01-0B19-45FE-9282-F80A3B94E8AF}" id="{478CD403-4A7F-4216-9E59-15FF3D54103F}">
    <text>Do wyjaśnienia paragraf</text>
  </threadedComment>
  <threadedComment ref="H824" dT="2024-07-17T12:25:12.08" personId="{38804A01-0B19-45FE-9282-F80A3B94E8AF}" id="{7D142580-42A0-4ABF-AADD-4E53F304E969}">
    <text>Do korekty paragraf</text>
  </threadedComment>
  <threadedComment ref="N829" dT="2024-07-02T11:50:54.53" personId="{CA6D237B-1DB6-4346-B8F7-5F4777BC525C}" id="{B0EB8398-D014-4555-9E4F-980F0F93049E}">
    <text>Rok 2025 i 2026 po anekssie</text>
  </threadedComment>
  <threadedComment ref="Q830" dT="2024-07-28T06:15:28.84" personId="{38804A01-0B19-45FE-9282-F80A3B94E8AF}" id="{FAF7A795-ED54-41B1-B6FE-8E2EC8BAB178}">
    <text>Skorygowane zgodnie z korespondencją z p. Marcinem Kondratowiczem 27-28.07.2024</text>
  </threadedComment>
  <threadedComment ref="H850" dT="2024-07-17T11:07:19.12" personId="{38804A01-0B19-45FE-9282-F80A3B94E8AF}" id="{30F982A2-ACF7-430B-91A3-5EE031A3E38E}">
    <text>Do wyjaśnienia paragraf</text>
  </threadedComment>
</ThreadedComment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 Id="rId9" Type="http://schemas.openxmlformats.org/officeDocument/2006/relationships/pivotTable" Target="../pivotTables/pivotTable10.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ivotTable" Target="../pivotTables/pivotTable12.xml"/><Relationship Id="rId4" Type="http://schemas.microsoft.com/office/2017/10/relationships/threadedComment" Target="../threadedComments/threadedComment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22EA75-7084-44B6-AB53-DD9D77BE2233}">
  <sheetPr codeName="Arkusz1" filterMode="1"/>
  <dimension ref="A1:X81"/>
  <sheetViews>
    <sheetView workbookViewId="0">
      <selection activeCell="H61" sqref="H61"/>
    </sheetView>
  </sheetViews>
  <sheetFormatPr defaultRowHeight="14.4" x14ac:dyDescent="0.3"/>
  <cols>
    <col min="2" max="2" width="45.6640625" bestFit="1" customWidth="1"/>
    <col min="3" max="5" width="11.6640625" bestFit="1" customWidth="1"/>
    <col min="6" max="6" width="37.44140625" hidden="1" customWidth="1"/>
    <col min="7" max="7" width="0" hidden="1" customWidth="1"/>
    <col min="8" max="8" width="10.44140625" customWidth="1"/>
    <col min="9" max="9" width="12.33203125" customWidth="1"/>
    <col min="11" max="11" width="13.5546875" customWidth="1"/>
    <col min="12" max="12" width="21.5546875" customWidth="1"/>
    <col min="13" max="13" width="49.33203125" customWidth="1"/>
    <col min="18" max="18" width="9.33203125" hidden="1" customWidth="1"/>
    <col min="19" max="19" width="13.6640625" hidden="1" customWidth="1"/>
    <col min="20" max="20" width="9.5546875" hidden="1" customWidth="1"/>
    <col min="21" max="21" width="11.6640625" hidden="1" customWidth="1"/>
    <col min="22" max="22" width="14.6640625" hidden="1" customWidth="1"/>
    <col min="23" max="23" width="9.33203125" hidden="1" customWidth="1"/>
  </cols>
  <sheetData>
    <row r="1" spans="1:2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1833</v>
      </c>
    </row>
    <row r="2" spans="1:24" hidden="1" x14ac:dyDescent="0.3">
      <c r="A2">
        <v>27</v>
      </c>
      <c r="B2" t="s">
        <v>1243</v>
      </c>
      <c r="D2" t="s">
        <v>1529</v>
      </c>
      <c r="F2" t="s">
        <v>458</v>
      </c>
      <c r="H2">
        <v>6060</v>
      </c>
      <c r="I2">
        <v>0</v>
      </c>
      <c r="J2" t="s">
        <v>1110</v>
      </c>
      <c r="K2" t="s">
        <v>879</v>
      </c>
      <c r="L2" t="s">
        <v>1529</v>
      </c>
      <c r="M2" t="s">
        <v>1529</v>
      </c>
      <c r="N2">
        <v>13000</v>
      </c>
      <c r="O2">
        <v>10000</v>
      </c>
      <c r="P2">
        <v>10434</v>
      </c>
      <c r="W2" t="s">
        <v>1528</v>
      </c>
      <c r="X2" t="s">
        <v>1834</v>
      </c>
    </row>
    <row r="3" spans="1:24" x14ac:dyDescent="0.3">
      <c r="A3">
        <v>27</v>
      </c>
      <c r="B3" t="s">
        <v>1243</v>
      </c>
      <c r="C3" t="s">
        <v>1268</v>
      </c>
      <c r="D3" t="s">
        <v>1269</v>
      </c>
      <c r="E3" t="s">
        <v>458</v>
      </c>
      <c r="F3" t="s">
        <v>458</v>
      </c>
      <c r="H3">
        <v>6060</v>
      </c>
      <c r="I3">
        <v>0</v>
      </c>
      <c r="J3" t="s">
        <v>1110</v>
      </c>
      <c r="K3" t="s">
        <v>243</v>
      </c>
      <c r="L3" t="s">
        <v>1520</v>
      </c>
      <c r="M3" t="s">
        <v>1520</v>
      </c>
      <c r="N3">
        <v>0</v>
      </c>
      <c r="X3" t="s">
        <v>1837</v>
      </c>
    </row>
    <row r="4" spans="1:24" x14ac:dyDescent="0.3">
      <c r="A4">
        <v>27</v>
      </c>
      <c r="B4" t="s">
        <v>1243</v>
      </c>
      <c r="C4" t="s">
        <v>1268</v>
      </c>
      <c r="D4" t="s">
        <v>1269</v>
      </c>
      <c r="E4" t="s">
        <v>458</v>
      </c>
      <c r="F4" t="s">
        <v>458</v>
      </c>
      <c r="H4">
        <v>6060</v>
      </c>
      <c r="I4">
        <v>0</v>
      </c>
      <c r="J4" t="s">
        <v>1110</v>
      </c>
      <c r="K4" t="s">
        <v>243</v>
      </c>
      <c r="L4" t="s">
        <v>1519</v>
      </c>
      <c r="M4" t="s">
        <v>1519</v>
      </c>
      <c r="N4">
        <v>7165</v>
      </c>
      <c r="X4" t="s">
        <v>1837</v>
      </c>
    </row>
    <row r="5" spans="1:24" x14ac:dyDescent="0.3">
      <c r="A5">
        <v>27</v>
      </c>
      <c r="B5" t="s">
        <v>1243</v>
      </c>
      <c r="C5" t="s">
        <v>1268</v>
      </c>
      <c r="D5" t="s">
        <v>1269</v>
      </c>
      <c r="E5" t="s">
        <v>458</v>
      </c>
      <c r="F5" t="s">
        <v>458</v>
      </c>
      <c r="H5">
        <v>6060</v>
      </c>
      <c r="I5">
        <v>0</v>
      </c>
      <c r="J5" t="s">
        <v>1246</v>
      </c>
      <c r="K5" t="s">
        <v>243</v>
      </c>
      <c r="L5" t="s">
        <v>1518</v>
      </c>
      <c r="M5" t="s">
        <v>1518</v>
      </c>
      <c r="N5">
        <v>11933</v>
      </c>
      <c r="X5" t="s">
        <v>1837</v>
      </c>
    </row>
    <row r="6" spans="1:24" x14ac:dyDescent="0.3">
      <c r="A6">
        <v>27</v>
      </c>
      <c r="B6" t="s">
        <v>1243</v>
      </c>
      <c r="C6" t="s">
        <v>1268</v>
      </c>
      <c r="D6" t="s">
        <v>1269</v>
      </c>
      <c r="E6" t="s">
        <v>458</v>
      </c>
      <c r="F6" t="s">
        <v>458</v>
      </c>
      <c r="H6">
        <v>6060</v>
      </c>
      <c r="I6">
        <v>0</v>
      </c>
      <c r="J6" t="s">
        <v>1246</v>
      </c>
      <c r="K6" t="s">
        <v>243</v>
      </c>
      <c r="L6" t="s">
        <v>1517</v>
      </c>
      <c r="M6" t="s">
        <v>1517</v>
      </c>
      <c r="N6">
        <v>3090</v>
      </c>
      <c r="X6" t="s">
        <v>1837</v>
      </c>
    </row>
    <row r="7" spans="1:24" hidden="1" x14ac:dyDescent="0.3">
      <c r="A7">
        <v>27</v>
      </c>
      <c r="B7" t="s">
        <v>1243</v>
      </c>
      <c r="C7" t="s">
        <v>1268</v>
      </c>
      <c r="D7" t="s">
        <v>1353</v>
      </c>
      <c r="E7" t="s">
        <v>458</v>
      </c>
      <c r="F7" t="s">
        <v>458</v>
      </c>
      <c r="H7">
        <v>6060</v>
      </c>
      <c r="I7">
        <v>0</v>
      </c>
      <c r="J7" t="s">
        <v>1246</v>
      </c>
      <c r="K7" t="s">
        <v>243</v>
      </c>
      <c r="L7" t="s">
        <v>1516</v>
      </c>
      <c r="M7" t="s">
        <v>1516</v>
      </c>
      <c r="N7">
        <v>947</v>
      </c>
      <c r="X7" t="s">
        <v>1834</v>
      </c>
    </row>
    <row r="8" spans="1:24" hidden="1" x14ac:dyDescent="0.3">
      <c r="A8">
        <v>27</v>
      </c>
      <c r="B8" t="s">
        <v>1243</v>
      </c>
      <c r="C8" t="s">
        <v>1268</v>
      </c>
      <c r="D8" t="s">
        <v>1353</v>
      </c>
      <c r="E8" t="s">
        <v>458</v>
      </c>
      <c r="F8" t="s">
        <v>458</v>
      </c>
      <c r="H8">
        <v>6060</v>
      </c>
      <c r="I8">
        <v>0</v>
      </c>
      <c r="J8" t="s">
        <v>1246</v>
      </c>
      <c r="K8" t="s">
        <v>243</v>
      </c>
      <c r="L8" t="s">
        <v>1515</v>
      </c>
      <c r="M8" t="s">
        <v>1515</v>
      </c>
      <c r="N8">
        <v>15146</v>
      </c>
      <c r="X8" t="s">
        <v>1834</v>
      </c>
    </row>
    <row r="9" spans="1:24" hidden="1" x14ac:dyDescent="0.3">
      <c r="A9">
        <v>27</v>
      </c>
      <c r="B9" t="s">
        <v>1243</v>
      </c>
      <c r="C9" t="s">
        <v>1268</v>
      </c>
      <c r="D9" t="s">
        <v>1353</v>
      </c>
      <c r="E9" t="s">
        <v>458</v>
      </c>
      <c r="F9" t="s">
        <v>458</v>
      </c>
      <c r="H9">
        <v>6060</v>
      </c>
      <c r="I9">
        <v>0</v>
      </c>
      <c r="J9" t="s">
        <v>1246</v>
      </c>
      <c r="K9" t="s">
        <v>243</v>
      </c>
      <c r="L9" t="s">
        <v>1514</v>
      </c>
      <c r="M9" t="s">
        <v>1514</v>
      </c>
      <c r="N9">
        <v>8904</v>
      </c>
      <c r="X9" t="s">
        <v>1834</v>
      </c>
    </row>
    <row r="10" spans="1:24" x14ac:dyDescent="0.3">
      <c r="A10">
        <v>27</v>
      </c>
      <c r="B10" t="s">
        <v>1243</v>
      </c>
      <c r="C10" t="s">
        <v>1268</v>
      </c>
      <c r="D10" t="s">
        <v>1353</v>
      </c>
      <c r="E10" t="s">
        <v>458</v>
      </c>
      <c r="F10" t="s">
        <v>458</v>
      </c>
      <c r="H10">
        <v>6060</v>
      </c>
      <c r="I10">
        <v>0</v>
      </c>
      <c r="J10" t="s">
        <v>1246</v>
      </c>
      <c r="K10" t="s">
        <v>243</v>
      </c>
      <c r="L10" t="s">
        <v>1513</v>
      </c>
      <c r="M10" t="s">
        <v>1513</v>
      </c>
      <c r="N10">
        <v>1107</v>
      </c>
      <c r="X10" t="s">
        <v>1837</v>
      </c>
    </row>
    <row r="11" spans="1:24" hidden="1" x14ac:dyDescent="0.3">
      <c r="A11">
        <v>27</v>
      </c>
      <c r="B11" t="s">
        <v>1243</v>
      </c>
      <c r="C11" t="s">
        <v>1268</v>
      </c>
      <c r="D11" t="s">
        <v>1353</v>
      </c>
      <c r="E11" t="s">
        <v>458</v>
      </c>
      <c r="F11" t="s">
        <v>458</v>
      </c>
      <c r="H11">
        <v>6060</v>
      </c>
      <c r="I11">
        <v>0</v>
      </c>
      <c r="J11" t="s">
        <v>1246</v>
      </c>
      <c r="K11" t="s">
        <v>243</v>
      </c>
      <c r="L11" t="s">
        <v>1512</v>
      </c>
      <c r="M11" t="s">
        <v>1512</v>
      </c>
      <c r="N11">
        <v>959</v>
      </c>
      <c r="X11" t="s">
        <v>1834</v>
      </c>
    </row>
    <row r="12" spans="1:24" hidden="1" x14ac:dyDescent="0.3">
      <c r="A12">
        <v>27</v>
      </c>
      <c r="B12" t="s">
        <v>1243</v>
      </c>
      <c r="C12" t="s">
        <v>1268</v>
      </c>
      <c r="D12" t="s">
        <v>1353</v>
      </c>
      <c r="E12" t="s">
        <v>458</v>
      </c>
      <c r="F12" t="s">
        <v>458</v>
      </c>
      <c r="H12">
        <v>6060</v>
      </c>
      <c r="I12">
        <v>0</v>
      </c>
      <c r="J12" t="s">
        <v>1246</v>
      </c>
      <c r="K12" t="s">
        <v>243</v>
      </c>
      <c r="L12" t="s">
        <v>1511</v>
      </c>
      <c r="M12" t="s">
        <v>1511</v>
      </c>
      <c r="N12">
        <v>1181</v>
      </c>
      <c r="X12" t="s">
        <v>1834</v>
      </c>
    </row>
    <row r="13" spans="1:24" x14ac:dyDescent="0.3">
      <c r="A13">
        <v>27</v>
      </c>
      <c r="B13" t="s">
        <v>1243</v>
      </c>
      <c r="C13" t="s">
        <v>1268</v>
      </c>
      <c r="D13" t="s">
        <v>1353</v>
      </c>
      <c r="E13" t="s">
        <v>458</v>
      </c>
      <c r="F13" t="s">
        <v>458</v>
      </c>
      <c r="H13">
        <v>6060</v>
      </c>
      <c r="I13">
        <v>0</v>
      </c>
      <c r="J13" t="s">
        <v>1246</v>
      </c>
      <c r="K13" t="s">
        <v>243</v>
      </c>
      <c r="L13" t="s">
        <v>1510</v>
      </c>
      <c r="M13" t="s">
        <v>1510</v>
      </c>
      <c r="N13">
        <v>1697</v>
      </c>
      <c r="X13" t="s">
        <v>1837</v>
      </c>
    </row>
    <row r="14" spans="1:24" hidden="1" x14ac:dyDescent="0.3">
      <c r="A14">
        <v>27</v>
      </c>
      <c r="B14" t="s">
        <v>1243</v>
      </c>
      <c r="C14" t="s">
        <v>1268</v>
      </c>
      <c r="D14" t="s">
        <v>1353</v>
      </c>
      <c r="E14" t="s">
        <v>458</v>
      </c>
      <c r="F14" t="s">
        <v>458</v>
      </c>
      <c r="H14">
        <v>6060</v>
      </c>
      <c r="I14">
        <v>0</v>
      </c>
      <c r="J14" t="s">
        <v>1246</v>
      </c>
      <c r="K14" t="s">
        <v>243</v>
      </c>
      <c r="L14" t="s">
        <v>1509</v>
      </c>
      <c r="M14" t="s">
        <v>1509</v>
      </c>
      <c r="N14">
        <v>2214</v>
      </c>
      <c r="X14" t="s">
        <v>1834</v>
      </c>
    </row>
    <row r="15" spans="1:24" x14ac:dyDescent="0.3">
      <c r="A15">
        <v>27</v>
      </c>
      <c r="B15" t="s">
        <v>1243</v>
      </c>
      <c r="C15" t="s">
        <v>1268</v>
      </c>
      <c r="D15" t="s">
        <v>1353</v>
      </c>
      <c r="E15" t="s">
        <v>458</v>
      </c>
      <c r="F15" t="s">
        <v>458</v>
      </c>
      <c r="H15">
        <v>6060</v>
      </c>
      <c r="I15">
        <v>0</v>
      </c>
      <c r="J15" t="s">
        <v>1246</v>
      </c>
      <c r="K15" t="s">
        <v>243</v>
      </c>
      <c r="L15" t="s">
        <v>1508</v>
      </c>
      <c r="M15" t="s">
        <v>1508</v>
      </c>
      <c r="N15">
        <v>3690</v>
      </c>
      <c r="X15" t="s">
        <v>1837</v>
      </c>
    </row>
    <row r="16" spans="1:24" x14ac:dyDescent="0.3">
      <c r="A16">
        <v>27</v>
      </c>
      <c r="B16" t="s">
        <v>1243</v>
      </c>
      <c r="C16" t="s">
        <v>1268</v>
      </c>
      <c r="D16" t="s">
        <v>1353</v>
      </c>
      <c r="E16" t="s">
        <v>458</v>
      </c>
      <c r="F16" t="s">
        <v>458</v>
      </c>
      <c r="H16">
        <v>6060</v>
      </c>
      <c r="I16">
        <v>0</v>
      </c>
      <c r="J16" t="s">
        <v>1246</v>
      </c>
      <c r="K16" t="s">
        <v>243</v>
      </c>
      <c r="L16" t="s">
        <v>1507</v>
      </c>
      <c r="M16" t="s">
        <v>1507</v>
      </c>
      <c r="N16">
        <v>1353</v>
      </c>
      <c r="X16" t="s">
        <v>1837</v>
      </c>
    </row>
    <row r="17" spans="1:24" x14ac:dyDescent="0.3">
      <c r="A17">
        <v>27</v>
      </c>
      <c r="B17" t="s">
        <v>1243</v>
      </c>
      <c r="C17" t="s">
        <v>1268</v>
      </c>
      <c r="D17" t="s">
        <v>1353</v>
      </c>
      <c r="E17" t="s">
        <v>458</v>
      </c>
      <c r="F17" t="s">
        <v>458</v>
      </c>
      <c r="H17">
        <v>6060</v>
      </c>
      <c r="I17">
        <v>0</v>
      </c>
      <c r="J17" t="s">
        <v>1246</v>
      </c>
      <c r="K17" t="s">
        <v>243</v>
      </c>
      <c r="L17" t="s">
        <v>1506</v>
      </c>
      <c r="M17" t="s">
        <v>1506</v>
      </c>
      <c r="N17">
        <v>0</v>
      </c>
      <c r="X17" t="s">
        <v>1837</v>
      </c>
    </row>
    <row r="18" spans="1:24" x14ac:dyDescent="0.3">
      <c r="A18">
        <v>27</v>
      </c>
      <c r="B18" t="s">
        <v>1243</v>
      </c>
      <c r="C18" t="s">
        <v>1268</v>
      </c>
      <c r="D18" t="s">
        <v>1353</v>
      </c>
      <c r="E18" t="s">
        <v>458</v>
      </c>
      <c r="F18" t="s">
        <v>458</v>
      </c>
      <c r="H18">
        <v>6060</v>
      </c>
      <c r="I18">
        <v>0</v>
      </c>
      <c r="J18" t="s">
        <v>1246</v>
      </c>
      <c r="K18" t="s">
        <v>243</v>
      </c>
      <c r="L18" t="s">
        <v>1505</v>
      </c>
      <c r="M18" t="s">
        <v>1505</v>
      </c>
      <c r="N18">
        <v>0</v>
      </c>
      <c r="X18" t="s">
        <v>1837</v>
      </c>
    </row>
    <row r="19" spans="1:24" x14ac:dyDescent="0.3">
      <c r="A19">
        <v>27</v>
      </c>
      <c r="B19" t="s">
        <v>1243</v>
      </c>
      <c r="C19" t="s">
        <v>1268</v>
      </c>
      <c r="D19" t="s">
        <v>1353</v>
      </c>
      <c r="E19" t="s">
        <v>458</v>
      </c>
      <c r="F19" t="s">
        <v>458</v>
      </c>
      <c r="H19">
        <v>6060</v>
      </c>
      <c r="I19">
        <v>0</v>
      </c>
      <c r="J19" t="s">
        <v>1246</v>
      </c>
      <c r="K19" t="s">
        <v>243</v>
      </c>
      <c r="L19" t="s">
        <v>1504</v>
      </c>
      <c r="M19" t="s">
        <v>1504</v>
      </c>
      <c r="N19">
        <v>0</v>
      </c>
      <c r="X19" t="s">
        <v>1837</v>
      </c>
    </row>
    <row r="20" spans="1:24" x14ac:dyDescent="0.3">
      <c r="A20">
        <v>27</v>
      </c>
      <c r="B20" t="s">
        <v>1243</v>
      </c>
      <c r="C20" t="s">
        <v>1268</v>
      </c>
      <c r="D20" t="s">
        <v>1353</v>
      </c>
      <c r="E20" t="s">
        <v>458</v>
      </c>
      <c r="F20" t="s">
        <v>458</v>
      </c>
      <c r="H20">
        <v>6060</v>
      </c>
      <c r="I20">
        <v>0</v>
      </c>
      <c r="J20" t="s">
        <v>1246</v>
      </c>
      <c r="K20" t="s">
        <v>243</v>
      </c>
      <c r="L20" t="s">
        <v>1503</v>
      </c>
      <c r="M20" t="s">
        <v>1503</v>
      </c>
      <c r="N20">
        <v>0</v>
      </c>
      <c r="X20" t="s">
        <v>1837</v>
      </c>
    </row>
    <row r="21" spans="1:24" hidden="1" x14ac:dyDescent="0.3">
      <c r="A21">
        <v>27</v>
      </c>
      <c r="B21" t="s">
        <v>1243</v>
      </c>
      <c r="C21" t="s">
        <v>1268</v>
      </c>
      <c r="D21" t="s">
        <v>1353</v>
      </c>
      <c r="E21" t="s">
        <v>458</v>
      </c>
      <c r="F21" t="s">
        <v>458</v>
      </c>
      <c r="H21">
        <v>6060</v>
      </c>
      <c r="I21">
        <v>0</v>
      </c>
      <c r="J21" t="s">
        <v>1246</v>
      </c>
      <c r="K21" t="s">
        <v>243</v>
      </c>
      <c r="L21" t="s">
        <v>1502</v>
      </c>
      <c r="M21" t="s">
        <v>1502</v>
      </c>
      <c r="N21">
        <v>0</v>
      </c>
      <c r="X21" t="s">
        <v>1834</v>
      </c>
    </row>
    <row r="22" spans="1:24" hidden="1" x14ac:dyDescent="0.3">
      <c r="A22">
        <v>27</v>
      </c>
      <c r="B22" t="s">
        <v>1243</v>
      </c>
      <c r="C22" t="s">
        <v>1268</v>
      </c>
      <c r="D22" t="s">
        <v>1353</v>
      </c>
      <c r="E22" t="s">
        <v>458</v>
      </c>
      <c r="F22" t="s">
        <v>458</v>
      </c>
      <c r="H22">
        <v>6060</v>
      </c>
      <c r="I22">
        <v>0</v>
      </c>
      <c r="J22" t="s">
        <v>1246</v>
      </c>
      <c r="K22" t="s">
        <v>243</v>
      </c>
      <c r="L22" t="s">
        <v>1501</v>
      </c>
      <c r="M22" t="s">
        <v>1501</v>
      </c>
      <c r="N22">
        <v>0</v>
      </c>
      <c r="X22" t="s">
        <v>1834</v>
      </c>
    </row>
    <row r="23" spans="1:24" hidden="1" x14ac:dyDescent="0.3">
      <c r="A23">
        <v>27</v>
      </c>
      <c r="B23" t="s">
        <v>1243</v>
      </c>
      <c r="C23" t="s">
        <v>1268</v>
      </c>
      <c r="D23" t="s">
        <v>1353</v>
      </c>
      <c r="E23" t="s">
        <v>458</v>
      </c>
      <c r="F23" t="s">
        <v>458</v>
      </c>
      <c r="H23">
        <v>6060</v>
      </c>
      <c r="I23">
        <v>0</v>
      </c>
      <c r="J23" t="s">
        <v>1246</v>
      </c>
      <c r="K23" t="s">
        <v>243</v>
      </c>
      <c r="L23" t="s">
        <v>1500</v>
      </c>
      <c r="M23" t="s">
        <v>1500</v>
      </c>
      <c r="N23">
        <v>0</v>
      </c>
      <c r="X23" t="s">
        <v>1834</v>
      </c>
    </row>
    <row r="24" spans="1:24" ht="57.6" x14ac:dyDescent="0.3">
      <c r="A24">
        <v>27</v>
      </c>
      <c r="B24" t="s">
        <v>1243</v>
      </c>
      <c r="C24" t="s">
        <v>1268</v>
      </c>
      <c r="D24" t="s">
        <v>1353</v>
      </c>
      <c r="E24" t="s">
        <v>458</v>
      </c>
      <c r="F24" t="s">
        <v>458</v>
      </c>
      <c r="H24">
        <v>6060</v>
      </c>
      <c r="I24">
        <v>0</v>
      </c>
      <c r="J24" t="s">
        <v>1246</v>
      </c>
      <c r="K24" t="s">
        <v>243</v>
      </c>
      <c r="L24" s="161" t="s">
        <v>1499</v>
      </c>
      <c r="M24" s="161" t="s">
        <v>1499</v>
      </c>
      <c r="N24">
        <v>0</v>
      </c>
      <c r="X24" t="s">
        <v>1837</v>
      </c>
    </row>
    <row r="25" spans="1:24" hidden="1" x14ac:dyDescent="0.3">
      <c r="A25">
        <v>27</v>
      </c>
      <c r="B25" t="s">
        <v>1243</v>
      </c>
      <c r="C25" t="s">
        <v>1268</v>
      </c>
      <c r="D25" t="s">
        <v>1353</v>
      </c>
      <c r="E25" t="s">
        <v>458</v>
      </c>
      <c r="F25" t="s">
        <v>458</v>
      </c>
      <c r="H25">
        <v>6060</v>
      </c>
      <c r="I25">
        <v>0</v>
      </c>
      <c r="J25" t="s">
        <v>1246</v>
      </c>
      <c r="K25" t="s">
        <v>243</v>
      </c>
      <c r="L25" t="s">
        <v>1498</v>
      </c>
      <c r="M25" t="s">
        <v>1498</v>
      </c>
      <c r="N25">
        <v>0</v>
      </c>
      <c r="X25" t="s">
        <v>1834</v>
      </c>
    </row>
    <row r="26" spans="1:24" ht="72" x14ac:dyDescent="0.3">
      <c r="A26">
        <v>27</v>
      </c>
      <c r="B26" t="s">
        <v>1243</v>
      </c>
      <c r="C26" t="s">
        <v>1268</v>
      </c>
      <c r="D26" t="s">
        <v>1353</v>
      </c>
      <c r="E26" t="s">
        <v>458</v>
      </c>
      <c r="F26" t="s">
        <v>458</v>
      </c>
      <c r="H26">
        <v>6060</v>
      </c>
      <c r="I26">
        <v>0</v>
      </c>
      <c r="J26" t="s">
        <v>1246</v>
      </c>
      <c r="K26" t="s">
        <v>243</v>
      </c>
      <c r="L26" s="161" t="s">
        <v>1497</v>
      </c>
      <c r="M26" s="161" t="s">
        <v>1497</v>
      </c>
      <c r="N26">
        <v>0</v>
      </c>
      <c r="X26" t="s">
        <v>1837</v>
      </c>
    </row>
    <row r="27" spans="1:24" ht="100.8" x14ac:dyDescent="0.3">
      <c r="A27">
        <v>27</v>
      </c>
      <c r="B27" t="s">
        <v>1243</v>
      </c>
      <c r="C27" t="s">
        <v>1268</v>
      </c>
      <c r="D27" t="s">
        <v>1353</v>
      </c>
      <c r="E27" t="s">
        <v>458</v>
      </c>
      <c r="F27" t="s">
        <v>458</v>
      </c>
      <c r="H27">
        <v>6060</v>
      </c>
      <c r="I27">
        <v>0</v>
      </c>
      <c r="J27" t="s">
        <v>1110</v>
      </c>
      <c r="K27" t="s">
        <v>243</v>
      </c>
      <c r="L27" s="161" t="s">
        <v>1496</v>
      </c>
      <c r="M27" s="161" t="s">
        <v>1496</v>
      </c>
      <c r="N27">
        <v>0</v>
      </c>
      <c r="X27" t="s">
        <v>1837</v>
      </c>
    </row>
    <row r="28" spans="1:24" x14ac:dyDescent="0.3">
      <c r="A28">
        <v>27</v>
      </c>
      <c r="B28" t="s">
        <v>1243</v>
      </c>
      <c r="C28" t="s">
        <v>1268</v>
      </c>
      <c r="D28" t="s">
        <v>1353</v>
      </c>
      <c r="E28" t="s">
        <v>458</v>
      </c>
      <c r="F28" t="s">
        <v>458</v>
      </c>
      <c r="H28">
        <v>6060</v>
      </c>
      <c r="I28">
        <v>0</v>
      </c>
      <c r="J28" t="s">
        <v>1246</v>
      </c>
      <c r="K28" t="s">
        <v>243</v>
      </c>
      <c r="L28" t="s">
        <v>1495</v>
      </c>
      <c r="M28" t="s">
        <v>1495</v>
      </c>
      <c r="N28">
        <v>0</v>
      </c>
      <c r="X28" t="s">
        <v>1837</v>
      </c>
    </row>
    <row r="29" spans="1:24" ht="86.4" hidden="1" x14ac:dyDescent="0.3">
      <c r="A29">
        <v>27</v>
      </c>
      <c r="B29" t="s">
        <v>1243</v>
      </c>
      <c r="C29" t="s">
        <v>1268</v>
      </c>
      <c r="D29" t="s">
        <v>1353</v>
      </c>
      <c r="E29" t="s">
        <v>458</v>
      </c>
      <c r="F29" t="s">
        <v>458</v>
      </c>
      <c r="H29">
        <v>6060</v>
      </c>
      <c r="I29">
        <v>0</v>
      </c>
      <c r="J29" t="s">
        <v>1246</v>
      </c>
      <c r="K29" t="s">
        <v>243</v>
      </c>
      <c r="L29" s="161" t="s">
        <v>1494</v>
      </c>
      <c r="M29" s="161" t="s">
        <v>1494</v>
      </c>
      <c r="N29">
        <v>153</v>
      </c>
      <c r="X29" t="s">
        <v>1834</v>
      </c>
    </row>
    <row r="30" spans="1:24" hidden="1" x14ac:dyDescent="0.3">
      <c r="A30">
        <v>27</v>
      </c>
      <c r="B30" t="s">
        <v>1243</v>
      </c>
      <c r="C30" t="s">
        <v>1268</v>
      </c>
      <c r="D30" t="s">
        <v>1353</v>
      </c>
      <c r="E30" t="s">
        <v>458</v>
      </c>
      <c r="F30" t="s">
        <v>458</v>
      </c>
      <c r="H30">
        <v>6060</v>
      </c>
      <c r="I30">
        <v>0</v>
      </c>
      <c r="J30" t="s">
        <v>1246</v>
      </c>
      <c r="K30" t="s">
        <v>243</v>
      </c>
      <c r="L30" t="s">
        <v>1493</v>
      </c>
      <c r="M30" t="s">
        <v>1493</v>
      </c>
      <c r="N30">
        <v>0</v>
      </c>
      <c r="X30" t="s">
        <v>1834</v>
      </c>
    </row>
    <row r="31" spans="1:24" hidden="1" x14ac:dyDescent="0.3">
      <c r="A31">
        <v>27</v>
      </c>
      <c r="B31" t="s">
        <v>1243</v>
      </c>
      <c r="C31" t="s">
        <v>1268</v>
      </c>
      <c r="D31" t="s">
        <v>1353</v>
      </c>
      <c r="E31" t="s">
        <v>458</v>
      </c>
      <c r="F31" t="s">
        <v>458</v>
      </c>
      <c r="H31">
        <v>6060</v>
      </c>
      <c r="I31">
        <v>0</v>
      </c>
      <c r="J31" t="s">
        <v>1246</v>
      </c>
      <c r="K31" t="s">
        <v>243</v>
      </c>
      <c r="L31" t="s">
        <v>1492</v>
      </c>
      <c r="M31" t="s">
        <v>1492</v>
      </c>
      <c r="N31">
        <v>0</v>
      </c>
      <c r="X31" t="s">
        <v>1834</v>
      </c>
    </row>
    <row r="32" spans="1:24" x14ac:dyDescent="0.3">
      <c r="A32">
        <v>27</v>
      </c>
      <c r="B32" t="s">
        <v>1243</v>
      </c>
      <c r="C32" t="s">
        <v>1268</v>
      </c>
      <c r="D32" t="s">
        <v>1353</v>
      </c>
      <c r="E32" t="s">
        <v>458</v>
      </c>
      <c r="F32" t="s">
        <v>458</v>
      </c>
      <c r="H32">
        <v>6060</v>
      </c>
      <c r="I32">
        <v>0</v>
      </c>
      <c r="J32" t="s">
        <v>1246</v>
      </c>
      <c r="K32" t="s">
        <v>243</v>
      </c>
      <c r="L32" t="s">
        <v>1491</v>
      </c>
      <c r="M32" t="s">
        <v>1491</v>
      </c>
      <c r="N32">
        <v>0</v>
      </c>
      <c r="X32" t="s">
        <v>1837</v>
      </c>
    </row>
    <row r="33" spans="1:24" ht="72" x14ac:dyDescent="0.3">
      <c r="A33">
        <v>27</v>
      </c>
      <c r="B33" t="s">
        <v>1243</v>
      </c>
      <c r="C33" t="s">
        <v>1268</v>
      </c>
      <c r="D33" t="s">
        <v>1353</v>
      </c>
      <c r="E33" t="s">
        <v>458</v>
      </c>
      <c r="F33" t="s">
        <v>458</v>
      </c>
      <c r="H33">
        <v>6060</v>
      </c>
      <c r="I33">
        <v>0</v>
      </c>
      <c r="J33" t="s">
        <v>1246</v>
      </c>
      <c r="K33" t="s">
        <v>243</v>
      </c>
      <c r="L33" s="161" t="s">
        <v>1490</v>
      </c>
      <c r="M33" s="161" t="s">
        <v>1490</v>
      </c>
      <c r="N33">
        <v>0</v>
      </c>
      <c r="X33" t="s">
        <v>1837</v>
      </c>
    </row>
    <row r="34" spans="1:24" ht="28.8" x14ac:dyDescent="0.3">
      <c r="A34">
        <v>27</v>
      </c>
      <c r="B34" t="s">
        <v>1243</v>
      </c>
      <c r="C34" t="s">
        <v>1268</v>
      </c>
      <c r="D34" t="s">
        <v>1353</v>
      </c>
      <c r="E34" t="s">
        <v>458</v>
      </c>
      <c r="F34" t="s">
        <v>458</v>
      </c>
      <c r="H34">
        <v>6060</v>
      </c>
      <c r="I34">
        <v>0</v>
      </c>
      <c r="J34" t="s">
        <v>1246</v>
      </c>
      <c r="K34" t="s">
        <v>243</v>
      </c>
      <c r="L34" s="161" t="s">
        <v>1489</v>
      </c>
      <c r="M34" s="161" t="s">
        <v>1489</v>
      </c>
      <c r="N34">
        <v>2654</v>
      </c>
      <c r="X34" t="s">
        <v>1837</v>
      </c>
    </row>
    <row r="35" spans="1:24" x14ac:dyDescent="0.3">
      <c r="A35">
        <v>27</v>
      </c>
      <c r="B35" t="s">
        <v>1243</v>
      </c>
      <c r="C35" t="s">
        <v>1268</v>
      </c>
      <c r="D35" t="s">
        <v>1353</v>
      </c>
      <c r="E35" t="s">
        <v>458</v>
      </c>
      <c r="F35" t="s">
        <v>458</v>
      </c>
      <c r="H35">
        <v>6060</v>
      </c>
      <c r="I35">
        <v>0</v>
      </c>
      <c r="J35" t="s">
        <v>1246</v>
      </c>
      <c r="K35" t="s">
        <v>243</v>
      </c>
      <c r="L35" t="s">
        <v>1488</v>
      </c>
      <c r="M35" t="s">
        <v>1488</v>
      </c>
      <c r="N35">
        <v>83</v>
      </c>
      <c r="X35" t="s">
        <v>1837</v>
      </c>
    </row>
    <row r="36" spans="1:24" ht="100.8" hidden="1" x14ac:dyDescent="0.3">
      <c r="A36">
        <v>27</v>
      </c>
      <c r="B36" t="s">
        <v>1243</v>
      </c>
      <c r="C36" t="s">
        <v>1268</v>
      </c>
      <c r="D36" t="s">
        <v>1353</v>
      </c>
      <c r="E36" t="s">
        <v>458</v>
      </c>
      <c r="F36" t="s">
        <v>458</v>
      </c>
      <c r="H36">
        <v>6060</v>
      </c>
      <c r="I36">
        <v>0</v>
      </c>
      <c r="J36" t="s">
        <v>1246</v>
      </c>
      <c r="K36" t="s">
        <v>243</v>
      </c>
      <c r="L36" s="161" t="s">
        <v>1487</v>
      </c>
      <c r="M36" s="161" t="s">
        <v>1487</v>
      </c>
      <c r="N36">
        <v>194</v>
      </c>
      <c r="X36" t="s">
        <v>1834</v>
      </c>
    </row>
    <row r="37" spans="1:24" x14ac:dyDescent="0.3">
      <c r="A37">
        <v>27</v>
      </c>
      <c r="B37" t="s">
        <v>1243</v>
      </c>
      <c r="C37" t="s">
        <v>1268</v>
      </c>
      <c r="D37" t="s">
        <v>1353</v>
      </c>
      <c r="E37" t="s">
        <v>458</v>
      </c>
      <c r="F37" t="s">
        <v>458</v>
      </c>
      <c r="H37">
        <v>6060</v>
      </c>
      <c r="I37">
        <v>0</v>
      </c>
      <c r="J37" t="s">
        <v>1246</v>
      </c>
      <c r="K37" t="s">
        <v>243</v>
      </c>
      <c r="L37" t="s">
        <v>1486</v>
      </c>
      <c r="M37" t="s">
        <v>1486</v>
      </c>
      <c r="X37" t="s">
        <v>1837</v>
      </c>
    </row>
    <row r="38" spans="1:24" hidden="1" x14ac:dyDescent="0.3">
      <c r="A38">
        <v>27</v>
      </c>
      <c r="B38" t="s">
        <v>1243</v>
      </c>
      <c r="C38" t="s">
        <v>1268</v>
      </c>
      <c r="D38" t="s">
        <v>1353</v>
      </c>
      <c r="E38" t="s">
        <v>458</v>
      </c>
      <c r="F38" t="s">
        <v>458</v>
      </c>
      <c r="H38">
        <v>6060</v>
      </c>
      <c r="I38">
        <v>0</v>
      </c>
      <c r="J38" t="s">
        <v>1246</v>
      </c>
      <c r="K38" t="s">
        <v>243</v>
      </c>
      <c r="L38" t="s">
        <v>1485</v>
      </c>
      <c r="M38" t="s">
        <v>1485</v>
      </c>
      <c r="N38">
        <v>10194</v>
      </c>
      <c r="X38" t="s">
        <v>1834</v>
      </c>
    </row>
    <row r="39" spans="1:24" hidden="1" x14ac:dyDescent="0.3">
      <c r="A39">
        <v>27</v>
      </c>
      <c r="B39" t="s">
        <v>1243</v>
      </c>
      <c r="C39" t="s">
        <v>1268</v>
      </c>
      <c r="D39" t="s">
        <v>1353</v>
      </c>
      <c r="E39" t="s">
        <v>458</v>
      </c>
      <c r="F39" t="s">
        <v>458</v>
      </c>
      <c r="H39">
        <v>6060</v>
      </c>
      <c r="I39">
        <v>0</v>
      </c>
      <c r="J39" t="s">
        <v>1246</v>
      </c>
      <c r="K39" t="s">
        <v>243</v>
      </c>
      <c r="L39" t="s">
        <v>1484</v>
      </c>
      <c r="M39" t="s">
        <v>1484</v>
      </c>
      <c r="N39">
        <v>1750</v>
      </c>
      <c r="X39" t="s">
        <v>1834</v>
      </c>
    </row>
    <row r="40" spans="1:24" ht="115.2" hidden="1" x14ac:dyDescent="0.3">
      <c r="A40">
        <v>27</v>
      </c>
      <c r="B40" t="s">
        <v>1243</v>
      </c>
      <c r="C40" t="s">
        <v>1268</v>
      </c>
      <c r="D40" t="s">
        <v>1353</v>
      </c>
      <c r="E40" t="s">
        <v>458</v>
      </c>
      <c r="F40" t="s">
        <v>458</v>
      </c>
      <c r="H40">
        <v>6060</v>
      </c>
      <c r="I40">
        <v>0</v>
      </c>
      <c r="J40" t="s">
        <v>1246</v>
      </c>
      <c r="K40" t="s">
        <v>243</v>
      </c>
      <c r="L40" s="161" t="s">
        <v>1483</v>
      </c>
      <c r="M40" s="161" t="s">
        <v>1483</v>
      </c>
      <c r="N40">
        <v>0</v>
      </c>
      <c r="X40" t="s">
        <v>1834</v>
      </c>
    </row>
    <row r="41" spans="1:24" hidden="1" x14ac:dyDescent="0.3">
      <c r="A41">
        <v>27</v>
      </c>
      <c r="B41" t="s">
        <v>1243</v>
      </c>
      <c r="C41" t="s">
        <v>1268</v>
      </c>
      <c r="D41" t="s">
        <v>1353</v>
      </c>
      <c r="E41" t="s">
        <v>458</v>
      </c>
      <c r="F41" t="s">
        <v>458</v>
      </c>
      <c r="H41">
        <v>6060</v>
      </c>
      <c r="I41">
        <v>0</v>
      </c>
      <c r="J41" t="s">
        <v>1246</v>
      </c>
      <c r="K41" t="s">
        <v>243</v>
      </c>
      <c r="L41" t="s">
        <v>1482</v>
      </c>
      <c r="M41" t="s">
        <v>1482</v>
      </c>
      <c r="N41">
        <v>0</v>
      </c>
      <c r="X41" t="s">
        <v>1835</v>
      </c>
    </row>
    <row r="42" spans="1:24" x14ac:dyDescent="0.3">
      <c r="A42">
        <v>27</v>
      </c>
      <c r="B42" t="s">
        <v>1243</v>
      </c>
      <c r="C42" t="s">
        <v>1268</v>
      </c>
      <c r="D42" t="s">
        <v>1353</v>
      </c>
      <c r="E42" t="s">
        <v>458</v>
      </c>
      <c r="F42" t="s">
        <v>458</v>
      </c>
      <c r="H42">
        <v>6060</v>
      </c>
      <c r="I42">
        <v>0</v>
      </c>
      <c r="J42" t="s">
        <v>1246</v>
      </c>
      <c r="K42" t="s">
        <v>243</v>
      </c>
      <c r="L42" t="s">
        <v>1481</v>
      </c>
      <c r="M42" t="s">
        <v>1481</v>
      </c>
      <c r="N42">
        <v>0</v>
      </c>
      <c r="X42" t="s">
        <v>1837</v>
      </c>
    </row>
    <row r="43" spans="1:24" x14ac:dyDescent="0.3">
      <c r="A43">
        <v>27</v>
      </c>
      <c r="B43" t="s">
        <v>1243</v>
      </c>
      <c r="C43" t="s">
        <v>1268</v>
      </c>
      <c r="D43" t="s">
        <v>1269</v>
      </c>
      <c r="E43" t="s">
        <v>458</v>
      </c>
      <c r="F43" t="s">
        <v>458</v>
      </c>
      <c r="H43">
        <v>6060</v>
      </c>
      <c r="I43">
        <v>0</v>
      </c>
      <c r="J43" t="s">
        <v>1246</v>
      </c>
      <c r="K43" t="s">
        <v>243</v>
      </c>
      <c r="L43" t="s">
        <v>1480</v>
      </c>
      <c r="M43" t="s">
        <v>1480</v>
      </c>
      <c r="N43">
        <v>7583</v>
      </c>
      <c r="X43" t="s">
        <v>1837</v>
      </c>
    </row>
    <row r="44" spans="1:24" hidden="1" x14ac:dyDescent="0.3">
      <c r="A44">
        <v>27</v>
      </c>
      <c r="B44" t="s">
        <v>1243</v>
      </c>
      <c r="C44" t="s">
        <v>1268</v>
      </c>
      <c r="D44" t="s">
        <v>1353</v>
      </c>
      <c r="E44" t="s">
        <v>458</v>
      </c>
      <c r="F44" t="s">
        <v>458</v>
      </c>
      <c r="H44">
        <v>6060</v>
      </c>
      <c r="I44">
        <v>0</v>
      </c>
      <c r="J44" t="s">
        <v>1246</v>
      </c>
      <c r="K44" t="s">
        <v>243</v>
      </c>
      <c r="L44" t="s">
        <v>1479</v>
      </c>
      <c r="M44" t="s">
        <v>1479</v>
      </c>
      <c r="N44">
        <v>0</v>
      </c>
      <c r="X44" t="s">
        <v>1834</v>
      </c>
    </row>
    <row r="45" spans="1:24" hidden="1" x14ac:dyDescent="0.3">
      <c r="A45">
        <v>27</v>
      </c>
      <c r="B45" t="s">
        <v>1243</v>
      </c>
      <c r="C45" t="s">
        <v>1268</v>
      </c>
      <c r="D45" t="s">
        <v>1353</v>
      </c>
      <c r="E45" t="s">
        <v>458</v>
      </c>
      <c r="F45" t="s">
        <v>458</v>
      </c>
      <c r="H45">
        <v>6060</v>
      </c>
      <c r="I45">
        <v>0</v>
      </c>
      <c r="J45" t="s">
        <v>1246</v>
      </c>
      <c r="K45" t="s">
        <v>243</v>
      </c>
      <c r="L45" t="s">
        <v>1478</v>
      </c>
      <c r="M45" t="s">
        <v>1478</v>
      </c>
      <c r="N45">
        <v>33944</v>
      </c>
      <c r="X45" t="s">
        <v>1834</v>
      </c>
    </row>
    <row r="46" spans="1:24" x14ac:dyDescent="0.3">
      <c r="A46">
        <v>27</v>
      </c>
      <c r="B46" t="s">
        <v>1243</v>
      </c>
      <c r="C46" t="s">
        <v>1268</v>
      </c>
      <c r="D46" t="s">
        <v>1269</v>
      </c>
      <c r="E46" t="s">
        <v>458</v>
      </c>
      <c r="F46" t="s">
        <v>458</v>
      </c>
      <c r="H46">
        <v>6060</v>
      </c>
      <c r="I46">
        <v>0</v>
      </c>
      <c r="J46" t="s">
        <v>1246</v>
      </c>
      <c r="K46" t="s">
        <v>243</v>
      </c>
      <c r="L46" t="s">
        <v>1477</v>
      </c>
      <c r="M46" t="s">
        <v>1477</v>
      </c>
      <c r="N46">
        <v>16000</v>
      </c>
      <c r="X46" t="s">
        <v>1837</v>
      </c>
    </row>
    <row r="47" spans="1:24" hidden="1" x14ac:dyDescent="0.3">
      <c r="A47">
        <v>27</v>
      </c>
      <c r="B47" t="s">
        <v>1243</v>
      </c>
      <c r="C47" t="s">
        <v>1268</v>
      </c>
      <c r="D47" t="s">
        <v>1353</v>
      </c>
      <c r="E47" t="s">
        <v>458</v>
      </c>
      <c r="F47" t="s">
        <v>458</v>
      </c>
      <c r="H47">
        <v>6060</v>
      </c>
      <c r="I47">
        <v>0</v>
      </c>
      <c r="J47" t="s">
        <v>1110</v>
      </c>
      <c r="K47" t="s">
        <v>243</v>
      </c>
      <c r="L47" t="s">
        <v>1476</v>
      </c>
      <c r="M47" t="s">
        <v>1476</v>
      </c>
      <c r="N47">
        <v>0</v>
      </c>
      <c r="X47" t="s">
        <v>1835</v>
      </c>
    </row>
    <row r="48" spans="1:24" hidden="1" x14ac:dyDescent="0.3">
      <c r="A48">
        <v>27</v>
      </c>
      <c r="B48" t="s">
        <v>23</v>
      </c>
      <c r="C48" t="s">
        <v>26</v>
      </c>
      <c r="D48" t="s">
        <v>246</v>
      </c>
      <c r="E48" t="s">
        <v>26</v>
      </c>
      <c r="F48" t="s">
        <v>26</v>
      </c>
      <c r="G48" t="s">
        <v>26</v>
      </c>
      <c r="H48">
        <v>6060</v>
      </c>
      <c r="I48">
        <v>0</v>
      </c>
      <c r="J48" t="s">
        <v>28</v>
      </c>
      <c r="K48" t="s">
        <v>243</v>
      </c>
      <c r="L48" t="s">
        <v>246</v>
      </c>
      <c r="M48" t="s">
        <v>247</v>
      </c>
      <c r="N48">
        <v>10000</v>
      </c>
      <c r="O48">
        <v>0</v>
      </c>
      <c r="P48">
        <v>0</v>
      </c>
      <c r="Q48">
        <v>0</v>
      </c>
      <c r="R48">
        <v>0</v>
      </c>
      <c r="S48" t="s">
        <v>50</v>
      </c>
      <c r="T48" t="s">
        <v>245</v>
      </c>
      <c r="V48" t="s">
        <v>26</v>
      </c>
      <c r="X48" t="s">
        <v>1836</v>
      </c>
    </row>
    <row r="49" spans="1:24" x14ac:dyDescent="0.3">
      <c r="A49">
        <v>27</v>
      </c>
      <c r="B49" t="s">
        <v>23</v>
      </c>
      <c r="C49" t="s">
        <v>26</v>
      </c>
      <c r="D49" t="s">
        <v>248</v>
      </c>
      <c r="E49" t="s">
        <v>26</v>
      </c>
      <c r="G49" t="s">
        <v>26</v>
      </c>
      <c r="H49">
        <v>6060</v>
      </c>
      <c r="I49">
        <v>0</v>
      </c>
      <c r="J49" t="s">
        <v>28</v>
      </c>
      <c r="L49" t="s">
        <v>248</v>
      </c>
      <c r="M49" t="s">
        <v>249</v>
      </c>
      <c r="N49">
        <v>0</v>
      </c>
      <c r="O49">
        <v>0</v>
      </c>
      <c r="P49">
        <v>0</v>
      </c>
      <c r="Q49">
        <v>0</v>
      </c>
      <c r="R49">
        <v>0</v>
      </c>
      <c r="S49" t="s">
        <v>50</v>
      </c>
      <c r="T49" t="s">
        <v>245</v>
      </c>
      <c r="V49" t="s">
        <v>26</v>
      </c>
      <c r="X49" t="s">
        <v>1837</v>
      </c>
    </row>
    <row r="50" spans="1:24" hidden="1" x14ac:dyDescent="0.3">
      <c r="A50">
        <v>27</v>
      </c>
      <c r="B50" t="s">
        <v>1243</v>
      </c>
      <c r="C50" t="s">
        <v>1268</v>
      </c>
      <c r="D50" t="s">
        <v>1353</v>
      </c>
      <c r="E50" t="s">
        <v>458</v>
      </c>
      <c r="F50" t="s">
        <v>458</v>
      </c>
      <c r="H50">
        <v>6060</v>
      </c>
      <c r="I50">
        <v>0</v>
      </c>
      <c r="J50" t="s">
        <v>1110</v>
      </c>
      <c r="K50" t="s">
        <v>243</v>
      </c>
      <c r="L50" t="s">
        <v>1475</v>
      </c>
      <c r="M50" t="s">
        <v>1475</v>
      </c>
      <c r="N50">
        <v>0</v>
      </c>
      <c r="X50" t="s">
        <v>1836</v>
      </c>
    </row>
    <row r="51" spans="1:24" hidden="1" x14ac:dyDescent="0.3">
      <c r="A51">
        <v>27</v>
      </c>
      <c r="B51" t="s">
        <v>1243</v>
      </c>
      <c r="C51" t="s">
        <v>1268</v>
      </c>
      <c r="D51" t="s">
        <v>1353</v>
      </c>
      <c r="E51" t="s">
        <v>458</v>
      </c>
      <c r="F51" t="s">
        <v>458</v>
      </c>
      <c r="H51">
        <v>6060</v>
      </c>
      <c r="I51">
        <v>0</v>
      </c>
      <c r="J51" t="s">
        <v>1110</v>
      </c>
      <c r="K51" t="s">
        <v>243</v>
      </c>
      <c r="L51" t="s">
        <v>1474</v>
      </c>
      <c r="M51" t="s">
        <v>1474</v>
      </c>
      <c r="N51">
        <v>0</v>
      </c>
      <c r="X51" t="s">
        <v>1834</v>
      </c>
    </row>
    <row r="52" spans="1:24" hidden="1" x14ac:dyDescent="0.3">
      <c r="A52">
        <v>27</v>
      </c>
      <c r="B52" t="s">
        <v>1243</v>
      </c>
      <c r="C52" t="s">
        <v>1268</v>
      </c>
      <c r="D52" t="s">
        <v>1353</v>
      </c>
      <c r="E52" t="s">
        <v>458</v>
      </c>
      <c r="F52" t="s">
        <v>458</v>
      </c>
      <c r="H52">
        <v>6060</v>
      </c>
      <c r="I52">
        <v>0</v>
      </c>
      <c r="J52" t="s">
        <v>1110</v>
      </c>
      <c r="K52" t="s">
        <v>243</v>
      </c>
      <c r="L52" t="s">
        <v>1473</v>
      </c>
      <c r="M52" t="s">
        <v>1473</v>
      </c>
      <c r="N52">
        <v>2500</v>
      </c>
      <c r="X52" t="s">
        <v>1834</v>
      </c>
    </row>
    <row r="53" spans="1:24" hidden="1" x14ac:dyDescent="0.3">
      <c r="A53">
        <v>27</v>
      </c>
      <c r="B53" t="s">
        <v>1243</v>
      </c>
      <c r="C53" t="s">
        <v>1268</v>
      </c>
      <c r="D53" t="s">
        <v>1353</v>
      </c>
      <c r="E53" t="s">
        <v>458</v>
      </c>
      <c r="F53" t="s">
        <v>458</v>
      </c>
      <c r="H53">
        <v>6060</v>
      </c>
      <c r="I53">
        <v>0</v>
      </c>
      <c r="J53" t="s">
        <v>1110</v>
      </c>
      <c r="K53" t="s">
        <v>243</v>
      </c>
      <c r="L53" t="s">
        <v>1472</v>
      </c>
      <c r="M53" t="s">
        <v>1472</v>
      </c>
      <c r="N53">
        <v>5000</v>
      </c>
      <c r="X53" t="s">
        <v>1835</v>
      </c>
    </row>
    <row r="54" spans="1:24" hidden="1" x14ac:dyDescent="0.3">
      <c r="A54">
        <v>27</v>
      </c>
      <c r="B54" t="s">
        <v>1243</v>
      </c>
      <c r="C54" t="s">
        <v>1268</v>
      </c>
      <c r="D54" t="s">
        <v>1353</v>
      </c>
      <c r="E54" t="s">
        <v>458</v>
      </c>
      <c r="F54" t="s">
        <v>458</v>
      </c>
      <c r="H54">
        <v>6060</v>
      </c>
      <c r="I54">
        <v>0</v>
      </c>
      <c r="J54" t="s">
        <v>1110</v>
      </c>
      <c r="K54" t="s">
        <v>243</v>
      </c>
      <c r="L54" t="s">
        <v>1471</v>
      </c>
      <c r="M54" t="s">
        <v>1471</v>
      </c>
      <c r="N54">
        <v>10213</v>
      </c>
      <c r="X54" t="s">
        <v>1836</v>
      </c>
    </row>
    <row r="55" spans="1:24" hidden="1" x14ac:dyDescent="0.3">
      <c r="A55">
        <v>27</v>
      </c>
      <c r="B55" t="s">
        <v>1243</v>
      </c>
      <c r="C55" t="s">
        <v>1268</v>
      </c>
      <c r="D55" t="s">
        <v>1353</v>
      </c>
      <c r="E55" t="s">
        <v>458</v>
      </c>
      <c r="F55" t="s">
        <v>458</v>
      </c>
      <c r="H55">
        <v>6060</v>
      </c>
      <c r="I55">
        <v>0</v>
      </c>
      <c r="J55" t="s">
        <v>1110</v>
      </c>
      <c r="K55" t="s">
        <v>243</v>
      </c>
      <c r="L55" t="s">
        <v>1470</v>
      </c>
      <c r="M55" t="s">
        <v>1470</v>
      </c>
      <c r="N55">
        <v>12400</v>
      </c>
      <c r="X55" t="s">
        <v>1835</v>
      </c>
    </row>
    <row r="56" spans="1:24" hidden="1" x14ac:dyDescent="0.3">
      <c r="A56">
        <v>27</v>
      </c>
      <c r="B56" t="s">
        <v>1243</v>
      </c>
      <c r="C56" t="s">
        <v>1268</v>
      </c>
      <c r="D56" t="s">
        <v>1353</v>
      </c>
      <c r="E56" t="s">
        <v>458</v>
      </c>
      <c r="F56" t="s">
        <v>458</v>
      </c>
      <c r="H56">
        <v>6060</v>
      </c>
      <c r="I56">
        <v>0</v>
      </c>
      <c r="J56" t="s">
        <v>1110</v>
      </c>
      <c r="K56" t="s">
        <v>243</v>
      </c>
      <c r="L56" t="s">
        <v>1469</v>
      </c>
      <c r="M56" t="s">
        <v>1469</v>
      </c>
      <c r="N56">
        <v>15000</v>
      </c>
      <c r="X56" t="s">
        <v>1834</v>
      </c>
    </row>
    <row r="57" spans="1:24" x14ac:dyDescent="0.3">
      <c r="A57">
        <v>27</v>
      </c>
      <c r="B57" t="s">
        <v>1243</v>
      </c>
      <c r="C57" t="s">
        <v>1268</v>
      </c>
      <c r="D57" t="s">
        <v>1269</v>
      </c>
      <c r="E57" t="s">
        <v>458</v>
      </c>
      <c r="F57" t="s">
        <v>458</v>
      </c>
      <c r="H57">
        <v>6060</v>
      </c>
      <c r="I57">
        <v>0</v>
      </c>
      <c r="J57" t="s">
        <v>1246</v>
      </c>
      <c r="K57" t="s">
        <v>243</v>
      </c>
      <c r="L57" t="s">
        <v>1468</v>
      </c>
      <c r="M57" t="s">
        <v>1468</v>
      </c>
      <c r="N57">
        <v>14250</v>
      </c>
      <c r="X57" t="s">
        <v>1837</v>
      </c>
    </row>
    <row r="58" spans="1:24" x14ac:dyDescent="0.3">
      <c r="A58">
        <v>27</v>
      </c>
      <c r="B58" t="s">
        <v>1243</v>
      </c>
      <c r="C58" t="s">
        <v>1268</v>
      </c>
      <c r="D58" t="s">
        <v>1269</v>
      </c>
      <c r="E58" t="s">
        <v>458</v>
      </c>
      <c r="F58" t="s">
        <v>458</v>
      </c>
      <c r="H58">
        <v>6060</v>
      </c>
      <c r="I58">
        <v>0</v>
      </c>
      <c r="J58" t="s">
        <v>1246</v>
      </c>
      <c r="K58" t="s">
        <v>243</v>
      </c>
      <c r="L58" t="s">
        <v>1467</v>
      </c>
      <c r="M58" t="s">
        <v>1467</v>
      </c>
      <c r="N58">
        <v>8000</v>
      </c>
      <c r="X58" t="s">
        <v>1837</v>
      </c>
    </row>
    <row r="59" spans="1:24" x14ac:dyDescent="0.3">
      <c r="A59">
        <v>27</v>
      </c>
      <c r="B59" t="s">
        <v>1243</v>
      </c>
      <c r="C59" t="s">
        <v>1268</v>
      </c>
      <c r="D59" t="s">
        <v>1269</v>
      </c>
      <c r="E59" t="s">
        <v>458</v>
      </c>
      <c r="F59" t="s">
        <v>458</v>
      </c>
      <c r="H59">
        <v>6060</v>
      </c>
      <c r="I59">
        <v>0</v>
      </c>
      <c r="J59" t="s">
        <v>1110</v>
      </c>
      <c r="K59" t="s">
        <v>243</v>
      </c>
      <c r="L59" t="s">
        <v>1466</v>
      </c>
      <c r="M59" t="s">
        <v>1466</v>
      </c>
      <c r="N59">
        <v>7084</v>
      </c>
      <c r="X59" t="s">
        <v>1837</v>
      </c>
    </row>
    <row r="60" spans="1:24" x14ac:dyDescent="0.3">
      <c r="A60">
        <v>27</v>
      </c>
      <c r="B60" t="s">
        <v>1243</v>
      </c>
      <c r="C60" t="s">
        <v>1268</v>
      </c>
      <c r="D60" t="s">
        <v>1269</v>
      </c>
      <c r="E60" t="s">
        <v>458</v>
      </c>
      <c r="F60" t="s">
        <v>458</v>
      </c>
      <c r="H60">
        <v>6060</v>
      </c>
      <c r="I60">
        <v>0</v>
      </c>
      <c r="J60" t="s">
        <v>1110</v>
      </c>
      <c r="K60" t="s">
        <v>243</v>
      </c>
      <c r="L60" t="s">
        <v>1465</v>
      </c>
      <c r="M60" t="s">
        <v>1465</v>
      </c>
      <c r="N60">
        <v>1693</v>
      </c>
      <c r="X60" t="s">
        <v>1837</v>
      </c>
    </row>
    <row r="61" spans="1:24" x14ac:dyDescent="0.3">
      <c r="A61">
        <v>27</v>
      </c>
      <c r="B61" t="s">
        <v>1243</v>
      </c>
      <c r="C61" t="s">
        <v>1268</v>
      </c>
      <c r="D61" t="s">
        <v>1269</v>
      </c>
      <c r="E61" t="s">
        <v>458</v>
      </c>
      <c r="F61" t="s">
        <v>458</v>
      </c>
      <c r="H61">
        <v>6060</v>
      </c>
      <c r="I61">
        <v>0</v>
      </c>
      <c r="J61" t="s">
        <v>1110</v>
      </c>
      <c r="K61" t="s">
        <v>243</v>
      </c>
      <c r="L61" t="s">
        <v>1464</v>
      </c>
      <c r="M61" t="s">
        <v>1464</v>
      </c>
      <c r="N61">
        <v>18245</v>
      </c>
      <c r="X61" t="s">
        <v>1837</v>
      </c>
    </row>
    <row r="62" spans="1:24" x14ac:dyDescent="0.3">
      <c r="A62">
        <v>27</v>
      </c>
      <c r="B62" t="s">
        <v>1243</v>
      </c>
      <c r="C62" t="s">
        <v>1268</v>
      </c>
      <c r="D62" t="s">
        <v>1269</v>
      </c>
      <c r="E62" t="s">
        <v>458</v>
      </c>
      <c r="F62" t="s">
        <v>458</v>
      </c>
      <c r="H62">
        <v>6060</v>
      </c>
      <c r="I62">
        <v>0</v>
      </c>
      <c r="J62" t="s">
        <v>1246</v>
      </c>
      <c r="K62" t="s">
        <v>243</v>
      </c>
      <c r="L62" t="s">
        <v>1463</v>
      </c>
      <c r="M62" t="s">
        <v>1463</v>
      </c>
      <c r="N62">
        <v>22632</v>
      </c>
      <c r="X62" t="s">
        <v>1837</v>
      </c>
    </row>
    <row r="63" spans="1:24" hidden="1" x14ac:dyDescent="0.3">
      <c r="A63">
        <v>27</v>
      </c>
      <c r="B63" t="s">
        <v>1243</v>
      </c>
      <c r="C63" t="s">
        <v>1268</v>
      </c>
      <c r="D63" t="s">
        <v>1353</v>
      </c>
      <c r="E63" t="s">
        <v>458</v>
      </c>
      <c r="F63" t="s">
        <v>458</v>
      </c>
      <c r="H63">
        <v>6060</v>
      </c>
      <c r="I63">
        <v>0</v>
      </c>
      <c r="J63" t="s">
        <v>1110</v>
      </c>
      <c r="K63" t="s">
        <v>243</v>
      </c>
      <c r="L63" t="s">
        <v>1462</v>
      </c>
      <c r="M63" t="s">
        <v>1462</v>
      </c>
      <c r="N63">
        <v>9829</v>
      </c>
      <c r="X63" t="s">
        <v>1834</v>
      </c>
    </row>
    <row r="64" spans="1:24" x14ac:dyDescent="0.3">
      <c r="A64">
        <v>27</v>
      </c>
      <c r="B64" t="s">
        <v>1243</v>
      </c>
      <c r="C64" t="s">
        <v>1268</v>
      </c>
      <c r="D64" t="s">
        <v>1269</v>
      </c>
      <c r="E64" t="s">
        <v>458</v>
      </c>
      <c r="F64" t="s">
        <v>458</v>
      </c>
      <c r="H64">
        <v>6060</v>
      </c>
      <c r="I64">
        <v>0</v>
      </c>
      <c r="J64" t="s">
        <v>1110</v>
      </c>
      <c r="K64" t="s">
        <v>243</v>
      </c>
      <c r="L64" t="s">
        <v>1461</v>
      </c>
      <c r="M64" t="s">
        <v>1461</v>
      </c>
      <c r="N64">
        <v>15000</v>
      </c>
      <c r="X64" t="s">
        <v>1837</v>
      </c>
    </row>
    <row r="65" spans="1:24" x14ac:dyDescent="0.3">
      <c r="A65">
        <v>27</v>
      </c>
      <c r="B65" t="s">
        <v>1243</v>
      </c>
      <c r="C65" t="s">
        <v>1268</v>
      </c>
      <c r="D65" t="s">
        <v>1269</v>
      </c>
      <c r="E65" t="s">
        <v>458</v>
      </c>
      <c r="F65" t="s">
        <v>458</v>
      </c>
      <c r="H65">
        <v>6060</v>
      </c>
      <c r="I65">
        <v>0</v>
      </c>
      <c r="J65" t="s">
        <v>1110</v>
      </c>
      <c r="K65" t="s">
        <v>243</v>
      </c>
      <c r="L65" t="s">
        <v>1460</v>
      </c>
      <c r="M65" t="s">
        <v>1460</v>
      </c>
      <c r="N65">
        <v>600</v>
      </c>
      <c r="X65" t="s">
        <v>1837</v>
      </c>
    </row>
    <row r="66" spans="1:24" x14ac:dyDescent="0.3">
      <c r="A66">
        <v>27</v>
      </c>
      <c r="B66" t="s">
        <v>1243</v>
      </c>
      <c r="C66" t="s">
        <v>1268</v>
      </c>
      <c r="D66" t="s">
        <v>1269</v>
      </c>
      <c r="E66" t="s">
        <v>458</v>
      </c>
      <c r="F66" t="s">
        <v>458</v>
      </c>
      <c r="H66">
        <v>6060</v>
      </c>
      <c r="I66">
        <v>0</v>
      </c>
      <c r="J66" t="s">
        <v>1110</v>
      </c>
      <c r="K66" t="s">
        <v>243</v>
      </c>
      <c r="L66" t="s">
        <v>1459</v>
      </c>
      <c r="M66" t="s">
        <v>1459</v>
      </c>
      <c r="X66" t="s">
        <v>1837</v>
      </c>
    </row>
    <row r="67" spans="1:24" x14ac:dyDescent="0.3">
      <c r="A67">
        <v>27</v>
      </c>
      <c r="B67" t="s">
        <v>1243</v>
      </c>
      <c r="C67" t="s">
        <v>1268</v>
      </c>
      <c r="D67" t="s">
        <v>1269</v>
      </c>
      <c r="E67" t="s">
        <v>458</v>
      </c>
      <c r="F67" t="s">
        <v>458</v>
      </c>
      <c r="H67">
        <v>6060</v>
      </c>
      <c r="I67">
        <v>0</v>
      </c>
      <c r="J67" t="s">
        <v>1110</v>
      </c>
      <c r="K67" t="s">
        <v>243</v>
      </c>
      <c r="L67" t="s">
        <v>1458</v>
      </c>
      <c r="M67" t="s">
        <v>1458</v>
      </c>
      <c r="X67" t="s">
        <v>1837</v>
      </c>
    </row>
    <row r="68" spans="1:24" x14ac:dyDescent="0.3">
      <c r="A68">
        <v>27</v>
      </c>
      <c r="B68" t="s">
        <v>1243</v>
      </c>
      <c r="C68" t="s">
        <v>1268</v>
      </c>
      <c r="D68" t="s">
        <v>1269</v>
      </c>
      <c r="E68" t="s">
        <v>458</v>
      </c>
      <c r="F68" t="s">
        <v>458</v>
      </c>
      <c r="H68">
        <v>6060</v>
      </c>
      <c r="I68">
        <v>0</v>
      </c>
      <c r="J68" t="s">
        <v>1110</v>
      </c>
      <c r="K68" t="s">
        <v>243</v>
      </c>
      <c r="L68" t="s">
        <v>1457</v>
      </c>
      <c r="M68" t="s">
        <v>1457</v>
      </c>
      <c r="N68">
        <v>0</v>
      </c>
      <c r="X68" t="s">
        <v>1837</v>
      </c>
    </row>
    <row r="69" spans="1:24" x14ac:dyDescent="0.3">
      <c r="A69">
        <v>27</v>
      </c>
      <c r="B69" t="s">
        <v>1243</v>
      </c>
      <c r="C69" t="s">
        <v>1268</v>
      </c>
      <c r="D69" t="s">
        <v>1269</v>
      </c>
      <c r="E69" t="s">
        <v>458</v>
      </c>
      <c r="F69" t="s">
        <v>458</v>
      </c>
      <c r="H69">
        <v>6060</v>
      </c>
      <c r="I69">
        <v>0</v>
      </c>
      <c r="J69" t="s">
        <v>1110</v>
      </c>
      <c r="K69" t="s">
        <v>243</v>
      </c>
      <c r="L69" t="s">
        <v>1456</v>
      </c>
      <c r="M69" t="s">
        <v>1456</v>
      </c>
      <c r="N69">
        <v>6000</v>
      </c>
      <c r="X69" t="s">
        <v>1837</v>
      </c>
    </row>
    <row r="70" spans="1:24" x14ac:dyDescent="0.3">
      <c r="A70">
        <v>27</v>
      </c>
      <c r="B70" t="s">
        <v>1243</v>
      </c>
      <c r="C70" t="s">
        <v>1268</v>
      </c>
      <c r="D70" t="s">
        <v>1269</v>
      </c>
      <c r="E70" t="s">
        <v>458</v>
      </c>
      <c r="F70" t="s">
        <v>458</v>
      </c>
      <c r="H70">
        <v>6060</v>
      </c>
      <c r="I70">
        <v>0</v>
      </c>
      <c r="J70" t="s">
        <v>1110</v>
      </c>
      <c r="K70" t="s">
        <v>243</v>
      </c>
      <c r="L70" t="s">
        <v>1455</v>
      </c>
      <c r="M70" t="s">
        <v>1455</v>
      </c>
      <c r="N70">
        <v>2460</v>
      </c>
      <c r="X70" t="s">
        <v>1837</v>
      </c>
    </row>
    <row r="71" spans="1:24" x14ac:dyDescent="0.3">
      <c r="A71">
        <v>27</v>
      </c>
      <c r="B71" t="s">
        <v>1243</v>
      </c>
      <c r="C71" t="s">
        <v>1268</v>
      </c>
      <c r="D71" t="s">
        <v>1269</v>
      </c>
      <c r="E71" t="s">
        <v>458</v>
      </c>
      <c r="F71" t="s">
        <v>458</v>
      </c>
      <c r="H71">
        <v>6060</v>
      </c>
      <c r="I71">
        <v>0</v>
      </c>
      <c r="J71" t="s">
        <v>1110</v>
      </c>
      <c r="K71" t="s">
        <v>243</v>
      </c>
      <c r="L71" t="s">
        <v>1454</v>
      </c>
      <c r="M71" t="s">
        <v>1454</v>
      </c>
      <c r="N71">
        <v>7774</v>
      </c>
      <c r="X71" t="s">
        <v>1837</v>
      </c>
    </row>
    <row r="72" spans="1:24" hidden="1" x14ac:dyDescent="0.3">
      <c r="A72">
        <v>27</v>
      </c>
      <c r="B72" t="s">
        <v>729</v>
      </c>
      <c r="C72" t="s">
        <v>26</v>
      </c>
      <c r="D72" t="s">
        <v>26</v>
      </c>
      <c r="E72" t="s">
        <v>26</v>
      </c>
      <c r="F72" t="s">
        <v>26</v>
      </c>
      <c r="G72" t="s">
        <v>26</v>
      </c>
      <c r="H72">
        <v>6060</v>
      </c>
      <c r="I72">
        <v>0</v>
      </c>
      <c r="J72" t="s">
        <v>28</v>
      </c>
      <c r="K72" t="s">
        <v>243</v>
      </c>
      <c r="L72" t="s">
        <v>912</v>
      </c>
      <c r="M72" t="s">
        <v>913</v>
      </c>
      <c r="N72">
        <v>70</v>
      </c>
      <c r="O72">
        <v>0</v>
      </c>
      <c r="P72">
        <v>0</v>
      </c>
      <c r="Q72">
        <v>0</v>
      </c>
      <c r="R72">
        <v>0</v>
      </c>
      <c r="S72" t="s">
        <v>50</v>
      </c>
      <c r="T72" t="s">
        <v>26</v>
      </c>
      <c r="U72" t="s">
        <v>26</v>
      </c>
      <c r="V72" t="s">
        <v>26</v>
      </c>
      <c r="X72" t="s">
        <v>1834</v>
      </c>
    </row>
    <row r="73" spans="1:24" hidden="1" x14ac:dyDescent="0.3">
      <c r="A73">
        <v>27</v>
      </c>
      <c r="B73" t="s">
        <v>619</v>
      </c>
      <c r="C73" t="s">
        <v>620</v>
      </c>
      <c r="D73" t="s">
        <v>706</v>
      </c>
      <c r="E73" t="s">
        <v>698</v>
      </c>
      <c r="F73" t="s">
        <v>458</v>
      </c>
      <c r="G73">
        <v>2025</v>
      </c>
      <c r="H73">
        <v>6060</v>
      </c>
      <c r="I73">
        <v>0</v>
      </c>
      <c r="J73" t="s">
        <v>561</v>
      </c>
      <c r="K73" t="s">
        <v>10</v>
      </c>
      <c r="L73" t="s">
        <v>707</v>
      </c>
      <c r="M73" t="s">
        <v>708</v>
      </c>
      <c r="N73">
        <v>500</v>
      </c>
      <c r="O73">
        <v>0</v>
      </c>
      <c r="P73">
        <v>0</v>
      </c>
      <c r="Q73">
        <v>0</v>
      </c>
      <c r="R73">
        <v>0</v>
      </c>
      <c r="S73" t="s">
        <v>50</v>
      </c>
      <c r="W73" t="s">
        <v>709</v>
      </c>
      <c r="X73" t="s">
        <v>1835</v>
      </c>
    </row>
    <row r="76" spans="1:24" x14ac:dyDescent="0.3">
      <c r="B76" s="157" t="s">
        <v>1820</v>
      </c>
      <c r="C76" t="s">
        <v>1821</v>
      </c>
      <c r="D76" t="s">
        <v>1822</v>
      </c>
      <c r="E76" t="s">
        <v>1823</v>
      </c>
      <c r="F76" t="s">
        <v>1824</v>
      </c>
      <c r="G76" t="s">
        <v>1831</v>
      </c>
    </row>
    <row r="77" spans="1:24" x14ac:dyDescent="0.3">
      <c r="B77" s="158" t="s">
        <v>1837</v>
      </c>
      <c r="C77">
        <v>160093</v>
      </c>
      <c r="D77">
        <v>0</v>
      </c>
      <c r="E77">
        <v>0</v>
      </c>
      <c r="F77">
        <v>0</v>
      </c>
      <c r="G77">
        <v>0</v>
      </c>
    </row>
    <row r="78" spans="1:24" x14ac:dyDescent="0.3">
      <c r="B78" s="158" t="s">
        <v>1835</v>
      </c>
      <c r="C78">
        <v>17900</v>
      </c>
      <c r="D78">
        <v>0</v>
      </c>
      <c r="E78">
        <v>0</v>
      </c>
      <c r="F78">
        <v>0</v>
      </c>
      <c r="G78">
        <v>0</v>
      </c>
    </row>
    <row r="79" spans="1:24" x14ac:dyDescent="0.3">
      <c r="B79" s="158" t="s">
        <v>1834</v>
      </c>
      <c r="C79">
        <v>115985</v>
      </c>
      <c r="D79">
        <v>10000</v>
      </c>
      <c r="E79">
        <v>10434</v>
      </c>
      <c r="F79">
        <v>0</v>
      </c>
      <c r="G79">
        <v>0</v>
      </c>
    </row>
    <row r="80" spans="1:24" x14ac:dyDescent="0.3">
      <c r="B80" s="158" t="s">
        <v>1836</v>
      </c>
      <c r="C80">
        <v>20213</v>
      </c>
      <c r="D80">
        <v>0</v>
      </c>
      <c r="E80">
        <v>0</v>
      </c>
      <c r="F80">
        <v>0</v>
      </c>
      <c r="G80">
        <v>0</v>
      </c>
    </row>
    <row r="81" spans="2:7" x14ac:dyDescent="0.3">
      <c r="B81" s="158" t="s">
        <v>1825</v>
      </c>
      <c r="C81">
        <v>314191</v>
      </c>
      <c r="D81">
        <v>10000</v>
      </c>
      <c r="E81">
        <v>10434</v>
      </c>
      <c r="F81">
        <v>0</v>
      </c>
      <c r="G81">
        <v>0</v>
      </c>
    </row>
  </sheetData>
  <autoFilter ref="X1:X73" xr:uid="{2E22EA75-7084-44B6-AB53-DD9D77BE2233}">
    <filterColumn colId="0">
      <filters>
        <filter val="brak wskazania zadania inwestycyjnego"/>
      </filters>
    </filterColumn>
  </autoFilter>
  <pageMargins left="0.7" right="0.7" top="0.75" bottom="0.75" header="0.3" footer="0.3"/>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02989-DE3C-4C8A-9800-E54178D72F8D}">
  <sheetPr codeName="Arkusz2"/>
  <dimension ref="A1:W13"/>
  <sheetViews>
    <sheetView workbookViewId="0">
      <selection activeCell="M9" sqref="M9"/>
    </sheetView>
  </sheetViews>
  <sheetFormatPr defaultRowHeight="14.4" x14ac:dyDescent="0.3"/>
  <cols>
    <col min="2" max="2" width="14.6640625" customWidth="1"/>
    <col min="3" max="3" width="17" customWidth="1"/>
    <col min="4" max="4" width="15" customWidth="1"/>
    <col min="6" max="6" width="37.44140625" customWidth="1"/>
    <col min="8" max="8" width="10.44140625" customWidth="1"/>
    <col min="9" max="9" width="12.33203125" customWidth="1"/>
    <col min="11" max="11" width="13.5546875" customWidth="1"/>
    <col min="12" max="12" width="21.33203125" customWidth="1"/>
    <col min="13" max="13" width="51.33203125" customWidth="1"/>
    <col min="19" max="19" width="13.6640625" customWidth="1"/>
    <col min="20" max="20" width="9.5546875" customWidth="1"/>
    <col min="21" max="21" width="11.6640625" customWidth="1"/>
    <col min="22" max="22" width="14.6640625" customWidth="1"/>
  </cols>
  <sheetData>
    <row r="1" spans="1:23"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x14ac:dyDescent="0.3">
      <c r="A2">
        <v>27</v>
      </c>
      <c r="B2" t="s">
        <v>1243</v>
      </c>
      <c r="C2" t="s">
        <v>1521</v>
      </c>
      <c r="D2" t="s">
        <v>1522</v>
      </c>
      <c r="E2" t="s">
        <v>458</v>
      </c>
      <c r="F2" t="s">
        <v>458</v>
      </c>
      <c r="H2">
        <v>6230</v>
      </c>
      <c r="I2">
        <v>0</v>
      </c>
      <c r="J2" t="s">
        <v>1246</v>
      </c>
      <c r="K2" t="s">
        <v>243</v>
      </c>
      <c r="L2" t="s">
        <v>1522</v>
      </c>
      <c r="M2" t="s">
        <v>1522</v>
      </c>
      <c r="N2">
        <v>10000</v>
      </c>
      <c r="O2">
        <v>10000</v>
      </c>
      <c r="P2">
        <v>12000</v>
      </c>
    </row>
    <row r="3" spans="1:23" x14ac:dyDescent="0.3">
      <c r="A3">
        <v>27</v>
      </c>
      <c r="B3" t="s">
        <v>1202</v>
      </c>
      <c r="C3" t="s">
        <v>458</v>
      </c>
      <c r="D3" t="s">
        <v>458</v>
      </c>
      <c r="E3" t="s">
        <v>458</v>
      </c>
      <c r="F3" t="s">
        <v>458</v>
      </c>
      <c r="G3" t="s">
        <v>458</v>
      </c>
      <c r="H3">
        <v>6230</v>
      </c>
      <c r="I3">
        <v>0</v>
      </c>
      <c r="J3" t="s">
        <v>1203</v>
      </c>
      <c r="L3" t="s">
        <v>1213</v>
      </c>
      <c r="M3" t="s">
        <v>1214</v>
      </c>
      <c r="N3">
        <v>1450</v>
      </c>
      <c r="O3">
        <v>420</v>
      </c>
      <c r="P3">
        <v>460</v>
      </c>
      <c r="Q3">
        <v>100</v>
      </c>
      <c r="R3">
        <v>100</v>
      </c>
      <c r="S3" t="s">
        <v>50</v>
      </c>
      <c r="T3" t="s">
        <v>50</v>
      </c>
      <c r="V3" t="s">
        <v>1210</v>
      </c>
    </row>
    <row r="4" spans="1:23" x14ac:dyDescent="0.3">
      <c r="A4">
        <v>27</v>
      </c>
      <c r="B4" t="s">
        <v>1202</v>
      </c>
      <c r="C4" t="s">
        <v>458</v>
      </c>
      <c r="D4" t="s">
        <v>458</v>
      </c>
      <c r="E4" t="s">
        <v>458</v>
      </c>
      <c r="F4" t="s">
        <v>458</v>
      </c>
      <c r="G4" t="s">
        <v>458</v>
      </c>
      <c r="H4">
        <v>6230</v>
      </c>
      <c r="I4">
        <v>0</v>
      </c>
      <c r="J4" t="s">
        <v>1203</v>
      </c>
      <c r="L4" t="s">
        <v>1206</v>
      </c>
      <c r="M4" t="s">
        <v>1207</v>
      </c>
      <c r="N4">
        <v>500</v>
      </c>
      <c r="O4">
        <v>500</v>
      </c>
      <c r="P4">
        <v>500</v>
      </c>
      <c r="Q4">
        <v>500</v>
      </c>
      <c r="R4">
        <v>500</v>
      </c>
      <c r="S4" t="s">
        <v>50</v>
      </c>
      <c r="T4" t="s">
        <v>50</v>
      </c>
      <c r="V4" t="s">
        <v>626</v>
      </c>
    </row>
    <row r="5" spans="1:23" x14ac:dyDescent="0.3">
      <c r="A5">
        <v>27</v>
      </c>
      <c r="B5" t="s">
        <v>729</v>
      </c>
      <c r="C5" t="s">
        <v>26</v>
      </c>
      <c r="D5" t="s">
        <v>26</v>
      </c>
      <c r="E5" t="s">
        <v>26</v>
      </c>
      <c r="F5" t="s">
        <v>26</v>
      </c>
      <c r="G5" t="s">
        <v>26</v>
      </c>
      <c r="H5">
        <v>6230</v>
      </c>
      <c r="I5">
        <v>0</v>
      </c>
      <c r="J5" t="s">
        <v>762</v>
      </c>
      <c r="K5" t="s">
        <v>580</v>
      </c>
      <c r="L5" t="s">
        <v>1054</v>
      </c>
      <c r="M5" t="s">
        <v>1055</v>
      </c>
      <c r="N5">
        <v>0</v>
      </c>
      <c r="O5">
        <v>0</v>
      </c>
      <c r="P5">
        <v>0</v>
      </c>
      <c r="Q5">
        <v>0</v>
      </c>
      <c r="R5">
        <v>0</v>
      </c>
      <c r="S5" t="s">
        <v>26</v>
      </c>
      <c r="T5" t="s">
        <v>26</v>
      </c>
      <c r="U5" t="s">
        <v>26</v>
      </c>
      <c r="V5" t="s">
        <v>26</v>
      </c>
      <c r="W5" t="s">
        <v>747</v>
      </c>
    </row>
    <row r="6" spans="1:23" x14ac:dyDescent="0.3">
      <c r="A6">
        <v>27</v>
      </c>
      <c r="B6" t="s">
        <v>729</v>
      </c>
      <c r="C6" t="s">
        <v>26</v>
      </c>
      <c r="D6" t="s">
        <v>26</v>
      </c>
      <c r="E6" t="s">
        <v>26</v>
      </c>
      <c r="F6" t="s">
        <v>26</v>
      </c>
      <c r="G6" t="s">
        <v>26</v>
      </c>
      <c r="H6">
        <v>6230</v>
      </c>
      <c r="I6">
        <v>0</v>
      </c>
      <c r="J6" t="s">
        <v>762</v>
      </c>
      <c r="K6" t="s">
        <v>580</v>
      </c>
      <c r="L6" t="s">
        <v>1052</v>
      </c>
      <c r="M6" t="s">
        <v>1053</v>
      </c>
      <c r="N6">
        <v>0</v>
      </c>
      <c r="O6">
        <v>0</v>
      </c>
      <c r="P6">
        <v>0</v>
      </c>
      <c r="Q6">
        <v>0</v>
      </c>
      <c r="R6">
        <v>0</v>
      </c>
      <c r="S6" t="s">
        <v>26</v>
      </c>
      <c r="T6" t="s">
        <v>26</v>
      </c>
      <c r="U6" t="s">
        <v>26</v>
      </c>
      <c r="V6" t="s">
        <v>26</v>
      </c>
      <c r="W6" t="s">
        <v>747</v>
      </c>
    </row>
    <row r="7" spans="1:23" x14ac:dyDescent="0.3">
      <c r="A7">
        <v>27</v>
      </c>
      <c r="B7" t="s">
        <v>729</v>
      </c>
      <c r="C7" t="s">
        <v>26</v>
      </c>
      <c r="D7" t="s">
        <v>26</v>
      </c>
      <c r="E7" t="s">
        <v>26</v>
      </c>
      <c r="F7" t="s">
        <v>26</v>
      </c>
      <c r="G7" t="s">
        <v>26</v>
      </c>
      <c r="H7">
        <v>6230</v>
      </c>
      <c r="I7">
        <v>0</v>
      </c>
      <c r="J7" t="s">
        <v>762</v>
      </c>
      <c r="K7" t="s">
        <v>580</v>
      </c>
      <c r="L7" t="s">
        <v>970</v>
      </c>
      <c r="M7" t="s">
        <v>971</v>
      </c>
      <c r="N7">
        <v>0</v>
      </c>
      <c r="O7">
        <v>0</v>
      </c>
      <c r="P7">
        <v>0</v>
      </c>
      <c r="Q7">
        <v>0</v>
      </c>
      <c r="R7">
        <v>0</v>
      </c>
      <c r="S7" t="s">
        <v>26</v>
      </c>
      <c r="T7" t="s">
        <v>26</v>
      </c>
      <c r="U7" t="s">
        <v>26</v>
      </c>
      <c r="V7" t="s">
        <v>26</v>
      </c>
      <c r="W7" t="s">
        <v>747</v>
      </c>
    </row>
    <row r="8" spans="1:23" x14ac:dyDescent="0.3">
      <c r="A8">
        <v>27</v>
      </c>
      <c r="B8" t="s">
        <v>729</v>
      </c>
      <c r="C8" t="s">
        <v>26</v>
      </c>
      <c r="D8" t="s">
        <v>26</v>
      </c>
      <c r="E8" t="s">
        <v>26</v>
      </c>
      <c r="F8" t="s">
        <v>26</v>
      </c>
      <c r="G8" t="s">
        <v>26</v>
      </c>
      <c r="H8">
        <v>6230</v>
      </c>
      <c r="I8">
        <v>0</v>
      </c>
      <c r="J8" t="s">
        <v>730</v>
      </c>
      <c r="K8" t="s">
        <v>580</v>
      </c>
      <c r="L8" t="s">
        <v>947</v>
      </c>
      <c r="M8" t="s">
        <v>1838</v>
      </c>
      <c r="N8">
        <v>322</v>
      </c>
      <c r="O8">
        <v>67</v>
      </c>
      <c r="P8">
        <v>356</v>
      </c>
      <c r="Q8">
        <v>75</v>
      </c>
      <c r="R8">
        <v>0</v>
      </c>
      <c r="S8" t="s">
        <v>939</v>
      </c>
      <c r="T8" t="s">
        <v>26</v>
      </c>
      <c r="U8" t="s">
        <v>940</v>
      </c>
      <c r="V8" t="s">
        <v>747</v>
      </c>
      <c r="W8" t="s">
        <v>747</v>
      </c>
    </row>
    <row r="9" spans="1:23" x14ac:dyDescent="0.3">
      <c r="A9">
        <v>27</v>
      </c>
      <c r="B9" t="s">
        <v>729</v>
      </c>
      <c r="C9" t="s">
        <v>26</v>
      </c>
      <c r="D9" t="s">
        <v>26</v>
      </c>
      <c r="E9" t="s">
        <v>26</v>
      </c>
      <c r="F9" t="s">
        <v>26</v>
      </c>
      <c r="G9" t="s">
        <v>26</v>
      </c>
      <c r="H9">
        <v>6230</v>
      </c>
      <c r="I9">
        <v>0</v>
      </c>
      <c r="J9" t="s">
        <v>762</v>
      </c>
      <c r="K9" t="s">
        <v>580</v>
      </c>
      <c r="L9" t="s">
        <v>933</v>
      </c>
      <c r="M9" t="s">
        <v>930</v>
      </c>
      <c r="N9">
        <v>60</v>
      </c>
      <c r="O9">
        <v>0</v>
      </c>
      <c r="P9">
        <v>0</v>
      </c>
      <c r="Q9">
        <v>0</v>
      </c>
      <c r="R9">
        <v>0</v>
      </c>
      <c r="S9" t="s">
        <v>931</v>
      </c>
      <c r="T9" t="s">
        <v>26</v>
      </c>
      <c r="U9" t="s">
        <v>26</v>
      </c>
      <c r="V9" t="s">
        <v>26</v>
      </c>
      <c r="W9" t="s">
        <v>932</v>
      </c>
    </row>
    <row r="10" spans="1:23" x14ac:dyDescent="0.3">
      <c r="A10">
        <v>27</v>
      </c>
      <c r="B10" t="s">
        <v>729</v>
      </c>
      <c r="C10" t="s">
        <v>26</v>
      </c>
      <c r="D10" t="s">
        <v>26</v>
      </c>
      <c r="E10" t="s">
        <v>26</v>
      </c>
      <c r="F10" t="s">
        <v>26</v>
      </c>
      <c r="G10" t="s">
        <v>26</v>
      </c>
      <c r="H10">
        <v>6230</v>
      </c>
      <c r="I10">
        <v>0</v>
      </c>
      <c r="J10" t="s">
        <v>743</v>
      </c>
      <c r="K10" t="s">
        <v>580</v>
      </c>
      <c r="L10" t="s">
        <v>853</v>
      </c>
      <c r="M10" t="s">
        <v>852</v>
      </c>
      <c r="N10">
        <v>0</v>
      </c>
      <c r="O10">
        <v>0</v>
      </c>
      <c r="P10">
        <v>0</v>
      </c>
      <c r="Q10">
        <v>0</v>
      </c>
      <c r="R10">
        <v>0</v>
      </c>
      <c r="S10" t="s">
        <v>50</v>
      </c>
      <c r="T10" t="s">
        <v>50</v>
      </c>
      <c r="V10" t="s">
        <v>458</v>
      </c>
    </row>
    <row r="11" spans="1:23" x14ac:dyDescent="0.3">
      <c r="A11">
        <v>27</v>
      </c>
      <c r="B11" t="s">
        <v>729</v>
      </c>
      <c r="C11" t="s">
        <v>26</v>
      </c>
      <c r="D11" t="s">
        <v>26</v>
      </c>
      <c r="E11" t="s">
        <v>26</v>
      </c>
      <c r="F11" t="s">
        <v>26</v>
      </c>
      <c r="G11" t="s">
        <v>26</v>
      </c>
      <c r="H11">
        <v>6230</v>
      </c>
      <c r="I11" t="s">
        <v>731</v>
      </c>
      <c r="J11" t="s">
        <v>730</v>
      </c>
      <c r="K11" t="s">
        <v>580</v>
      </c>
      <c r="L11" t="s">
        <v>758</v>
      </c>
      <c r="M11" t="s">
        <v>759</v>
      </c>
      <c r="N11">
        <v>7235</v>
      </c>
      <c r="O11">
        <v>11910</v>
      </c>
      <c r="P11">
        <v>5851</v>
      </c>
      <c r="Q11">
        <v>0</v>
      </c>
      <c r="R11">
        <v>0</v>
      </c>
      <c r="S11" t="s">
        <v>24</v>
      </c>
      <c r="T11" t="s">
        <v>24</v>
      </c>
      <c r="U11" t="s">
        <v>760</v>
      </c>
      <c r="V11" t="s">
        <v>747</v>
      </c>
      <c r="W11" t="s">
        <v>754</v>
      </c>
    </row>
    <row r="12" spans="1:23" ht="158.4" x14ac:dyDescent="0.3">
      <c r="A12">
        <v>27</v>
      </c>
      <c r="B12" t="s">
        <v>729</v>
      </c>
      <c r="C12" t="s">
        <v>26</v>
      </c>
      <c r="D12" t="s">
        <v>26</v>
      </c>
      <c r="E12" t="s">
        <v>26</v>
      </c>
      <c r="F12" t="s">
        <v>26</v>
      </c>
      <c r="G12" t="s">
        <v>26</v>
      </c>
      <c r="H12">
        <v>6230</v>
      </c>
      <c r="I12" t="s">
        <v>731</v>
      </c>
      <c r="J12" t="s">
        <v>743</v>
      </c>
      <c r="K12" t="s">
        <v>580</v>
      </c>
      <c r="L12" t="s">
        <v>751</v>
      </c>
      <c r="M12" s="161" t="s">
        <v>752</v>
      </c>
      <c r="N12">
        <v>12215</v>
      </c>
      <c r="O12">
        <v>2345</v>
      </c>
      <c r="P12">
        <v>6572</v>
      </c>
      <c r="Q12">
        <v>8894</v>
      </c>
      <c r="R12">
        <v>18450</v>
      </c>
      <c r="S12" t="s">
        <v>24</v>
      </c>
      <c r="T12" t="s">
        <v>24</v>
      </c>
      <c r="U12" t="s">
        <v>753</v>
      </c>
      <c r="V12" t="s">
        <v>747</v>
      </c>
      <c r="W12" t="s">
        <v>754</v>
      </c>
    </row>
    <row r="13" spans="1:23" x14ac:dyDescent="0.3">
      <c r="A13">
        <v>27</v>
      </c>
      <c r="B13" t="s">
        <v>560</v>
      </c>
      <c r="H13">
        <v>6230</v>
      </c>
      <c r="I13">
        <v>0</v>
      </c>
      <c r="J13" t="s">
        <v>561</v>
      </c>
      <c r="K13" t="s">
        <v>586</v>
      </c>
      <c r="L13" t="s">
        <v>587</v>
      </c>
      <c r="M13" t="s">
        <v>590</v>
      </c>
      <c r="N13">
        <v>0</v>
      </c>
      <c r="O13">
        <v>0</v>
      </c>
      <c r="P13">
        <v>0</v>
      </c>
      <c r="Q13">
        <v>0</v>
      </c>
      <c r="R13">
        <v>0</v>
      </c>
      <c r="S13" t="s">
        <v>24</v>
      </c>
      <c r="T13" t="s">
        <v>24</v>
      </c>
      <c r="U13" t="s">
        <v>589</v>
      </c>
      <c r="V13" t="s">
        <v>579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CCE5B-0076-4539-A5F9-F5AA47278994}">
  <sheetPr codeName="Arkusz4"/>
  <dimension ref="A3:N49"/>
  <sheetViews>
    <sheetView workbookViewId="0">
      <selection activeCell="I23" sqref="I22:J23"/>
    </sheetView>
  </sheetViews>
  <sheetFormatPr defaultRowHeight="14.4" x14ac:dyDescent="0.3"/>
  <cols>
    <col min="2" max="5" width="16.5546875" customWidth="1"/>
  </cols>
  <sheetData>
    <row r="3" spans="1:14" x14ac:dyDescent="0.3">
      <c r="A3" t="s">
        <v>1820</v>
      </c>
      <c r="B3" t="s">
        <v>1821</v>
      </c>
      <c r="C3" t="s">
        <v>1822</v>
      </c>
      <c r="D3" t="s">
        <v>1823</v>
      </c>
      <c r="E3" t="s">
        <v>1824</v>
      </c>
      <c r="F3" t="s">
        <v>1817</v>
      </c>
      <c r="G3">
        <v>2025</v>
      </c>
      <c r="H3">
        <v>2026</v>
      </c>
      <c r="I3">
        <v>2027</v>
      </c>
      <c r="J3">
        <v>2028</v>
      </c>
      <c r="K3" t="s">
        <v>1832</v>
      </c>
      <c r="L3">
        <v>2025</v>
      </c>
      <c r="M3">
        <v>2026</v>
      </c>
      <c r="N3">
        <v>2027</v>
      </c>
    </row>
    <row r="4" spans="1:14" x14ac:dyDescent="0.3">
      <c r="A4">
        <v>27</v>
      </c>
      <c r="B4">
        <v>1411921</v>
      </c>
      <c r="C4">
        <v>676112</v>
      </c>
      <c r="D4">
        <v>676112</v>
      </c>
      <c r="E4">
        <v>676112</v>
      </c>
      <c r="G4">
        <v>1411921</v>
      </c>
      <c r="H4">
        <v>676112</v>
      </c>
      <c r="I4">
        <v>676112</v>
      </c>
      <c r="J4">
        <v>676112</v>
      </c>
      <c r="L4">
        <v>0</v>
      </c>
      <c r="M4">
        <v>0</v>
      </c>
      <c r="N4">
        <v>0</v>
      </c>
    </row>
    <row r="5" spans="1:14" x14ac:dyDescent="0.3">
      <c r="A5">
        <v>2580</v>
      </c>
      <c r="B5">
        <v>39186</v>
      </c>
      <c r="C5">
        <v>45455</v>
      </c>
      <c r="D5">
        <v>52728</v>
      </c>
      <c r="E5">
        <v>61165</v>
      </c>
    </row>
    <row r="6" spans="1:14" x14ac:dyDescent="0.3">
      <c r="A6">
        <v>2800</v>
      </c>
      <c r="B6">
        <v>8250</v>
      </c>
      <c r="C6">
        <v>0</v>
      </c>
      <c r="D6">
        <v>0</v>
      </c>
      <c r="E6">
        <v>0</v>
      </c>
    </row>
    <row r="7" spans="1:14" x14ac:dyDescent="0.3">
      <c r="A7">
        <v>2810</v>
      </c>
      <c r="B7">
        <v>44000</v>
      </c>
      <c r="C7">
        <v>44000</v>
      </c>
      <c r="D7">
        <v>44000</v>
      </c>
      <c r="E7">
        <v>44000</v>
      </c>
      <c r="G7">
        <v>9000</v>
      </c>
      <c r="H7">
        <v>35000</v>
      </c>
    </row>
    <row r="8" spans="1:14" x14ac:dyDescent="0.3">
      <c r="A8">
        <v>2830</v>
      </c>
      <c r="B8">
        <v>329686</v>
      </c>
      <c r="C8">
        <v>311718</v>
      </c>
      <c r="D8">
        <v>317262</v>
      </c>
      <c r="E8">
        <v>261743</v>
      </c>
    </row>
    <row r="9" spans="1:14" x14ac:dyDescent="0.3">
      <c r="A9">
        <v>3020</v>
      </c>
      <c r="B9">
        <v>290</v>
      </c>
      <c r="C9">
        <v>290</v>
      </c>
      <c r="D9">
        <v>290</v>
      </c>
      <c r="E9">
        <v>290</v>
      </c>
    </row>
    <row r="10" spans="1:14" x14ac:dyDescent="0.3">
      <c r="A10">
        <v>3030</v>
      </c>
      <c r="B10">
        <v>545</v>
      </c>
      <c r="C10">
        <v>545</v>
      </c>
      <c r="D10">
        <v>495</v>
      </c>
      <c r="E10">
        <v>470</v>
      </c>
    </row>
    <row r="11" spans="1:14" x14ac:dyDescent="0.3">
      <c r="A11">
        <v>3070</v>
      </c>
    </row>
    <row r="12" spans="1:14" x14ac:dyDescent="0.3">
      <c r="A12">
        <v>4000</v>
      </c>
      <c r="B12">
        <v>454837</v>
      </c>
      <c r="C12">
        <v>117190</v>
      </c>
      <c r="D12">
        <v>110005</v>
      </c>
      <c r="E12">
        <v>189735</v>
      </c>
    </row>
    <row r="13" spans="1:14" x14ac:dyDescent="0.3">
      <c r="A13" s="162">
        <v>4010</v>
      </c>
      <c r="B13" s="162">
        <v>7993</v>
      </c>
      <c r="C13" s="162">
        <v>7993</v>
      </c>
      <c r="D13" s="162">
        <v>7993</v>
      </c>
      <c r="E13" s="162">
        <v>7993</v>
      </c>
      <c r="F13" t="s">
        <v>1844</v>
      </c>
    </row>
    <row r="14" spans="1:14" x14ac:dyDescent="0.3">
      <c r="A14" s="162">
        <v>4020</v>
      </c>
      <c r="B14" s="164">
        <v>63745</v>
      </c>
      <c r="C14" s="164">
        <v>63745</v>
      </c>
      <c r="D14" s="164">
        <v>63745</v>
      </c>
      <c r="E14" s="164">
        <v>63745</v>
      </c>
      <c r="F14" t="s">
        <v>1844</v>
      </c>
    </row>
    <row r="15" spans="1:14" x14ac:dyDescent="0.3">
      <c r="A15" s="162">
        <v>4040</v>
      </c>
      <c r="B15" s="164">
        <v>5781</v>
      </c>
      <c r="C15" s="164">
        <v>6018</v>
      </c>
      <c r="D15" s="164">
        <v>6018</v>
      </c>
      <c r="E15" s="164">
        <v>6018</v>
      </c>
      <c r="F15" t="s">
        <v>1844</v>
      </c>
    </row>
    <row r="16" spans="1:14" x14ac:dyDescent="0.3">
      <c r="A16" s="162">
        <v>4050</v>
      </c>
      <c r="B16" s="162">
        <v>899</v>
      </c>
      <c r="C16" s="162">
        <v>899</v>
      </c>
      <c r="D16" s="162">
        <v>899</v>
      </c>
      <c r="E16" s="162">
        <v>899</v>
      </c>
      <c r="F16" t="s">
        <v>1844</v>
      </c>
      <c r="J16" s="163"/>
    </row>
    <row r="17" spans="1:10" x14ac:dyDescent="0.3">
      <c r="A17" s="162">
        <v>4070</v>
      </c>
      <c r="B17" s="162">
        <v>72</v>
      </c>
      <c r="C17" s="162">
        <v>76</v>
      </c>
      <c r="D17" s="162">
        <v>76</v>
      </c>
      <c r="E17" s="162">
        <v>76</v>
      </c>
      <c r="F17" t="s">
        <v>1844</v>
      </c>
      <c r="J17" s="163"/>
    </row>
    <row r="18" spans="1:10" x14ac:dyDescent="0.3">
      <c r="A18">
        <v>4110</v>
      </c>
      <c r="B18" s="164">
        <v>13325</v>
      </c>
      <c r="C18" s="164">
        <v>13366</v>
      </c>
      <c r="D18" s="164">
        <v>13366</v>
      </c>
      <c r="E18" s="164">
        <v>13366</v>
      </c>
      <c r="F18" t="s">
        <v>1844</v>
      </c>
    </row>
    <row r="19" spans="1:10" x14ac:dyDescent="0.3">
      <c r="A19">
        <v>4120</v>
      </c>
      <c r="B19" s="164">
        <v>1899</v>
      </c>
      <c r="C19" s="164">
        <v>1905</v>
      </c>
      <c r="D19" s="164">
        <v>1905</v>
      </c>
      <c r="E19" s="164">
        <v>1905</v>
      </c>
      <c r="F19" t="s">
        <v>1844</v>
      </c>
    </row>
    <row r="20" spans="1:10" x14ac:dyDescent="0.3">
      <c r="A20">
        <v>4140</v>
      </c>
    </row>
    <row r="21" spans="1:10" x14ac:dyDescent="0.3">
      <c r="A21">
        <v>4170</v>
      </c>
      <c r="B21">
        <v>2893</v>
      </c>
      <c r="C21">
        <v>2034</v>
      </c>
      <c r="D21">
        <v>2008</v>
      </c>
      <c r="E21">
        <v>1817</v>
      </c>
    </row>
    <row r="22" spans="1:10" x14ac:dyDescent="0.3">
      <c r="A22">
        <v>4190</v>
      </c>
      <c r="B22">
        <v>255</v>
      </c>
      <c r="C22">
        <v>229</v>
      </c>
      <c r="D22">
        <v>239</v>
      </c>
      <c r="E22">
        <v>130</v>
      </c>
    </row>
    <row r="23" spans="1:10" x14ac:dyDescent="0.3">
      <c r="A23">
        <v>4270</v>
      </c>
      <c r="B23">
        <v>3574</v>
      </c>
      <c r="C23">
        <v>3854</v>
      </c>
      <c r="D23">
        <v>3959</v>
      </c>
      <c r="E23">
        <v>3674</v>
      </c>
    </row>
    <row r="24" spans="1:10" x14ac:dyDescent="0.3">
      <c r="A24">
        <v>4410</v>
      </c>
      <c r="B24">
        <v>665</v>
      </c>
      <c r="C24">
        <v>682</v>
      </c>
      <c r="D24">
        <v>662</v>
      </c>
      <c r="E24">
        <v>660</v>
      </c>
    </row>
    <row r="25" spans="1:10" x14ac:dyDescent="0.3">
      <c r="A25">
        <v>4420</v>
      </c>
      <c r="B25">
        <v>6124</v>
      </c>
      <c r="C25">
        <v>7084</v>
      </c>
      <c r="D25">
        <v>6754</v>
      </c>
      <c r="E25">
        <v>1450</v>
      </c>
    </row>
    <row r="26" spans="1:10" x14ac:dyDescent="0.3">
      <c r="A26">
        <v>4430</v>
      </c>
      <c r="B26">
        <v>286</v>
      </c>
      <c r="C26">
        <v>2157</v>
      </c>
      <c r="D26">
        <v>278</v>
      </c>
      <c r="E26">
        <v>276</v>
      </c>
    </row>
    <row r="27" spans="1:10" x14ac:dyDescent="0.3">
      <c r="A27">
        <v>4440</v>
      </c>
      <c r="B27">
        <v>1300</v>
      </c>
      <c r="C27">
        <v>1300</v>
      </c>
      <c r="D27">
        <v>1300</v>
      </c>
      <c r="E27">
        <v>1300</v>
      </c>
    </row>
    <row r="28" spans="1:10" x14ac:dyDescent="0.3">
      <c r="A28">
        <v>4480</v>
      </c>
      <c r="B28">
        <v>161</v>
      </c>
      <c r="C28">
        <v>162</v>
      </c>
      <c r="D28">
        <v>260</v>
      </c>
      <c r="E28">
        <v>135</v>
      </c>
    </row>
    <row r="29" spans="1:10" x14ac:dyDescent="0.3">
      <c r="A29">
        <v>4530</v>
      </c>
      <c r="B29">
        <v>29</v>
      </c>
      <c r="C29">
        <v>0</v>
      </c>
      <c r="D29">
        <v>0</v>
      </c>
      <c r="E29">
        <v>0</v>
      </c>
    </row>
    <row r="30" spans="1:10" x14ac:dyDescent="0.3">
      <c r="A30">
        <v>4540</v>
      </c>
      <c r="B30">
        <v>4815</v>
      </c>
      <c r="C30">
        <v>4815</v>
      </c>
      <c r="D30">
        <v>1660</v>
      </c>
      <c r="E30">
        <v>1660</v>
      </c>
    </row>
    <row r="31" spans="1:10" x14ac:dyDescent="0.3">
      <c r="A31">
        <v>4542</v>
      </c>
      <c r="B31">
        <v>26707</v>
      </c>
      <c r="C31">
        <v>0</v>
      </c>
      <c r="D31">
        <v>0</v>
      </c>
      <c r="E31">
        <v>0</v>
      </c>
      <c r="F31" t="s">
        <v>1843</v>
      </c>
    </row>
    <row r="32" spans="1:10" x14ac:dyDescent="0.3">
      <c r="A32">
        <v>4550</v>
      </c>
      <c r="B32">
        <v>1730</v>
      </c>
      <c r="C32">
        <v>1785</v>
      </c>
      <c r="D32">
        <v>1829</v>
      </c>
      <c r="E32">
        <v>1823</v>
      </c>
    </row>
    <row r="33" spans="1:10" x14ac:dyDescent="0.3">
      <c r="A33">
        <v>4600</v>
      </c>
      <c r="B33">
        <v>30120</v>
      </c>
      <c r="C33">
        <v>17</v>
      </c>
      <c r="D33">
        <v>0</v>
      </c>
      <c r="E33">
        <v>0</v>
      </c>
    </row>
    <row r="34" spans="1:10" x14ac:dyDescent="0.3">
      <c r="A34">
        <v>4610</v>
      </c>
      <c r="B34">
        <v>202</v>
      </c>
      <c r="C34">
        <v>1</v>
      </c>
      <c r="D34">
        <v>1</v>
      </c>
      <c r="E34">
        <v>1</v>
      </c>
    </row>
    <row r="35" spans="1:10" x14ac:dyDescent="0.3">
      <c r="A35">
        <v>4690</v>
      </c>
      <c r="B35">
        <v>158</v>
      </c>
      <c r="C35">
        <v>158</v>
      </c>
      <c r="D35">
        <v>158</v>
      </c>
      <c r="E35">
        <v>158</v>
      </c>
    </row>
    <row r="36" spans="1:10" x14ac:dyDescent="0.3">
      <c r="A36">
        <v>4700</v>
      </c>
      <c r="B36">
        <v>186</v>
      </c>
      <c r="C36">
        <v>192</v>
      </c>
      <c r="D36">
        <v>197</v>
      </c>
      <c r="E36">
        <v>202</v>
      </c>
    </row>
    <row r="37" spans="1:10" x14ac:dyDescent="0.3">
      <c r="A37">
        <v>4710</v>
      </c>
      <c r="B37">
        <v>964</v>
      </c>
      <c r="C37">
        <v>969</v>
      </c>
      <c r="D37">
        <v>969</v>
      </c>
      <c r="E37">
        <v>969</v>
      </c>
    </row>
    <row r="38" spans="1:10" x14ac:dyDescent="0.3">
      <c r="A38">
        <v>6050</v>
      </c>
      <c r="B38">
        <v>14300</v>
      </c>
      <c r="C38">
        <v>1348</v>
      </c>
      <c r="D38">
        <v>0</v>
      </c>
      <c r="E38">
        <v>0</v>
      </c>
      <c r="F38" t="s">
        <v>1840</v>
      </c>
      <c r="G38">
        <v>360273</v>
      </c>
      <c r="H38">
        <v>36590</v>
      </c>
      <c r="I38">
        <v>36173</v>
      </c>
      <c r="J38">
        <v>9569</v>
      </c>
    </row>
    <row r="39" spans="1:10" x14ac:dyDescent="0.3">
      <c r="A39">
        <v>6060</v>
      </c>
      <c r="B39">
        <v>314191</v>
      </c>
      <c r="C39">
        <v>10000</v>
      </c>
      <c r="D39">
        <v>10434</v>
      </c>
      <c r="E39">
        <v>0</v>
      </c>
      <c r="F39" t="s">
        <v>1839</v>
      </c>
      <c r="G39">
        <v>105</v>
      </c>
      <c r="H39">
        <v>84</v>
      </c>
      <c r="I39">
        <v>224</v>
      </c>
    </row>
    <row r="40" spans="1:10" x14ac:dyDescent="0.3">
      <c r="A40">
        <v>6230</v>
      </c>
      <c r="B40">
        <v>31782</v>
      </c>
      <c r="C40">
        <v>25242</v>
      </c>
      <c r="D40">
        <v>25739</v>
      </c>
      <c r="E40">
        <v>9569</v>
      </c>
      <c r="F40" t="s">
        <v>1841</v>
      </c>
      <c r="G40">
        <v>360378</v>
      </c>
      <c r="H40">
        <v>36674</v>
      </c>
      <c r="I40">
        <v>36397</v>
      </c>
      <c r="J40">
        <v>9569</v>
      </c>
    </row>
    <row r="41" spans="1:10" x14ac:dyDescent="0.3">
      <c r="A41" t="s">
        <v>1830</v>
      </c>
      <c r="E41">
        <v>0</v>
      </c>
    </row>
    <row r="42" spans="1:10" x14ac:dyDescent="0.3">
      <c r="A42">
        <v>43</v>
      </c>
      <c r="B42">
        <v>21000</v>
      </c>
      <c r="C42">
        <v>21000</v>
      </c>
      <c r="D42">
        <v>21000</v>
      </c>
      <c r="E42">
        <v>21000</v>
      </c>
    </row>
    <row r="43" spans="1:10" x14ac:dyDescent="0.3">
      <c r="A43">
        <v>4000</v>
      </c>
      <c r="B43">
        <v>21000</v>
      </c>
      <c r="C43">
        <v>21000</v>
      </c>
      <c r="D43">
        <v>21000</v>
      </c>
      <c r="E43">
        <v>21000</v>
      </c>
      <c r="F43" t="s">
        <v>1842</v>
      </c>
    </row>
    <row r="44" spans="1:10" x14ac:dyDescent="0.3">
      <c r="A44">
        <v>75212</v>
      </c>
      <c r="B44">
        <v>675</v>
      </c>
      <c r="C44">
        <v>142</v>
      </c>
      <c r="D44">
        <v>83</v>
      </c>
      <c r="E44">
        <v>105</v>
      </c>
      <c r="F44" t="s">
        <v>1842</v>
      </c>
    </row>
    <row r="45" spans="1:10" x14ac:dyDescent="0.3">
      <c r="A45">
        <v>4000</v>
      </c>
      <c r="B45">
        <v>620</v>
      </c>
      <c r="C45">
        <v>102</v>
      </c>
      <c r="D45">
        <v>43</v>
      </c>
      <c r="E45">
        <v>63</v>
      </c>
      <c r="F45" t="s">
        <v>1842</v>
      </c>
    </row>
    <row r="46" spans="1:10" x14ac:dyDescent="0.3">
      <c r="A46">
        <v>4550</v>
      </c>
      <c r="B46">
        <v>55</v>
      </c>
      <c r="C46">
        <v>40</v>
      </c>
      <c r="D46">
        <v>40</v>
      </c>
      <c r="E46">
        <v>42</v>
      </c>
      <c r="F46" t="s">
        <v>1842</v>
      </c>
    </row>
    <row r="47" spans="1:10" x14ac:dyDescent="0.3">
      <c r="A47" t="s">
        <v>1771</v>
      </c>
      <c r="B47">
        <v>100000</v>
      </c>
      <c r="C47">
        <v>100000</v>
      </c>
      <c r="D47">
        <v>100000</v>
      </c>
      <c r="E47">
        <v>100000</v>
      </c>
      <c r="F47" t="s">
        <v>1842</v>
      </c>
    </row>
    <row r="48" spans="1:10" x14ac:dyDescent="0.3">
      <c r="A48">
        <v>2430</v>
      </c>
      <c r="B48">
        <v>100000</v>
      </c>
      <c r="C48">
        <v>100000</v>
      </c>
      <c r="D48">
        <v>100000</v>
      </c>
      <c r="E48">
        <v>100000</v>
      </c>
      <c r="F48" t="s">
        <v>1842</v>
      </c>
    </row>
    <row r="49" spans="1:5" x14ac:dyDescent="0.3">
      <c r="A49" t="s">
        <v>1825</v>
      </c>
      <c r="B49">
        <v>1533596</v>
      </c>
      <c r="C49">
        <v>797254</v>
      </c>
      <c r="D49">
        <v>797195</v>
      </c>
      <c r="E49">
        <v>797217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3B3AC2-02D9-48FF-A46F-F69758697762}">
  <sheetPr codeName="Arkusz6"/>
  <dimension ref="C1:AE168"/>
  <sheetViews>
    <sheetView workbookViewId="0">
      <selection activeCell="J27" sqref="J27"/>
    </sheetView>
  </sheetViews>
  <sheetFormatPr defaultRowHeight="14.4" x14ac:dyDescent="0.3"/>
  <cols>
    <col min="3" max="4" width="17.6640625" bestFit="1" customWidth="1"/>
    <col min="5" max="5" width="8" bestFit="1" customWidth="1"/>
    <col min="6" max="6" width="14.44140625" bestFit="1" customWidth="1"/>
    <col min="7" max="7" width="7.6640625" bestFit="1" customWidth="1"/>
    <col min="8" max="8" width="8.6640625" bestFit="1" customWidth="1"/>
    <col min="9" max="9" width="13.6640625" bestFit="1" customWidth="1"/>
    <col min="10" max="10" width="13.6640625" customWidth="1"/>
    <col min="12" max="12" width="17.6640625" bestFit="1" customWidth="1"/>
    <col min="13" max="13" width="17.6640625" style="165" bestFit="1" customWidth="1"/>
    <col min="14" max="14" width="6.5546875" bestFit="1" customWidth="1"/>
    <col min="15" max="15" width="14.44140625" bestFit="1" customWidth="1"/>
    <col min="16" max="17" width="7.6640625" bestFit="1" customWidth="1"/>
    <col min="18" max="18" width="13.6640625" bestFit="1" customWidth="1"/>
    <col min="19" max="19" width="17.6640625" bestFit="1" customWidth="1"/>
    <col min="20" max="20" width="12.6640625" bestFit="1" customWidth="1"/>
    <col min="22" max="22" width="13.5546875" customWidth="1"/>
    <col min="23" max="23" width="17.6640625" bestFit="1" customWidth="1"/>
    <col min="24" max="24" width="12.6640625" bestFit="1" customWidth="1"/>
    <col min="27" max="27" width="17.6640625" bestFit="1" customWidth="1"/>
    <col min="28" max="28" width="12.6640625" bestFit="1" customWidth="1"/>
    <col min="30" max="30" width="17.6640625" bestFit="1" customWidth="1"/>
    <col min="31" max="31" width="12.6640625" bestFit="1" customWidth="1"/>
  </cols>
  <sheetData>
    <row r="1" spans="3:31" x14ac:dyDescent="0.3">
      <c r="L1" s="157" t="s">
        <v>8</v>
      </c>
      <c r="M1" s="165" t="s">
        <v>1848</v>
      </c>
    </row>
    <row r="2" spans="3:31" x14ac:dyDescent="0.3">
      <c r="D2" s="165"/>
    </row>
    <row r="3" spans="3:31" x14ac:dyDescent="0.3">
      <c r="C3" s="157" t="s">
        <v>1821</v>
      </c>
      <c r="D3" s="157" t="s">
        <v>1849</v>
      </c>
      <c r="L3" s="157" t="s">
        <v>1820</v>
      </c>
      <c r="M3" s="165" t="s">
        <v>1821</v>
      </c>
      <c r="S3" s="157" t="s">
        <v>8</v>
      </c>
      <c r="T3" s="165" t="s">
        <v>1855</v>
      </c>
      <c r="W3" s="157" t="s">
        <v>8</v>
      </c>
      <c r="X3" s="165" t="s">
        <v>1855</v>
      </c>
      <c r="AA3" s="157" t="s">
        <v>8</v>
      </c>
      <c r="AB3" s="165" t="s">
        <v>1855</v>
      </c>
      <c r="AD3" s="157" t="s">
        <v>8</v>
      </c>
      <c r="AE3" s="165" t="s">
        <v>1855</v>
      </c>
    </row>
    <row r="4" spans="3:31" x14ac:dyDescent="0.3">
      <c r="C4" s="157" t="s">
        <v>1820</v>
      </c>
      <c r="D4" s="171" t="s">
        <v>1848</v>
      </c>
      <c r="E4" s="171" t="s">
        <v>1850</v>
      </c>
      <c r="F4" s="172" t="s">
        <v>1825</v>
      </c>
      <c r="L4" s="158">
        <v>27</v>
      </c>
      <c r="M4" s="165">
        <v>94125</v>
      </c>
      <c r="T4" s="165"/>
      <c r="X4" s="165"/>
      <c r="AB4" s="165"/>
      <c r="AE4" s="165"/>
    </row>
    <row r="5" spans="3:31" x14ac:dyDescent="0.3">
      <c r="C5" s="158">
        <v>27</v>
      </c>
      <c r="D5" s="165">
        <v>1656452</v>
      </c>
      <c r="E5" s="165">
        <v>1141</v>
      </c>
      <c r="F5" s="165">
        <v>1657593</v>
      </c>
      <c r="L5" s="159">
        <v>75001</v>
      </c>
      <c r="M5" s="165">
        <v>94125</v>
      </c>
      <c r="S5" s="157" t="s">
        <v>1820</v>
      </c>
      <c r="T5" s="165" t="s">
        <v>1821</v>
      </c>
      <c r="W5" s="157" t="s">
        <v>1820</v>
      </c>
      <c r="X5" s="165" t="s">
        <v>1821</v>
      </c>
      <c r="AA5" s="157" t="s">
        <v>1820</v>
      </c>
      <c r="AB5" s="165" t="s">
        <v>1821</v>
      </c>
      <c r="AD5" s="157" t="s">
        <v>1820</v>
      </c>
      <c r="AE5" s="165" t="s">
        <v>1821</v>
      </c>
    </row>
    <row r="6" spans="3:31" x14ac:dyDescent="0.3">
      <c r="C6" s="159">
        <v>72003</v>
      </c>
      <c r="D6" s="165">
        <v>250000</v>
      </c>
      <c r="E6" s="165"/>
      <c r="F6" s="165">
        <v>250000</v>
      </c>
      <c r="J6" s="165"/>
      <c r="L6" s="166" t="s">
        <v>1846</v>
      </c>
      <c r="M6" s="165">
        <v>94125</v>
      </c>
      <c r="S6" s="158">
        <v>27</v>
      </c>
      <c r="T6" s="165">
        <v>8062</v>
      </c>
      <c r="W6" s="158">
        <v>27</v>
      </c>
      <c r="X6" s="165">
        <v>64901</v>
      </c>
      <c r="AA6" s="158">
        <v>27</v>
      </c>
      <c r="AB6" s="165">
        <v>907</v>
      </c>
      <c r="AD6" s="158">
        <v>27</v>
      </c>
      <c r="AE6" s="165">
        <v>5759</v>
      </c>
    </row>
    <row r="7" spans="3:31" x14ac:dyDescent="0.3">
      <c r="C7" s="166" t="s">
        <v>1851</v>
      </c>
      <c r="D7" s="165">
        <v>250000</v>
      </c>
      <c r="E7" s="165"/>
      <c r="F7" s="165">
        <v>250000</v>
      </c>
      <c r="J7" s="165"/>
      <c r="L7" s="167">
        <v>4010</v>
      </c>
      <c r="M7" s="165">
        <v>8062</v>
      </c>
      <c r="S7" s="159">
        <v>75001</v>
      </c>
      <c r="T7" s="165">
        <v>8062</v>
      </c>
      <c r="W7" s="159">
        <v>75001</v>
      </c>
      <c r="X7" s="165">
        <v>64901</v>
      </c>
      <c r="AA7" s="159">
        <v>75001</v>
      </c>
      <c r="AB7" s="165">
        <v>907</v>
      </c>
      <c r="AD7" s="159">
        <v>75001</v>
      </c>
      <c r="AE7" s="165">
        <v>5759</v>
      </c>
    </row>
    <row r="8" spans="3:31" x14ac:dyDescent="0.3">
      <c r="C8" s="159">
        <v>75001</v>
      </c>
      <c r="D8" s="165">
        <v>1405777</v>
      </c>
      <c r="E8" s="165">
        <v>1141</v>
      </c>
      <c r="F8" s="165">
        <v>1406918</v>
      </c>
      <c r="J8" s="165"/>
      <c r="L8" s="167">
        <v>4020</v>
      </c>
      <c r="M8" s="165">
        <v>64035</v>
      </c>
      <c r="S8" s="166" t="s">
        <v>1846</v>
      </c>
      <c r="T8" s="165">
        <v>8062</v>
      </c>
      <c r="W8" s="166" t="s">
        <v>1846</v>
      </c>
      <c r="X8" s="165">
        <v>64901</v>
      </c>
      <c r="AA8" s="166" t="s">
        <v>1846</v>
      </c>
      <c r="AB8" s="165">
        <v>907</v>
      </c>
      <c r="AD8" s="166" t="s">
        <v>1846</v>
      </c>
      <c r="AE8" s="165">
        <v>5759</v>
      </c>
    </row>
    <row r="9" spans="3:31" x14ac:dyDescent="0.3">
      <c r="C9" s="166" t="s">
        <v>1851</v>
      </c>
      <c r="D9" s="165">
        <v>422093</v>
      </c>
      <c r="E9" s="165"/>
      <c r="F9" s="165">
        <v>422093</v>
      </c>
      <c r="J9" s="165"/>
      <c r="L9" s="167">
        <v>4040</v>
      </c>
      <c r="M9" s="165">
        <v>5759</v>
      </c>
      <c r="S9" s="167">
        <v>4010</v>
      </c>
      <c r="T9" s="165">
        <v>8062</v>
      </c>
      <c r="W9" s="167">
        <v>4020</v>
      </c>
      <c r="X9" s="165">
        <v>64035</v>
      </c>
      <c r="AA9" s="167">
        <v>4050</v>
      </c>
      <c r="AB9" s="165">
        <v>907</v>
      </c>
      <c r="AD9" s="167">
        <v>4040</v>
      </c>
      <c r="AE9" s="165">
        <v>5759</v>
      </c>
    </row>
    <row r="10" spans="3:31" x14ac:dyDescent="0.3">
      <c r="C10" s="166" t="s">
        <v>1852</v>
      </c>
      <c r="D10" s="165">
        <v>835</v>
      </c>
      <c r="E10" s="165"/>
      <c r="F10" s="165">
        <v>835</v>
      </c>
      <c r="J10" s="165"/>
      <c r="L10" s="167">
        <v>4050</v>
      </c>
      <c r="M10" s="165">
        <v>907</v>
      </c>
      <c r="S10" s="158" t="s">
        <v>1825</v>
      </c>
      <c r="T10" s="165">
        <v>8062</v>
      </c>
      <c r="W10" s="167">
        <v>4021</v>
      </c>
      <c r="X10" s="165">
        <v>866</v>
      </c>
      <c r="AA10" s="158" t="s">
        <v>1825</v>
      </c>
      <c r="AB10" s="165">
        <v>907</v>
      </c>
      <c r="AD10" s="158" t="s">
        <v>1825</v>
      </c>
      <c r="AE10" s="165">
        <v>5759</v>
      </c>
    </row>
    <row r="11" spans="3:31" x14ac:dyDescent="0.3">
      <c r="C11" s="166" t="s">
        <v>1846</v>
      </c>
      <c r="D11" s="165">
        <v>622576</v>
      </c>
      <c r="E11" s="165">
        <v>1141</v>
      </c>
      <c r="F11" s="165">
        <v>623717</v>
      </c>
      <c r="J11" s="165"/>
      <c r="L11" s="167">
        <v>4070</v>
      </c>
      <c r="M11" s="165">
        <v>72</v>
      </c>
      <c r="W11" s="158" t="s">
        <v>1825</v>
      </c>
      <c r="X11" s="165">
        <v>64901</v>
      </c>
    </row>
    <row r="12" spans="3:31" x14ac:dyDescent="0.3">
      <c r="C12" s="166" t="s">
        <v>1853</v>
      </c>
      <c r="D12" s="165">
        <v>360273</v>
      </c>
      <c r="E12" s="165"/>
      <c r="F12" s="165">
        <v>360273</v>
      </c>
      <c r="J12" s="165"/>
      <c r="L12" s="167">
        <v>4110</v>
      </c>
      <c r="M12" s="165">
        <v>13383</v>
      </c>
    </row>
    <row r="13" spans="3:31" x14ac:dyDescent="0.3">
      <c r="C13" s="159">
        <v>75212</v>
      </c>
      <c r="D13" s="165">
        <v>675</v>
      </c>
      <c r="E13" s="165"/>
      <c r="F13" s="165">
        <v>675</v>
      </c>
      <c r="J13" s="165"/>
      <c r="L13" s="167">
        <v>4120</v>
      </c>
      <c r="M13" s="165">
        <v>1907</v>
      </c>
    </row>
    <row r="14" spans="3:31" x14ac:dyDescent="0.3">
      <c r="C14" s="166" t="s">
        <v>1846</v>
      </c>
      <c r="D14" s="165">
        <v>675</v>
      </c>
      <c r="E14" s="165"/>
      <c r="F14" s="165">
        <v>675</v>
      </c>
      <c r="J14" s="165"/>
      <c r="L14" s="158" t="s">
        <v>1825</v>
      </c>
      <c r="M14" s="165">
        <v>94125</v>
      </c>
    </row>
    <row r="15" spans="3:31" x14ac:dyDescent="0.3">
      <c r="C15" s="158" t="s">
        <v>1825</v>
      </c>
      <c r="D15" s="165">
        <v>1656452</v>
      </c>
      <c r="E15" s="165">
        <v>1141</v>
      </c>
      <c r="F15" s="165">
        <v>1657593</v>
      </c>
      <c r="J15" s="165"/>
      <c r="M15"/>
    </row>
    <row r="16" spans="3:31" x14ac:dyDescent="0.3">
      <c r="J16" s="165"/>
      <c r="M16"/>
    </row>
    <row r="17" spans="3:23" x14ac:dyDescent="0.3">
      <c r="J17" s="165"/>
      <c r="M17"/>
    </row>
    <row r="18" spans="3:23" x14ac:dyDescent="0.3">
      <c r="J18" s="165"/>
      <c r="M18"/>
    </row>
    <row r="19" spans="3:23" x14ac:dyDescent="0.3">
      <c r="J19" s="165"/>
      <c r="M19"/>
    </row>
    <row r="20" spans="3:23" x14ac:dyDescent="0.3">
      <c r="J20" s="165"/>
      <c r="M20"/>
    </row>
    <row r="21" spans="3:23" x14ac:dyDescent="0.3">
      <c r="J21" s="165"/>
      <c r="M21"/>
    </row>
    <row r="22" spans="3:23" x14ac:dyDescent="0.3">
      <c r="J22" s="165"/>
      <c r="M22"/>
    </row>
    <row r="23" spans="3:23" x14ac:dyDescent="0.3">
      <c r="J23" s="165"/>
      <c r="M23"/>
    </row>
    <row r="24" spans="3:23" x14ac:dyDescent="0.3">
      <c r="J24" s="165"/>
      <c r="L24" s="158"/>
    </row>
    <row r="25" spans="3:23" x14ac:dyDescent="0.3">
      <c r="J25" s="165"/>
      <c r="L25" s="170" t="s">
        <v>1847</v>
      </c>
    </row>
    <row r="26" spans="3:23" x14ac:dyDescent="0.3">
      <c r="D26" s="165"/>
      <c r="J26" s="165"/>
      <c r="L26">
        <v>4010</v>
      </c>
      <c r="M26" s="165">
        <v>8062000</v>
      </c>
      <c r="N26" s="168"/>
    </row>
    <row r="27" spans="3:23" x14ac:dyDescent="0.3">
      <c r="C27" s="157" t="s">
        <v>1821</v>
      </c>
      <c r="D27" s="157" t="s">
        <v>1849</v>
      </c>
      <c r="J27" s="165"/>
      <c r="L27">
        <v>4020</v>
      </c>
      <c r="M27" s="165">
        <v>64035000</v>
      </c>
      <c r="N27" s="168"/>
      <c r="S27">
        <v>4010</v>
      </c>
      <c r="T27" s="165">
        <v>8062000</v>
      </c>
      <c r="U27" s="168"/>
    </row>
    <row r="28" spans="3:23" x14ac:dyDescent="0.3">
      <c r="C28" s="157" t="s">
        <v>1820</v>
      </c>
      <c r="D28" s="171" t="s">
        <v>1848</v>
      </c>
      <c r="E28" s="171" t="s">
        <v>1850</v>
      </c>
      <c r="F28" s="172" t="s">
        <v>1825</v>
      </c>
      <c r="J28" s="165"/>
      <c r="L28">
        <v>4040</v>
      </c>
      <c r="M28" s="165">
        <v>5759000</v>
      </c>
      <c r="N28" s="168"/>
      <c r="S28">
        <v>4020</v>
      </c>
      <c r="T28" s="165">
        <v>64035000</v>
      </c>
      <c r="U28" s="168"/>
    </row>
    <row r="29" spans="3:23" x14ac:dyDescent="0.3">
      <c r="C29" s="158">
        <v>27</v>
      </c>
      <c r="D29" s="165">
        <v>1656452</v>
      </c>
      <c r="E29" s="165">
        <v>1141</v>
      </c>
      <c r="F29" s="165">
        <v>1657593</v>
      </c>
      <c r="J29" s="165"/>
      <c r="M29" s="169">
        <f>SUM(M26:M28)</f>
        <v>77856000</v>
      </c>
      <c r="N29" s="168"/>
      <c r="S29">
        <v>4040</v>
      </c>
      <c r="T29" s="165">
        <v>5759000</v>
      </c>
      <c r="U29" s="168"/>
    </row>
    <row r="30" spans="3:23" x14ac:dyDescent="0.3">
      <c r="C30" s="159">
        <v>72003</v>
      </c>
      <c r="D30" s="165">
        <v>250000</v>
      </c>
      <c r="E30" s="165"/>
      <c r="F30" s="165">
        <v>250000</v>
      </c>
      <c r="J30" s="165"/>
      <c r="M30"/>
      <c r="N30" s="168">
        <v>2.4500000000000001E-2</v>
      </c>
      <c r="O30" s="165">
        <f>M29*N30</f>
        <v>1907472</v>
      </c>
      <c r="P30" s="165">
        <v>1907</v>
      </c>
      <c r="T30" s="165">
        <f>SUM(T27:T29)</f>
        <v>77856000</v>
      </c>
      <c r="U30" s="168"/>
    </row>
    <row r="31" spans="3:23" x14ac:dyDescent="0.3">
      <c r="C31" s="159">
        <v>75001</v>
      </c>
      <c r="D31" s="165">
        <v>1405777</v>
      </c>
      <c r="E31" s="165">
        <v>1141</v>
      </c>
      <c r="F31" s="165">
        <v>1406918</v>
      </c>
      <c r="J31" s="165"/>
      <c r="M31"/>
      <c r="N31" s="168">
        <v>0.1719</v>
      </c>
      <c r="O31" s="165">
        <f>M29*N31</f>
        <v>13383446.4</v>
      </c>
      <c r="P31" s="165">
        <v>13383</v>
      </c>
      <c r="U31" s="168">
        <v>2.4500000000000001E-2</v>
      </c>
      <c r="V31" s="165">
        <f>T30*U31</f>
        <v>1907472</v>
      </c>
      <c r="W31" s="165">
        <v>1907</v>
      </c>
    </row>
    <row r="32" spans="3:23" x14ac:dyDescent="0.3">
      <c r="C32" s="159">
        <v>75212</v>
      </c>
      <c r="D32" s="165">
        <v>675</v>
      </c>
      <c r="E32" s="165"/>
      <c r="F32" s="165">
        <v>675</v>
      </c>
      <c r="J32" s="165"/>
      <c r="M32"/>
      <c r="U32" s="168">
        <v>0.1719</v>
      </c>
      <c r="V32" s="165">
        <f>T30*U32</f>
        <v>13383446.4</v>
      </c>
      <c r="W32" s="165">
        <v>13383</v>
      </c>
    </row>
    <row r="33" spans="3:16" x14ac:dyDescent="0.3">
      <c r="C33" s="158" t="s">
        <v>1825</v>
      </c>
      <c r="D33" s="165">
        <v>1656452</v>
      </c>
      <c r="E33" s="165">
        <v>1141</v>
      </c>
      <c r="F33" s="165">
        <v>1657593</v>
      </c>
      <c r="J33" s="165"/>
      <c r="M33"/>
    </row>
    <row r="34" spans="3:16" x14ac:dyDescent="0.3">
      <c r="J34" s="165"/>
      <c r="L34" s="170" t="s">
        <v>1839</v>
      </c>
      <c r="M34"/>
    </row>
    <row r="35" spans="3:16" x14ac:dyDescent="0.3">
      <c r="J35" s="165"/>
      <c r="L35">
        <v>4010</v>
      </c>
      <c r="M35" s="165">
        <v>11324000</v>
      </c>
    </row>
    <row r="36" spans="3:16" x14ac:dyDescent="0.3">
      <c r="J36" s="165"/>
      <c r="L36">
        <v>4040</v>
      </c>
      <c r="M36" s="165">
        <v>918000</v>
      </c>
    </row>
    <row r="37" spans="3:16" x14ac:dyDescent="0.3">
      <c r="J37" s="165"/>
      <c r="M37" s="169">
        <f>SUM(M35:M36)</f>
        <v>12242000</v>
      </c>
    </row>
    <row r="38" spans="3:16" x14ac:dyDescent="0.3">
      <c r="J38" s="165"/>
      <c r="M38"/>
      <c r="N38" s="168">
        <v>2.4500000000000001E-2</v>
      </c>
      <c r="O38" s="165">
        <f>M37*N38</f>
        <v>299929</v>
      </c>
      <c r="P38" s="165">
        <v>300</v>
      </c>
    </row>
    <row r="39" spans="3:16" x14ac:dyDescent="0.3">
      <c r="J39" s="165"/>
      <c r="M39"/>
      <c r="N39" s="168">
        <v>0.1719</v>
      </c>
      <c r="O39" s="165">
        <f>M37*N39</f>
        <v>2104399.7999999998</v>
      </c>
      <c r="P39" s="165">
        <v>2104</v>
      </c>
    </row>
    <row r="40" spans="3:16" x14ac:dyDescent="0.3">
      <c r="J40" s="165"/>
      <c r="M40"/>
    </row>
    <row r="41" spans="3:16" x14ac:dyDescent="0.3">
      <c r="J41" s="165"/>
      <c r="M41"/>
    </row>
    <row r="42" spans="3:16" x14ac:dyDescent="0.3">
      <c r="J42" s="165"/>
      <c r="M42"/>
    </row>
    <row r="43" spans="3:16" x14ac:dyDescent="0.3">
      <c r="J43" s="165"/>
      <c r="M43"/>
    </row>
    <row r="44" spans="3:16" x14ac:dyDescent="0.3">
      <c r="J44" s="165"/>
      <c r="M44"/>
    </row>
    <row r="45" spans="3:16" x14ac:dyDescent="0.3">
      <c r="J45" s="165"/>
      <c r="M45"/>
    </row>
    <row r="46" spans="3:16" x14ac:dyDescent="0.3">
      <c r="J46" s="165"/>
      <c r="M46"/>
    </row>
    <row r="47" spans="3:16" x14ac:dyDescent="0.3">
      <c r="J47" s="165"/>
      <c r="M47"/>
    </row>
    <row r="48" spans="3:16" x14ac:dyDescent="0.3">
      <c r="D48" s="165"/>
      <c r="J48" s="165"/>
    </row>
    <row r="49" spans="3:15" x14ac:dyDescent="0.3">
      <c r="C49" s="157" t="s">
        <v>1821</v>
      </c>
      <c r="D49" s="157" t="s">
        <v>1849</v>
      </c>
      <c r="J49" s="165"/>
      <c r="L49" s="157" t="s">
        <v>1821</v>
      </c>
      <c r="M49" s="157" t="s">
        <v>1849</v>
      </c>
    </row>
    <row r="50" spans="3:15" x14ac:dyDescent="0.3">
      <c r="C50" s="157" t="s">
        <v>1820</v>
      </c>
      <c r="D50" s="171" t="s">
        <v>1848</v>
      </c>
      <c r="E50" s="171" t="s">
        <v>1850</v>
      </c>
      <c r="F50" s="172" t="s">
        <v>1825</v>
      </c>
      <c r="J50" s="165"/>
      <c r="L50" s="157" t="s">
        <v>1820</v>
      </c>
      <c r="M50" s="171" t="s">
        <v>1848</v>
      </c>
      <c r="N50" s="171" t="s">
        <v>1850</v>
      </c>
      <c r="O50" s="172" t="s">
        <v>1825</v>
      </c>
    </row>
    <row r="51" spans="3:15" x14ac:dyDescent="0.3">
      <c r="C51" s="158">
        <v>27</v>
      </c>
      <c r="D51" s="165">
        <v>78835</v>
      </c>
      <c r="E51" s="165">
        <v>941</v>
      </c>
      <c r="F51" s="165">
        <v>79776</v>
      </c>
      <c r="J51" s="165"/>
      <c r="L51" s="158">
        <v>27</v>
      </c>
      <c r="M51" s="165">
        <v>15290</v>
      </c>
      <c r="N51" s="165">
        <v>186</v>
      </c>
      <c r="O51" s="165">
        <v>15476</v>
      </c>
    </row>
    <row r="52" spans="3:15" x14ac:dyDescent="0.3">
      <c r="C52" s="159">
        <v>75001</v>
      </c>
      <c r="D52" s="165">
        <v>78835</v>
      </c>
      <c r="E52" s="165">
        <v>941</v>
      </c>
      <c r="F52" s="165">
        <v>79776</v>
      </c>
      <c r="J52" s="165"/>
      <c r="L52" s="159">
        <v>75001</v>
      </c>
      <c r="M52" s="165">
        <v>15290</v>
      </c>
      <c r="N52" s="165">
        <v>186</v>
      </c>
      <c r="O52" s="165">
        <v>15476</v>
      </c>
    </row>
    <row r="53" spans="3:15" x14ac:dyDescent="0.3">
      <c r="C53" s="166">
        <v>4010</v>
      </c>
      <c r="D53" s="165">
        <v>8062</v>
      </c>
      <c r="E53" s="165"/>
      <c r="F53" s="165">
        <v>8062</v>
      </c>
      <c r="J53" s="165"/>
      <c r="L53" s="166">
        <v>4110</v>
      </c>
      <c r="M53" s="165">
        <v>13383</v>
      </c>
      <c r="N53" s="165"/>
      <c r="O53" s="165">
        <v>13383</v>
      </c>
    </row>
    <row r="54" spans="3:15" x14ac:dyDescent="0.3">
      <c r="C54" s="166">
        <v>4020</v>
      </c>
      <c r="D54" s="165">
        <v>64035</v>
      </c>
      <c r="E54" s="165"/>
      <c r="F54" s="165">
        <v>64035</v>
      </c>
      <c r="J54" s="165"/>
      <c r="L54" s="166">
        <v>4111</v>
      </c>
      <c r="N54" s="165">
        <v>163</v>
      </c>
      <c r="O54" s="165">
        <v>163</v>
      </c>
    </row>
    <row r="55" spans="3:15" x14ac:dyDescent="0.3">
      <c r="C55" s="166">
        <v>4021</v>
      </c>
      <c r="D55" s="165"/>
      <c r="E55" s="165">
        <v>866</v>
      </c>
      <c r="F55" s="165">
        <v>866</v>
      </c>
      <c r="J55" s="165"/>
      <c r="L55" s="166">
        <v>4120</v>
      </c>
      <c r="M55" s="165">
        <v>1907</v>
      </c>
      <c r="N55" s="165"/>
      <c r="O55" s="165">
        <v>1907</v>
      </c>
    </row>
    <row r="56" spans="3:15" x14ac:dyDescent="0.3">
      <c r="C56" s="166">
        <v>4040</v>
      </c>
      <c r="D56" s="165">
        <v>5759</v>
      </c>
      <c r="E56" s="165"/>
      <c r="F56" s="165">
        <v>5759</v>
      </c>
      <c r="J56" s="165"/>
      <c r="L56" s="166">
        <v>4121</v>
      </c>
      <c r="N56" s="165">
        <v>23</v>
      </c>
      <c r="O56" s="165">
        <v>23</v>
      </c>
    </row>
    <row r="57" spans="3:15" x14ac:dyDescent="0.3">
      <c r="C57" s="166">
        <v>4041</v>
      </c>
      <c r="D57" s="165"/>
      <c r="E57" s="165">
        <v>75</v>
      </c>
      <c r="F57" s="165">
        <v>75</v>
      </c>
      <c r="J57" s="165"/>
      <c r="L57" s="158" t="s">
        <v>1825</v>
      </c>
      <c r="M57" s="165">
        <v>15290</v>
      </c>
      <c r="N57" s="165">
        <v>186</v>
      </c>
      <c r="O57" s="165">
        <v>15476</v>
      </c>
    </row>
    <row r="58" spans="3:15" x14ac:dyDescent="0.3">
      <c r="C58" s="166">
        <v>4050</v>
      </c>
      <c r="D58" s="165">
        <v>907</v>
      </c>
      <c r="E58" s="165"/>
      <c r="F58" s="165">
        <v>907</v>
      </c>
      <c r="J58" s="165"/>
      <c r="M58"/>
    </row>
    <row r="59" spans="3:15" x14ac:dyDescent="0.3">
      <c r="C59" s="166">
        <v>4070</v>
      </c>
      <c r="D59" s="165">
        <v>72</v>
      </c>
      <c r="E59" s="165"/>
      <c r="F59" s="165">
        <v>72</v>
      </c>
      <c r="J59" s="165"/>
      <c r="M59"/>
    </row>
    <row r="60" spans="3:15" x14ac:dyDescent="0.3">
      <c r="C60" s="158" t="s">
        <v>1825</v>
      </c>
      <c r="D60" s="165">
        <v>78835</v>
      </c>
      <c r="E60" s="165">
        <v>941</v>
      </c>
      <c r="F60" s="165">
        <v>79776</v>
      </c>
      <c r="J60" s="165"/>
      <c r="M60"/>
    </row>
    <row r="61" spans="3:15" x14ac:dyDescent="0.3">
      <c r="J61" s="165"/>
      <c r="M61"/>
    </row>
    <row r="62" spans="3:15" x14ac:dyDescent="0.3">
      <c r="J62" s="165"/>
      <c r="M62"/>
    </row>
    <row r="63" spans="3:15" x14ac:dyDescent="0.3">
      <c r="J63" s="165"/>
      <c r="M63"/>
    </row>
    <row r="64" spans="3:15" x14ac:dyDescent="0.3">
      <c r="J64" s="165"/>
      <c r="M64"/>
    </row>
    <row r="65" spans="10:13" x14ac:dyDescent="0.3">
      <c r="J65" s="165"/>
      <c r="M65"/>
    </row>
    <row r="66" spans="10:13" x14ac:dyDescent="0.3">
      <c r="J66" s="165"/>
      <c r="M66"/>
    </row>
    <row r="67" spans="10:13" x14ac:dyDescent="0.3">
      <c r="J67" s="165"/>
      <c r="M67"/>
    </row>
    <row r="68" spans="10:13" x14ac:dyDescent="0.3">
      <c r="J68" s="165"/>
      <c r="M68"/>
    </row>
    <row r="69" spans="10:13" x14ac:dyDescent="0.3">
      <c r="J69" s="165"/>
      <c r="M69"/>
    </row>
    <row r="70" spans="10:13" x14ac:dyDescent="0.3">
      <c r="J70" s="165"/>
      <c r="M70"/>
    </row>
    <row r="71" spans="10:13" x14ac:dyDescent="0.3">
      <c r="J71" s="165"/>
      <c r="M71"/>
    </row>
    <row r="72" spans="10:13" x14ac:dyDescent="0.3">
      <c r="J72" s="165"/>
      <c r="M72"/>
    </row>
    <row r="73" spans="10:13" x14ac:dyDescent="0.3">
      <c r="J73" s="165"/>
      <c r="M73"/>
    </row>
    <row r="74" spans="10:13" x14ac:dyDescent="0.3">
      <c r="J74" s="165"/>
      <c r="M74"/>
    </row>
    <row r="75" spans="10:13" x14ac:dyDescent="0.3">
      <c r="J75" s="165"/>
      <c r="M75"/>
    </row>
    <row r="76" spans="10:13" x14ac:dyDescent="0.3">
      <c r="J76" s="165"/>
      <c r="M76"/>
    </row>
    <row r="77" spans="10:13" x14ac:dyDescent="0.3">
      <c r="J77" s="165"/>
      <c r="M77"/>
    </row>
    <row r="78" spans="10:13" x14ac:dyDescent="0.3">
      <c r="J78" s="165"/>
      <c r="M78"/>
    </row>
    <row r="79" spans="10:13" x14ac:dyDescent="0.3">
      <c r="J79" s="165"/>
      <c r="M79"/>
    </row>
    <row r="80" spans="10:13" x14ac:dyDescent="0.3">
      <c r="J80" s="165"/>
      <c r="M80"/>
    </row>
    <row r="81" spans="10:13" x14ac:dyDescent="0.3">
      <c r="J81" s="165"/>
      <c r="M81"/>
    </row>
    <row r="82" spans="10:13" x14ac:dyDescent="0.3">
      <c r="J82" s="165"/>
      <c r="M82"/>
    </row>
    <row r="83" spans="10:13" x14ac:dyDescent="0.3">
      <c r="J83" s="165"/>
      <c r="M83"/>
    </row>
    <row r="84" spans="10:13" x14ac:dyDescent="0.3">
      <c r="J84" s="165"/>
      <c r="M84"/>
    </row>
    <row r="85" spans="10:13" x14ac:dyDescent="0.3">
      <c r="J85" s="165"/>
      <c r="M85"/>
    </row>
    <row r="86" spans="10:13" x14ac:dyDescent="0.3">
      <c r="J86" s="165"/>
      <c r="M86"/>
    </row>
    <row r="87" spans="10:13" x14ac:dyDescent="0.3">
      <c r="J87" s="165"/>
      <c r="M87"/>
    </row>
    <row r="88" spans="10:13" x14ac:dyDescent="0.3">
      <c r="J88" s="165"/>
      <c r="M88"/>
    </row>
    <row r="89" spans="10:13" x14ac:dyDescent="0.3">
      <c r="J89" s="165"/>
      <c r="M89"/>
    </row>
    <row r="90" spans="10:13" x14ac:dyDescent="0.3">
      <c r="J90" s="165"/>
      <c r="M90"/>
    </row>
    <row r="91" spans="10:13" x14ac:dyDescent="0.3">
      <c r="J91" s="165"/>
      <c r="M91"/>
    </row>
    <row r="92" spans="10:13" x14ac:dyDescent="0.3">
      <c r="J92" s="165"/>
      <c r="M92"/>
    </row>
    <row r="93" spans="10:13" x14ac:dyDescent="0.3">
      <c r="J93" s="165"/>
      <c r="M93"/>
    </row>
    <row r="94" spans="10:13" x14ac:dyDescent="0.3">
      <c r="J94" s="165"/>
      <c r="M94"/>
    </row>
    <row r="95" spans="10:13" x14ac:dyDescent="0.3">
      <c r="J95" s="165"/>
      <c r="M95"/>
    </row>
    <row r="96" spans="10:13" x14ac:dyDescent="0.3">
      <c r="J96" s="165"/>
      <c r="M96"/>
    </row>
    <row r="97" spans="10:13" x14ac:dyDescent="0.3">
      <c r="J97" s="165"/>
      <c r="M97"/>
    </row>
    <row r="98" spans="10:13" x14ac:dyDescent="0.3">
      <c r="J98" s="165"/>
      <c r="M98"/>
    </row>
    <row r="99" spans="10:13" x14ac:dyDescent="0.3">
      <c r="J99" s="165"/>
      <c r="M99"/>
    </row>
    <row r="100" spans="10:13" x14ac:dyDescent="0.3">
      <c r="J100" s="165"/>
      <c r="M100"/>
    </row>
    <row r="101" spans="10:13" x14ac:dyDescent="0.3">
      <c r="J101" s="165"/>
      <c r="M101"/>
    </row>
    <row r="102" spans="10:13" x14ac:dyDescent="0.3">
      <c r="J102" s="165"/>
      <c r="M102"/>
    </row>
    <row r="103" spans="10:13" x14ac:dyDescent="0.3">
      <c r="J103" s="165"/>
      <c r="M103"/>
    </row>
    <row r="104" spans="10:13" x14ac:dyDescent="0.3">
      <c r="J104" s="165"/>
      <c r="M104"/>
    </row>
    <row r="105" spans="10:13" x14ac:dyDescent="0.3">
      <c r="J105" s="165"/>
      <c r="M105"/>
    </row>
    <row r="106" spans="10:13" x14ac:dyDescent="0.3">
      <c r="J106" s="165"/>
      <c r="M106"/>
    </row>
    <row r="107" spans="10:13" x14ac:dyDescent="0.3">
      <c r="J107" s="165"/>
      <c r="M107"/>
    </row>
    <row r="108" spans="10:13" x14ac:dyDescent="0.3">
      <c r="J108" s="165"/>
      <c r="M108"/>
    </row>
    <row r="109" spans="10:13" x14ac:dyDescent="0.3">
      <c r="J109" s="165"/>
      <c r="M109"/>
    </row>
    <row r="110" spans="10:13" x14ac:dyDescent="0.3">
      <c r="J110" s="165"/>
      <c r="M110"/>
    </row>
    <row r="111" spans="10:13" x14ac:dyDescent="0.3">
      <c r="J111" s="165"/>
      <c r="M111"/>
    </row>
    <row r="112" spans="10:13" x14ac:dyDescent="0.3">
      <c r="J112" s="165"/>
      <c r="M112"/>
    </row>
    <row r="113" spans="10:13" x14ac:dyDescent="0.3">
      <c r="J113" s="165"/>
      <c r="M113"/>
    </row>
    <row r="114" spans="10:13" x14ac:dyDescent="0.3">
      <c r="J114" s="165"/>
      <c r="M114"/>
    </row>
    <row r="115" spans="10:13" x14ac:dyDescent="0.3">
      <c r="J115" s="165"/>
      <c r="M115"/>
    </row>
    <row r="116" spans="10:13" x14ac:dyDescent="0.3">
      <c r="J116" s="165"/>
      <c r="M116"/>
    </row>
    <row r="117" spans="10:13" x14ac:dyDescent="0.3">
      <c r="J117" s="165"/>
      <c r="M117"/>
    </row>
    <row r="118" spans="10:13" x14ac:dyDescent="0.3">
      <c r="J118" s="165"/>
      <c r="M118"/>
    </row>
    <row r="119" spans="10:13" x14ac:dyDescent="0.3">
      <c r="J119" s="165"/>
      <c r="M119"/>
    </row>
    <row r="120" spans="10:13" x14ac:dyDescent="0.3">
      <c r="J120" s="165"/>
      <c r="M120"/>
    </row>
    <row r="121" spans="10:13" x14ac:dyDescent="0.3">
      <c r="J121" s="165"/>
      <c r="M121"/>
    </row>
    <row r="122" spans="10:13" x14ac:dyDescent="0.3">
      <c r="J122" s="165"/>
      <c r="M122"/>
    </row>
    <row r="123" spans="10:13" x14ac:dyDescent="0.3">
      <c r="J123" s="165"/>
      <c r="M123"/>
    </row>
    <row r="124" spans="10:13" x14ac:dyDescent="0.3">
      <c r="J124" s="165"/>
      <c r="M124"/>
    </row>
    <row r="125" spans="10:13" x14ac:dyDescent="0.3">
      <c r="J125" s="165"/>
      <c r="M125"/>
    </row>
    <row r="126" spans="10:13" x14ac:dyDescent="0.3">
      <c r="J126" s="165"/>
      <c r="M126"/>
    </row>
    <row r="127" spans="10:13" x14ac:dyDescent="0.3">
      <c r="J127" s="165"/>
      <c r="M127"/>
    </row>
    <row r="128" spans="10:13" x14ac:dyDescent="0.3">
      <c r="J128" s="165"/>
      <c r="M128"/>
    </row>
    <row r="129" spans="10:13" x14ac:dyDescent="0.3">
      <c r="J129" s="165"/>
      <c r="M129"/>
    </row>
    <row r="130" spans="10:13" x14ac:dyDescent="0.3">
      <c r="J130" s="165"/>
      <c r="M130"/>
    </row>
    <row r="131" spans="10:13" x14ac:dyDescent="0.3">
      <c r="J131" s="165"/>
      <c r="M131"/>
    </row>
    <row r="132" spans="10:13" x14ac:dyDescent="0.3">
      <c r="J132" s="165"/>
      <c r="M132"/>
    </row>
    <row r="133" spans="10:13" x14ac:dyDescent="0.3">
      <c r="J133" s="165"/>
      <c r="M133"/>
    </row>
    <row r="134" spans="10:13" x14ac:dyDescent="0.3">
      <c r="J134" s="165"/>
      <c r="M134"/>
    </row>
    <row r="135" spans="10:13" x14ac:dyDescent="0.3">
      <c r="J135" s="165"/>
      <c r="M135"/>
    </row>
    <row r="136" spans="10:13" x14ac:dyDescent="0.3">
      <c r="J136" s="165"/>
      <c r="M136"/>
    </row>
    <row r="137" spans="10:13" x14ac:dyDescent="0.3">
      <c r="J137" s="165"/>
      <c r="M137"/>
    </row>
    <row r="138" spans="10:13" x14ac:dyDescent="0.3">
      <c r="J138" s="165"/>
      <c r="M138"/>
    </row>
    <row r="139" spans="10:13" x14ac:dyDescent="0.3">
      <c r="J139" s="165"/>
      <c r="M139"/>
    </row>
    <row r="140" spans="10:13" x14ac:dyDescent="0.3">
      <c r="J140" s="165"/>
      <c r="M140"/>
    </row>
    <row r="141" spans="10:13" x14ac:dyDescent="0.3">
      <c r="J141" s="165"/>
      <c r="M141"/>
    </row>
    <row r="142" spans="10:13" x14ac:dyDescent="0.3">
      <c r="J142" s="165"/>
      <c r="M142"/>
    </row>
    <row r="143" spans="10:13" x14ac:dyDescent="0.3">
      <c r="J143" s="165"/>
      <c r="M143"/>
    </row>
    <row r="144" spans="10:13" x14ac:dyDescent="0.3">
      <c r="J144" s="165"/>
      <c r="M144"/>
    </row>
    <row r="145" spans="10:13" x14ac:dyDescent="0.3">
      <c r="J145" s="165"/>
      <c r="M145"/>
    </row>
    <row r="146" spans="10:13" x14ac:dyDescent="0.3">
      <c r="J146" s="165"/>
      <c r="M146"/>
    </row>
    <row r="147" spans="10:13" x14ac:dyDescent="0.3">
      <c r="J147" s="165"/>
      <c r="M147"/>
    </row>
    <row r="148" spans="10:13" x14ac:dyDescent="0.3">
      <c r="J148" s="165"/>
      <c r="M148"/>
    </row>
    <row r="149" spans="10:13" x14ac:dyDescent="0.3">
      <c r="J149" s="165"/>
      <c r="M149"/>
    </row>
    <row r="150" spans="10:13" x14ac:dyDescent="0.3">
      <c r="J150" s="165"/>
      <c r="M150"/>
    </row>
    <row r="151" spans="10:13" x14ac:dyDescent="0.3">
      <c r="J151" s="165"/>
      <c r="M151"/>
    </row>
    <row r="152" spans="10:13" x14ac:dyDescent="0.3">
      <c r="J152" s="165"/>
      <c r="M152"/>
    </row>
    <row r="153" spans="10:13" x14ac:dyDescent="0.3">
      <c r="J153" s="165"/>
    </row>
    <row r="154" spans="10:13" x14ac:dyDescent="0.3">
      <c r="J154" s="165"/>
    </row>
    <row r="155" spans="10:13" x14ac:dyDescent="0.3">
      <c r="J155" s="165"/>
    </row>
    <row r="156" spans="10:13" x14ac:dyDescent="0.3">
      <c r="J156" s="165"/>
    </row>
    <row r="157" spans="10:13" x14ac:dyDescent="0.3">
      <c r="J157" s="165"/>
    </row>
    <row r="158" spans="10:13" x14ac:dyDescent="0.3">
      <c r="J158" s="165"/>
    </row>
    <row r="159" spans="10:13" x14ac:dyDescent="0.3">
      <c r="J159" s="165"/>
    </row>
    <row r="160" spans="10:13" x14ac:dyDescent="0.3">
      <c r="J160" s="165"/>
    </row>
    <row r="161" spans="10:10" x14ac:dyDescent="0.3">
      <c r="J161" s="165"/>
    </row>
    <row r="162" spans="10:10" x14ac:dyDescent="0.3">
      <c r="J162" s="165"/>
    </row>
    <row r="163" spans="10:10" x14ac:dyDescent="0.3">
      <c r="J163" s="165"/>
    </row>
    <row r="164" spans="10:10" x14ac:dyDescent="0.3">
      <c r="J164" s="165"/>
    </row>
    <row r="165" spans="10:10" x14ac:dyDescent="0.3">
      <c r="J165" s="165"/>
    </row>
    <row r="166" spans="10:10" x14ac:dyDescent="0.3">
      <c r="J166" s="165"/>
    </row>
    <row r="167" spans="10:10" x14ac:dyDescent="0.3">
      <c r="J167" s="165"/>
    </row>
    <row r="168" spans="10:10" x14ac:dyDescent="0.3">
      <c r="J168" s="165"/>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CD0CB-E2D7-4301-A1A6-AB18EF1BE665}">
  <dimension ref="A3:K30"/>
  <sheetViews>
    <sheetView workbookViewId="0">
      <selection activeCell="F33" sqref="F33"/>
    </sheetView>
  </sheetViews>
  <sheetFormatPr defaultRowHeight="14.4" x14ac:dyDescent="0.3"/>
  <cols>
    <col min="1" max="1" width="18.44140625" bestFit="1" customWidth="1"/>
    <col min="2" max="2" width="17.88671875" style="228" bestFit="1" customWidth="1"/>
    <col min="3" max="3" width="11.5546875" style="228" hidden="1" customWidth="1"/>
    <col min="4" max="4" width="14.44140625" style="228" hidden="1" customWidth="1"/>
    <col min="5" max="5" width="14.44140625" style="228" bestFit="1" customWidth="1"/>
    <col min="6" max="6" width="14.6640625" style="165" customWidth="1"/>
    <col min="7" max="7" width="16.5546875" style="165" bestFit="1" customWidth="1"/>
    <col min="8" max="8" width="11.5546875" style="165" bestFit="1" customWidth="1"/>
    <col min="9" max="9" width="20" style="228" customWidth="1"/>
    <col min="10" max="10" width="14.44140625" style="228" bestFit="1" customWidth="1"/>
    <col min="11" max="11" width="13.6640625" style="226" bestFit="1" customWidth="1"/>
    <col min="12" max="12" width="21.33203125" bestFit="1" customWidth="1"/>
    <col min="13" max="13" width="14.6640625" bestFit="1" customWidth="1"/>
    <col min="14" max="14" width="15.5546875" bestFit="1" customWidth="1"/>
    <col min="15" max="15" width="236.6640625" bestFit="1" customWidth="1"/>
    <col min="16" max="16" width="159.6640625" bestFit="1" customWidth="1"/>
    <col min="17" max="17" width="152.88671875" bestFit="1" customWidth="1"/>
    <col min="18" max="18" width="15.33203125" bestFit="1" customWidth="1"/>
    <col min="19" max="19" width="12" bestFit="1" customWidth="1"/>
    <col min="20" max="21" width="21.109375" bestFit="1" customWidth="1"/>
    <col min="22" max="22" width="14.6640625" bestFit="1" customWidth="1"/>
    <col min="23" max="23" width="15.5546875" bestFit="1" customWidth="1"/>
    <col min="24" max="24" width="236.6640625" bestFit="1" customWidth="1"/>
    <col min="25" max="25" width="159.6640625" bestFit="1" customWidth="1"/>
    <col min="26" max="26" width="152.88671875" bestFit="1" customWidth="1"/>
    <col min="27" max="27" width="15.33203125" bestFit="1" customWidth="1"/>
    <col min="28" max="28" width="12" bestFit="1" customWidth="1"/>
    <col min="29" max="31" width="21.109375" bestFit="1" customWidth="1"/>
    <col min="32" max="32" width="15.5546875" bestFit="1" customWidth="1"/>
    <col min="33" max="33" width="236.6640625" bestFit="1" customWidth="1"/>
    <col min="34" max="34" width="159.6640625" bestFit="1" customWidth="1"/>
    <col min="35" max="35" width="152.88671875" bestFit="1" customWidth="1"/>
    <col min="36" max="36" width="15.33203125" bestFit="1" customWidth="1"/>
    <col min="37" max="37" width="12" bestFit="1" customWidth="1"/>
    <col min="38" max="41" width="21.109375" bestFit="1" customWidth="1"/>
  </cols>
  <sheetData>
    <row r="3" spans="1:11" x14ac:dyDescent="0.3">
      <c r="A3" s="157" t="s">
        <v>1945</v>
      </c>
      <c r="B3" s="227" t="s">
        <v>1849</v>
      </c>
      <c r="C3" s="165"/>
      <c r="D3" s="165"/>
      <c r="E3"/>
      <c r="F3"/>
      <c r="G3"/>
      <c r="H3"/>
      <c r="I3"/>
      <c r="J3"/>
      <c r="K3"/>
    </row>
    <row r="4" spans="1:11" x14ac:dyDescent="0.3">
      <c r="A4" s="157" t="s">
        <v>1820</v>
      </c>
      <c r="B4" s="165" t="s">
        <v>1944</v>
      </c>
      <c r="C4" s="165" t="s">
        <v>1830</v>
      </c>
      <c r="D4" s="165" t="s">
        <v>1825</v>
      </c>
      <c r="E4"/>
      <c r="F4"/>
      <c r="G4"/>
      <c r="H4"/>
      <c r="I4"/>
      <c r="J4"/>
      <c r="K4"/>
    </row>
    <row r="5" spans="1:11" x14ac:dyDescent="0.3">
      <c r="A5" s="158">
        <v>27</v>
      </c>
      <c r="B5" s="231">
        <v>2453522.1523333332</v>
      </c>
      <c r="C5" s="165">
        <v>1605985.1523333334</v>
      </c>
      <c r="D5" s="165">
        <v>4059507.3046666668</v>
      </c>
      <c r="E5"/>
      <c r="F5"/>
      <c r="G5"/>
      <c r="H5"/>
      <c r="I5"/>
      <c r="J5"/>
      <c r="K5"/>
    </row>
    <row r="6" spans="1:11" x14ac:dyDescent="0.3">
      <c r="A6" s="159">
        <v>72003</v>
      </c>
      <c r="B6" s="165">
        <v>250000</v>
      </c>
      <c r="C6" s="165"/>
      <c r="D6" s="165">
        <v>250000</v>
      </c>
      <c r="E6"/>
      <c r="F6"/>
      <c r="G6"/>
      <c r="H6"/>
      <c r="I6"/>
      <c r="J6"/>
      <c r="K6"/>
    </row>
    <row r="7" spans="1:11" x14ac:dyDescent="0.3">
      <c r="A7" s="166" t="s">
        <v>1894</v>
      </c>
      <c r="B7" s="165">
        <v>250000</v>
      </c>
      <c r="C7" s="165"/>
      <c r="D7" s="165">
        <v>250000</v>
      </c>
      <c r="E7"/>
      <c r="F7"/>
      <c r="G7"/>
      <c r="H7"/>
      <c r="I7"/>
      <c r="J7"/>
      <c r="K7"/>
    </row>
    <row r="8" spans="1:11" x14ac:dyDescent="0.3">
      <c r="A8" s="159">
        <v>75001</v>
      </c>
      <c r="B8" s="165">
        <v>2203522.1523333332</v>
      </c>
      <c r="C8" s="165">
        <v>1605985.1523333334</v>
      </c>
      <c r="D8" s="165">
        <v>3809507.3046666668</v>
      </c>
      <c r="E8"/>
      <c r="F8"/>
      <c r="G8"/>
      <c r="H8"/>
      <c r="I8"/>
      <c r="J8"/>
      <c r="K8"/>
    </row>
    <row r="9" spans="1:11" x14ac:dyDescent="0.3">
      <c r="A9" s="166" t="s">
        <v>1888</v>
      </c>
      <c r="B9" s="165">
        <v>60046</v>
      </c>
      <c r="C9" s="165">
        <v>60046</v>
      </c>
      <c r="D9" s="165">
        <v>120092</v>
      </c>
      <c r="E9"/>
      <c r="F9"/>
      <c r="G9"/>
      <c r="H9"/>
      <c r="I9"/>
      <c r="J9"/>
      <c r="K9"/>
    </row>
    <row r="10" spans="1:11" x14ac:dyDescent="0.3">
      <c r="A10" s="166" t="s">
        <v>1937</v>
      </c>
      <c r="B10" s="165">
        <v>117257.15233333333</v>
      </c>
      <c r="C10" s="165">
        <v>117257.15233333333</v>
      </c>
      <c r="D10" s="165">
        <v>234514.30466666666</v>
      </c>
      <c r="E10"/>
      <c r="F10"/>
      <c r="G10"/>
      <c r="H10"/>
      <c r="I10"/>
      <c r="J10"/>
      <c r="K10"/>
    </row>
    <row r="11" spans="1:11" x14ac:dyDescent="0.3">
      <c r="A11" s="166" t="s">
        <v>1887</v>
      </c>
      <c r="B11" s="165">
        <v>4278</v>
      </c>
      <c r="C11" s="165">
        <v>4284</v>
      </c>
      <c r="D11" s="165">
        <v>8562</v>
      </c>
      <c r="E11"/>
      <c r="F11"/>
      <c r="G11"/>
      <c r="H11"/>
      <c r="I11"/>
      <c r="J11"/>
      <c r="K11"/>
    </row>
    <row r="12" spans="1:11" x14ac:dyDescent="0.3">
      <c r="A12" s="166" t="s">
        <v>1882</v>
      </c>
      <c r="B12" s="165">
        <v>12242</v>
      </c>
      <c r="C12" s="165">
        <v>12242</v>
      </c>
      <c r="D12" s="165">
        <v>24484</v>
      </c>
      <c r="E12"/>
      <c r="F12"/>
      <c r="G12"/>
      <c r="H12"/>
      <c r="I12"/>
      <c r="J12"/>
      <c r="K12"/>
    </row>
    <row r="13" spans="1:11" x14ac:dyDescent="0.3">
      <c r="A13" s="166" t="s">
        <v>1854</v>
      </c>
      <c r="B13" s="165">
        <v>1233</v>
      </c>
      <c r="C13" s="165">
        <v>1233</v>
      </c>
      <c r="D13" s="165">
        <v>2466</v>
      </c>
      <c r="E13"/>
      <c r="F13"/>
      <c r="G13"/>
      <c r="H13"/>
      <c r="I13"/>
      <c r="J13"/>
      <c r="K13"/>
    </row>
    <row r="14" spans="1:11" x14ac:dyDescent="0.3">
      <c r="A14" s="166" t="s">
        <v>1889</v>
      </c>
      <c r="B14" s="165">
        <v>65379</v>
      </c>
      <c r="C14" s="165">
        <v>131219</v>
      </c>
      <c r="D14" s="165">
        <v>196598</v>
      </c>
      <c r="E14"/>
      <c r="F14"/>
      <c r="G14"/>
      <c r="H14"/>
      <c r="I14"/>
      <c r="J14"/>
      <c r="K14"/>
    </row>
    <row r="15" spans="1:11" x14ac:dyDescent="0.3">
      <c r="A15" s="166" t="s">
        <v>1893</v>
      </c>
      <c r="B15" s="231">
        <v>103349</v>
      </c>
      <c r="C15" s="165">
        <v>110349</v>
      </c>
      <c r="D15" s="165">
        <v>213698</v>
      </c>
      <c r="E15"/>
      <c r="F15"/>
      <c r="G15"/>
      <c r="H15"/>
      <c r="I15"/>
      <c r="J15"/>
      <c r="K15"/>
    </row>
    <row r="16" spans="1:11" x14ac:dyDescent="0.3">
      <c r="A16" s="166" t="s">
        <v>1894</v>
      </c>
      <c r="B16" s="231">
        <v>389272</v>
      </c>
      <c r="C16" s="165">
        <v>639358</v>
      </c>
      <c r="D16" s="165">
        <v>1028630</v>
      </c>
      <c r="E16"/>
      <c r="F16"/>
      <c r="G16"/>
      <c r="H16"/>
      <c r="I16"/>
      <c r="J16"/>
      <c r="K16"/>
    </row>
    <row r="17" spans="1:11" x14ac:dyDescent="0.3">
      <c r="A17" s="166" t="s">
        <v>1892</v>
      </c>
      <c r="B17" s="165">
        <v>7832</v>
      </c>
      <c r="C17" s="165">
        <v>7832</v>
      </c>
      <c r="D17" s="165">
        <v>15664</v>
      </c>
      <c r="E17"/>
      <c r="F17"/>
      <c r="G17"/>
      <c r="H17"/>
      <c r="I17"/>
      <c r="J17"/>
      <c r="K17"/>
    </row>
    <row r="18" spans="1:11" x14ac:dyDescent="0.3">
      <c r="A18" s="166" t="s">
        <v>1884</v>
      </c>
      <c r="B18" s="231">
        <v>182</v>
      </c>
      <c r="C18" s="165">
        <v>352</v>
      </c>
      <c r="D18" s="165">
        <v>534</v>
      </c>
      <c r="E18"/>
      <c r="F18"/>
      <c r="G18"/>
      <c r="H18"/>
      <c r="I18"/>
      <c r="J18"/>
      <c r="K18"/>
    </row>
    <row r="19" spans="1:11" x14ac:dyDescent="0.3">
      <c r="A19" s="166" t="s">
        <v>1938</v>
      </c>
      <c r="B19" s="165">
        <v>25427</v>
      </c>
      <c r="C19" s="165">
        <v>25427</v>
      </c>
      <c r="D19" s="165">
        <v>50854</v>
      </c>
      <c r="E19"/>
      <c r="F19"/>
      <c r="G19"/>
      <c r="H19"/>
      <c r="I19"/>
      <c r="J19"/>
      <c r="K19"/>
    </row>
    <row r="20" spans="1:11" x14ac:dyDescent="0.3">
      <c r="A20" s="166" t="s">
        <v>1879</v>
      </c>
      <c r="B20" s="165">
        <v>281786</v>
      </c>
      <c r="C20" s="165">
        <v>464826</v>
      </c>
      <c r="D20" s="165">
        <v>746612</v>
      </c>
      <c r="E20"/>
      <c r="F20"/>
      <c r="G20"/>
      <c r="H20"/>
      <c r="I20"/>
      <c r="J20"/>
      <c r="K20"/>
    </row>
    <row r="21" spans="1:11" x14ac:dyDescent="0.3">
      <c r="A21" s="166" t="s">
        <v>1939</v>
      </c>
      <c r="B21" s="231">
        <v>1103679</v>
      </c>
      <c r="C21" s="165"/>
      <c r="D21" s="165">
        <v>1103679</v>
      </c>
      <c r="E21"/>
      <c r="F21"/>
      <c r="G21"/>
      <c r="H21"/>
      <c r="I21"/>
      <c r="J21"/>
      <c r="K21"/>
    </row>
    <row r="22" spans="1:11" x14ac:dyDescent="0.3">
      <c r="A22" s="166" t="s">
        <v>1936</v>
      </c>
      <c r="B22" s="165">
        <v>5791</v>
      </c>
      <c r="C22" s="165">
        <v>5791</v>
      </c>
      <c r="D22" s="165">
        <v>11582</v>
      </c>
      <c r="E22"/>
      <c r="F22"/>
      <c r="G22"/>
      <c r="H22"/>
      <c r="I22"/>
      <c r="J22"/>
      <c r="K22"/>
    </row>
    <row r="23" spans="1:11" x14ac:dyDescent="0.3">
      <c r="A23" s="166" t="s">
        <v>1890</v>
      </c>
      <c r="B23" s="165">
        <v>25769</v>
      </c>
      <c r="C23" s="165">
        <v>25769</v>
      </c>
      <c r="D23" s="165">
        <v>51538</v>
      </c>
      <c r="E23"/>
      <c r="F23"/>
      <c r="G23"/>
      <c r="H23"/>
      <c r="I23"/>
      <c r="J23"/>
      <c r="K23"/>
    </row>
    <row r="24" spans="1:11" x14ac:dyDescent="0.3">
      <c r="A24" s="158">
        <v>83</v>
      </c>
      <c r="B24" s="165">
        <v>80086.64</v>
      </c>
      <c r="C24" s="165"/>
      <c r="D24" s="165">
        <v>80086.64</v>
      </c>
      <c r="E24"/>
      <c r="F24"/>
      <c r="G24"/>
      <c r="H24"/>
      <c r="I24"/>
      <c r="J24"/>
      <c r="K24"/>
    </row>
    <row r="25" spans="1:11" x14ac:dyDescent="0.3">
      <c r="A25" s="159">
        <v>75818</v>
      </c>
      <c r="B25" s="165">
        <v>80086.64</v>
      </c>
      <c r="C25" s="165"/>
      <c r="D25" s="165">
        <v>80086.64</v>
      </c>
      <c r="E25"/>
      <c r="F25"/>
      <c r="G25"/>
      <c r="H25"/>
      <c r="I25"/>
      <c r="J25"/>
      <c r="K25"/>
    </row>
    <row r="26" spans="1:11" x14ac:dyDescent="0.3">
      <c r="A26" s="166" t="s">
        <v>1894</v>
      </c>
      <c r="B26" s="165">
        <v>86</v>
      </c>
      <c r="C26" s="165"/>
      <c r="D26" s="165">
        <v>86</v>
      </c>
      <c r="E26"/>
      <c r="F26"/>
      <c r="G26"/>
      <c r="H26"/>
      <c r="I26"/>
      <c r="J26"/>
      <c r="K26"/>
    </row>
    <row r="27" spans="1:11" x14ac:dyDescent="0.3">
      <c r="A27" s="166" t="s">
        <v>1939</v>
      </c>
      <c r="B27" s="165">
        <v>80000.639999999999</v>
      </c>
      <c r="C27" s="165"/>
      <c r="D27" s="165">
        <v>80000.639999999999</v>
      </c>
      <c r="E27"/>
      <c r="F27"/>
      <c r="G27"/>
      <c r="H27"/>
      <c r="I27"/>
      <c r="J27"/>
      <c r="K27"/>
    </row>
    <row r="28" spans="1:11" x14ac:dyDescent="0.3">
      <c r="A28" s="158" t="s">
        <v>1825</v>
      </c>
      <c r="B28" s="165">
        <v>2533608.7923333333</v>
      </c>
      <c r="C28" s="165">
        <v>1605985.1523333334</v>
      </c>
      <c r="D28" s="165">
        <v>4139593.9446666669</v>
      </c>
      <c r="E28"/>
      <c r="F28"/>
      <c r="G28"/>
      <c r="H28"/>
      <c r="I28"/>
      <c r="J28"/>
      <c r="K28"/>
    </row>
    <row r="29" spans="1:11" x14ac:dyDescent="0.3">
      <c r="B29"/>
      <c r="C29"/>
      <c r="D29"/>
      <c r="E29"/>
      <c r="F29"/>
      <c r="G29"/>
      <c r="H29"/>
      <c r="I29"/>
      <c r="J29"/>
      <c r="K29"/>
    </row>
    <row r="30" spans="1:11" x14ac:dyDescent="0.3">
      <c r="B30"/>
      <c r="C30"/>
      <c r="D30"/>
      <c r="E30"/>
      <c r="F30"/>
      <c r="G30"/>
      <c r="H30"/>
      <c r="I30"/>
      <c r="J30"/>
      <c r="K30"/>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E8FAF-8B05-4D3F-B342-2E75E0DDA73D}">
  <sheetPr>
    <tabColor theme="8"/>
  </sheetPr>
  <dimension ref="A2:BB49"/>
  <sheetViews>
    <sheetView view="pageBreakPreview" zoomScale="115" zoomScaleNormal="100" zoomScaleSheetLayoutView="115" workbookViewId="0">
      <pane xSplit="3" ySplit="2" topLeftCell="D33" activePane="bottomRight" state="frozen"/>
      <selection pane="topRight" activeCell="C1" sqref="C1"/>
      <selection pane="bottomLeft" activeCell="A2" sqref="A2"/>
      <selection pane="bottomRight" activeCell="N38" sqref="N38"/>
    </sheetView>
  </sheetViews>
  <sheetFormatPr defaultColWidth="8.6640625" defaultRowHeight="14.4" x14ac:dyDescent="0.3"/>
  <cols>
    <col min="1" max="1" width="9.88671875" style="173" customWidth="1"/>
    <col min="2" max="2" width="7.88671875" style="173" customWidth="1"/>
    <col min="3" max="3" width="12.44140625" style="173" customWidth="1"/>
    <col min="4" max="4" width="8" style="173" customWidth="1"/>
    <col min="5" max="5" width="12.109375" style="173" hidden="1" customWidth="1"/>
    <col min="6" max="6" width="7.109375" style="173" hidden="1" customWidth="1"/>
    <col min="7" max="7" width="12.5546875" style="173" hidden="1" customWidth="1"/>
    <col min="8" max="8" width="12.6640625" style="173" hidden="1" customWidth="1"/>
    <col min="9" max="9" width="9" style="173" hidden="1" customWidth="1"/>
    <col min="10" max="10" width="6.5546875" style="173" hidden="1" customWidth="1"/>
    <col min="11" max="11" width="14.88671875" style="173" hidden="1" customWidth="1"/>
    <col min="12" max="12" width="10.44140625" style="175" hidden="1" customWidth="1"/>
    <col min="13" max="13" width="49" style="173" customWidth="1"/>
    <col min="14" max="14" width="129.88671875" style="195" customWidth="1"/>
    <col min="15" max="18" width="10.33203125" style="196" customWidth="1"/>
    <col min="19" max="19" width="31.44140625" style="173" hidden="1" customWidth="1"/>
    <col min="20" max="20" width="16.88671875" style="173" hidden="1" customWidth="1"/>
    <col min="21" max="21" width="30" style="173" hidden="1" customWidth="1"/>
    <col min="22" max="22" width="28.44140625" style="173" hidden="1" customWidth="1"/>
    <col min="23" max="23" width="38.88671875" style="197" hidden="1" customWidth="1"/>
    <col min="24" max="24" width="72.109375" style="195" customWidth="1"/>
    <col min="26" max="27" width="21.33203125" style="176" bestFit="1" customWidth="1"/>
    <col min="28" max="28" width="13.6640625" style="176" customWidth="1"/>
    <col min="29" max="34" width="8.6640625" style="176"/>
    <col min="35" max="54" width="8.6640625" style="174"/>
    <col min="55" max="16384" width="8.6640625" style="177"/>
  </cols>
  <sheetData>
    <row r="2" spans="1:54" s="189" customFormat="1" ht="57.6" x14ac:dyDescent="0.3">
      <c r="A2" s="186" t="s">
        <v>1878</v>
      </c>
      <c r="B2" s="186" t="s">
        <v>1866</v>
      </c>
      <c r="C2" s="186" t="s">
        <v>1867</v>
      </c>
      <c r="D2" s="186" t="s">
        <v>1868</v>
      </c>
      <c r="E2" s="186" t="s">
        <v>1860</v>
      </c>
      <c r="F2" s="186" t="s">
        <v>1856</v>
      </c>
      <c r="G2" s="186" t="s">
        <v>1857</v>
      </c>
      <c r="H2" s="186" t="s">
        <v>1859</v>
      </c>
      <c r="I2" s="186" t="s">
        <v>1869</v>
      </c>
      <c r="J2" s="186" t="s">
        <v>1870</v>
      </c>
      <c r="K2" s="186" t="s">
        <v>1885</v>
      </c>
      <c r="L2" s="187" t="s">
        <v>1875</v>
      </c>
      <c r="M2" s="186" t="s">
        <v>1865</v>
      </c>
      <c r="N2" s="186" t="s">
        <v>12</v>
      </c>
      <c r="O2" s="188" t="s">
        <v>1861</v>
      </c>
      <c r="P2" s="188" t="s">
        <v>1862</v>
      </c>
      <c r="Q2" s="188" t="s">
        <v>1863</v>
      </c>
      <c r="R2" s="188" t="s">
        <v>1864</v>
      </c>
      <c r="S2" s="186" t="s">
        <v>1886</v>
      </c>
      <c r="T2" s="187" t="s">
        <v>1891</v>
      </c>
      <c r="U2" s="186" t="s">
        <v>1871</v>
      </c>
      <c r="V2" s="186" t="s">
        <v>1940</v>
      </c>
      <c r="W2" s="198" t="s">
        <v>1876</v>
      </c>
      <c r="X2" s="186" t="s">
        <v>1872</v>
      </c>
    </row>
    <row r="3" spans="1:54" ht="120" customHeight="1" x14ac:dyDescent="0.3">
      <c r="A3" s="192">
        <v>27</v>
      </c>
      <c r="B3" s="192">
        <v>75001</v>
      </c>
      <c r="C3" s="192" t="s">
        <v>1894</v>
      </c>
      <c r="D3" s="182"/>
      <c r="E3" s="183"/>
      <c r="F3" s="179" t="s">
        <v>1845</v>
      </c>
      <c r="G3" s="179" t="s">
        <v>1858</v>
      </c>
      <c r="H3" s="179" t="s">
        <v>1847</v>
      </c>
      <c r="I3" s="183" t="str">
        <f>LEFT(D3,1)</f>
        <v/>
      </c>
      <c r="J3" s="183" t="str">
        <f t="shared" ref="J3" si="0">RIGHT(D3,1)</f>
        <v/>
      </c>
      <c r="K3" s="179" t="s">
        <v>1874</v>
      </c>
      <c r="L3" s="180" t="str">
        <f t="shared" ref="L3:L15" si="1">LEFT(K3,11)</f>
        <v>2025.16.05.</v>
      </c>
      <c r="M3" s="179" t="s">
        <v>1895</v>
      </c>
      <c r="N3" s="178" t="s">
        <v>1941</v>
      </c>
      <c r="O3" s="193">
        <v>1650</v>
      </c>
      <c r="P3" s="193">
        <v>4600</v>
      </c>
      <c r="Q3" s="193">
        <v>5500</v>
      </c>
      <c r="R3" s="193">
        <v>6000</v>
      </c>
      <c r="S3" s="179" t="s">
        <v>1883</v>
      </c>
      <c r="T3" s="179"/>
      <c r="U3" s="179" t="s">
        <v>420</v>
      </c>
      <c r="V3" s="179" t="s">
        <v>420</v>
      </c>
      <c r="W3" s="179" t="s">
        <v>420</v>
      </c>
      <c r="X3" s="185"/>
      <c r="AB3" s="177"/>
      <c r="AC3" s="177"/>
      <c r="AD3" s="177"/>
      <c r="AE3" s="177"/>
      <c r="AF3" s="177"/>
      <c r="AG3" s="177"/>
      <c r="AH3" s="177"/>
      <c r="AI3" s="177"/>
      <c r="AZ3" s="177"/>
      <c r="BA3" s="177"/>
      <c r="BB3" s="177"/>
    </row>
    <row r="4" spans="1:54" ht="72" x14ac:dyDescent="0.3">
      <c r="A4" s="192">
        <v>27</v>
      </c>
      <c r="B4" s="192">
        <v>75001</v>
      </c>
      <c r="C4" s="192" t="s">
        <v>1894</v>
      </c>
      <c r="D4" s="180">
        <v>4020</v>
      </c>
      <c r="E4" s="179" t="s">
        <v>1896</v>
      </c>
      <c r="F4" s="179" t="s">
        <v>1845</v>
      </c>
      <c r="G4" s="179" t="s">
        <v>1858</v>
      </c>
      <c r="H4" s="179" t="s">
        <v>1847</v>
      </c>
      <c r="I4" s="179" t="str">
        <f t="shared" ref="I4:I9" si="2">LEFT(D4,1)</f>
        <v>4</v>
      </c>
      <c r="J4" s="179">
        <v>0</v>
      </c>
      <c r="K4" s="179" t="s">
        <v>1873</v>
      </c>
      <c r="L4" s="180" t="str">
        <f t="shared" si="1"/>
        <v>2025.16.05.</v>
      </c>
      <c r="M4" s="180" t="s">
        <v>1898</v>
      </c>
      <c r="N4" s="190" t="s">
        <v>1943</v>
      </c>
      <c r="O4" s="199">
        <v>300</v>
      </c>
      <c r="P4" s="199">
        <v>310</v>
      </c>
      <c r="Q4" s="199">
        <v>320</v>
      </c>
      <c r="R4" s="199">
        <v>330</v>
      </c>
      <c r="S4" s="179" t="s">
        <v>245</v>
      </c>
      <c r="T4" s="194"/>
      <c r="U4" s="179" t="s">
        <v>420</v>
      </c>
      <c r="V4" s="179" t="s">
        <v>420</v>
      </c>
      <c r="W4" s="179" t="s">
        <v>420</v>
      </c>
      <c r="X4" s="185" t="s">
        <v>1899</v>
      </c>
      <c r="Z4" s="174"/>
      <c r="AA4" s="174"/>
      <c r="AB4" s="177"/>
      <c r="AC4" s="177"/>
      <c r="AD4" s="177"/>
      <c r="AE4" s="177"/>
      <c r="AF4" s="177"/>
      <c r="AG4" s="177"/>
      <c r="AH4" s="177"/>
      <c r="AI4" s="177"/>
      <c r="AZ4" s="177"/>
      <c r="BA4" s="177"/>
      <c r="BB4" s="177"/>
    </row>
    <row r="5" spans="1:54" ht="83.25" customHeight="1" x14ac:dyDescent="0.3">
      <c r="A5" s="192">
        <v>27</v>
      </c>
      <c r="B5" s="192">
        <v>75001</v>
      </c>
      <c r="C5" s="192" t="s">
        <v>1894</v>
      </c>
      <c r="D5" s="180">
        <v>4040</v>
      </c>
      <c r="E5" s="179" t="s">
        <v>1897</v>
      </c>
      <c r="F5" s="179" t="s">
        <v>1845</v>
      </c>
      <c r="G5" s="179" t="s">
        <v>1858</v>
      </c>
      <c r="H5" s="179" t="s">
        <v>1847</v>
      </c>
      <c r="I5" s="179" t="str">
        <f t="shared" si="2"/>
        <v>4</v>
      </c>
      <c r="J5" s="179">
        <v>0</v>
      </c>
      <c r="K5" s="179" t="s">
        <v>1873</v>
      </c>
      <c r="L5" s="180" t="str">
        <f t="shared" si="1"/>
        <v>2025.16.05.</v>
      </c>
      <c r="M5" s="180" t="s">
        <v>1900</v>
      </c>
      <c r="N5" s="190" t="s">
        <v>843</v>
      </c>
      <c r="O5" s="200">
        <v>32</v>
      </c>
      <c r="P5" s="199">
        <v>32</v>
      </c>
      <c r="Q5" s="199">
        <v>32</v>
      </c>
      <c r="R5" s="199">
        <v>32</v>
      </c>
      <c r="S5" s="179" t="s">
        <v>245</v>
      </c>
      <c r="T5" s="194"/>
      <c r="U5" s="179" t="s">
        <v>420</v>
      </c>
      <c r="V5" s="179" t="s">
        <v>420</v>
      </c>
      <c r="W5" s="179" t="s">
        <v>420</v>
      </c>
      <c r="X5" s="185" t="s">
        <v>1899</v>
      </c>
      <c r="Z5" s="174"/>
      <c r="AA5" s="174"/>
      <c r="AB5" s="177"/>
      <c r="AC5" s="177"/>
      <c r="AD5" s="177"/>
      <c r="AE5" s="177"/>
      <c r="AF5" s="177"/>
      <c r="AG5" s="177"/>
      <c r="AH5" s="177"/>
      <c r="AI5" s="177"/>
      <c r="AZ5" s="177"/>
      <c r="BA5" s="177"/>
      <c r="BB5" s="177"/>
    </row>
    <row r="6" spans="1:54" ht="86.25" customHeight="1" x14ac:dyDescent="0.3">
      <c r="A6" s="192">
        <v>27</v>
      </c>
      <c r="B6" s="192">
        <v>75001</v>
      </c>
      <c r="C6" s="192" t="s">
        <v>1894</v>
      </c>
      <c r="D6" s="180">
        <v>4110</v>
      </c>
      <c r="E6" s="179" t="s">
        <v>26</v>
      </c>
      <c r="F6" s="179" t="s">
        <v>1845</v>
      </c>
      <c r="G6" s="179" t="s">
        <v>1858</v>
      </c>
      <c r="H6" s="179" t="s">
        <v>1847</v>
      </c>
      <c r="I6" s="179" t="str">
        <f t="shared" si="2"/>
        <v>4</v>
      </c>
      <c r="J6" s="179">
        <v>0</v>
      </c>
      <c r="K6" s="179" t="s">
        <v>1873</v>
      </c>
      <c r="L6" s="180" t="str">
        <f t="shared" si="1"/>
        <v>2025.16.05.</v>
      </c>
      <c r="M6" s="180" t="s">
        <v>1901</v>
      </c>
      <c r="N6" s="190" t="s">
        <v>843</v>
      </c>
      <c r="O6" s="199">
        <v>100</v>
      </c>
      <c r="P6" s="199">
        <v>100</v>
      </c>
      <c r="Q6" s="199">
        <v>100</v>
      </c>
      <c r="R6" s="199">
        <v>100</v>
      </c>
      <c r="S6" s="179" t="s">
        <v>245</v>
      </c>
      <c r="T6" s="194"/>
      <c r="U6" s="179" t="s">
        <v>420</v>
      </c>
      <c r="V6" s="179" t="s">
        <v>420</v>
      </c>
      <c r="W6" s="179" t="s">
        <v>420</v>
      </c>
      <c r="X6" s="185" t="s">
        <v>1899</v>
      </c>
      <c r="Z6" s="174"/>
      <c r="AA6" s="174"/>
      <c r="AB6" s="177"/>
      <c r="AC6" s="177"/>
      <c r="AD6" s="177"/>
      <c r="AE6" s="177"/>
      <c r="AF6" s="177"/>
      <c r="AG6" s="177"/>
      <c r="AH6" s="177"/>
      <c r="AI6" s="177"/>
      <c r="AZ6" s="177"/>
      <c r="BA6" s="177"/>
      <c r="BB6" s="177"/>
    </row>
    <row r="7" spans="1:54" ht="90" customHeight="1" x14ac:dyDescent="0.3">
      <c r="A7" s="192">
        <v>27</v>
      </c>
      <c r="B7" s="192">
        <v>75001</v>
      </c>
      <c r="C7" s="192" t="s">
        <v>1894</v>
      </c>
      <c r="D7" s="180">
        <v>4120</v>
      </c>
      <c r="E7" s="179" t="s">
        <v>26</v>
      </c>
      <c r="F7" s="179" t="s">
        <v>1845</v>
      </c>
      <c r="G7" s="179" t="s">
        <v>1858</v>
      </c>
      <c r="H7" s="179" t="s">
        <v>1847</v>
      </c>
      <c r="I7" s="179" t="str">
        <f t="shared" si="2"/>
        <v>4</v>
      </c>
      <c r="J7" s="179">
        <v>0</v>
      </c>
      <c r="K7" s="179" t="s">
        <v>1873</v>
      </c>
      <c r="L7" s="180" t="str">
        <f t="shared" si="1"/>
        <v>2025.16.05.</v>
      </c>
      <c r="M7" s="180" t="s">
        <v>1902</v>
      </c>
      <c r="N7" s="190" t="s">
        <v>843</v>
      </c>
      <c r="O7" s="199">
        <v>4</v>
      </c>
      <c r="P7" s="199">
        <v>4</v>
      </c>
      <c r="Q7" s="199">
        <v>4</v>
      </c>
      <c r="R7" s="199">
        <v>4</v>
      </c>
      <c r="S7" s="179" t="s">
        <v>245</v>
      </c>
      <c r="T7" s="194"/>
      <c r="U7" s="179" t="s">
        <v>420</v>
      </c>
      <c r="V7" s="179" t="s">
        <v>420</v>
      </c>
      <c r="W7" s="179" t="s">
        <v>420</v>
      </c>
      <c r="X7" s="185" t="s">
        <v>1899</v>
      </c>
      <c r="Z7" s="174"/>
      <c r="AA7" s="174"/>
      <c r="AB7" s="177"/>
      <c r="AC7" s="177"/>
      <c r="AD7" s="177"/>
      <c r="AE7" s="177"/>
      <c r="AF7" s="177"/>
      <c r="AG7" s="177"/>
      <c r="AH7" s="177"/>
      <c r="AI7" s="177"/>
      <c r="AZ7" s="177"/>
      <c r="BA7" s="177"/>
      <c r="BB7" s="177"/>
    </row>
    <row r="8" spans="1:54" ht="86.25" customHeight="1" x14ac:dyDescent="0.3">
      <c r="A8" s="192">
        <v>27</v>
      </c>
      <c r="B8" s="192">
        <v>75001</v>
      </c>
      <c r="C8" s="192" t="s">
        <v>1894</v>
      </c>
      <c r="D8" s="180">
        <v>4120</v>
      </c>
      <c r="E8" s="179" t="s">
        <v>26</v>
      </c>
      <c r="F8" s="179" t="s">
        <v>1845</v>
      </c>
      <c r="G8" s="179" t="s">
        <v>1858</v>
      </c>
      <c r="H8" s="179" t="s">
        <v>1847</v>
      </c>
      <c r="I8" s="179" t="str">
        <f t="shared" si="2"/>
        <v>4</v>
      </c>
      <c r="J8" s="179">
        <v>0</v>
      </c>
      <c r="K8" s="179" t="s">
        <v>1873</v>
      </c>
      <c r="L8" s="180" t="str">
        <f t="shared" si="1"/>
        <v>2025.16.05.</v>
      </c>
      <c r="M8" s="180" t="s">
        <v>1903</v>
      </c>
      <c r="N8" s="190" t="s">
        <v>843</v>
      </c>
      <c r="O8" s="199">
        <v>6</v>
      </c>
      <c r="P8" s="199">
        <v>6</v>
      </c>
      <c r="Q8" s="199">
        <v>6</v>
      </c>
      <c r="R8" s="199">
        <v>6</v>
      </c>
      <c r="S8" s="179" t="s">
        <v>245</v>
      </c>
      <c r="T8" s="194"/>
      <c r="U8" s="179" t="s">
        <v>420</v>
      </c>
      <c r="V8" s="179" t="s">
        <v>420</v>
      </c>
      <c r="W8" s="179" t="s">
        <v>420</v>
      </c>
      <c r="X8" s="185" t="s">
        <v>1899</v>
      </c>
      <c r="Z8" s="174"/>
      <c r="AA8" s="174"/>
      <c r="AB8" s="177"/>
      <c r="AC8" s="177"/>
      <c r="AD8" s="177"/>
      <c r="AE8" s="177"/>
      <c r="AF8" s="177"/>
      <c r="AG8" s="177"/>
      <c r="AH8" s="177"/>
      <c r="AI8" s="177"/>
      <c r="AZ8" s="177"/>
      <c r="BA8" s="177"/>
      <c r="BB8" s="177"/>
    </row>
    <row r="9" spans="1:54" ht="87.75" customHeight="1" x14ac:dyDescent="0.3">
      <c r="A9" s="191">
        <v>27</v>
      </c>
      <c r="B9" s="192">
        <v>75001</v>
      </c>
      <c r="C9" s="191" t="s">
        <v>1894</v>
      </c>
      <c r="D9" s="180">
        <v>4710</v>
      </c>
      <c r="E9" s="179" t="s">
        <v>26</v>
      </c>
      <c r="F9" s="180" t="s">
        <v>1845</v>
      </c>
      <c r="G9" s="179" t="s">
        <v>1858</v>
      </c>
      <c r="H9" s="179" t="s">
        <v>1847</v>
      </c>
      <c r="I9" s="179" t="str">
        <f t="shared" si="2"/>
        <v>4</v>
      </c>
      <c r="J9" s="179" t="str">
        <f t="shared" ref="J9" si="3">RIGHT(D9,1)</f>
        <v>0</v>
      </c>
      <c r="K9" s="179" t="s">
        <v>1873</v>
      </c>
      <c r="L9" s="180" t="str">
        <f t="shared" si="1"/>
        <v>2025.16.05.</v>
      </c>
      <c r="M9" s="180" t="s">
        <v>946</v>
      </c>
      <c r="N9" s="190" t="s">
        <v>843</v>
      </c>
      <c r="O9" s="199">
        <v>6</v>
      </c>
      <c r="P9" s="199">
        <v>6</v>
      </c>
      <c r="Q9" s="199">
        <v>6</v>
      </c>
      <c r="R9" s="199">
        <v>6</v>
      </c>
      <c r="S9" s="179" t="s">
        <v>245</v>
      </c>
      <c r="T9" s="194"/>
      <c r="U9" s="179" t="s">
        <v>420</v>
      </c>
      <c r="V9" s="179" t="s">
        <v>420</v>
      </c>
      <c r="W9" s="179" t="s">
        <v>420</v>
      </c>
      <c r="X9" s="185" t="s">
        <v>1899</v>
      </c>
      <c r="Z9" s="174"/>
      <c r="AA9" s="174"/>
      <c r="AB9" s="177"/>
      <c r="AC9" s="177"/>
      <c r="AD9" s="177"/>
      <c r="AE9" s="177"/>
      <c r="AF9" s="177"/>
      <c r="AG9" s="177"/>
      <c r="AH9" s="177"/>
      <c r="AI9" s="177"/>
      <c r="AZ9" s="177"/>
      <c r="BA9" s="177"/>
      <c r="BB9" s="177"/>
    </row>
    <row r="10" spans="1:54" ht="73.5" customHeight="1" x14ac:dyDescent="0.3">
      <c r="A10" s="192">
        <v>27</v>
      </c>
      <c r="B10" s="192">
        <v>75001</v>
      </c>
      <c r="C10" s="192" t="s">
        <v>1894</v>
      </c>
      <c r="D10" s="180">
        <v>4020</v>
      </c>
      <c r="E10" s="179" t="s">
        <v>1896</v>
      </c>
      <c r="F10" s="179" t="s">
        <v>1845</v>
      </c>
      <c r="G10" s="179" t="s">
        <v>1858</v>
      </c>
      <c r="H10" s="179" t="s">
        <v>1847</v>
      </c>
      <c r="I10" s="179" t="str">
        <f t="shared" ref="I10:I45" si="4">LEFT(D10,1)</f>
        <v>4</v>
      </c>
      <c r="J10" s="179">
        <v>0</v>
      </c>
      <c r="K10" s="179" t="s">
        <v>1873</v>
      </c>
      <c r="L10" s="180" t="str">
        <f t="shared" si="1"/>
        <v>2025.16.05.</v>
      </c>
      <c r="M10" s="180" t="s">
        <v>952</v>
      </c>
      <c r="N10" s="190" t="s">
        <v>1946</v>
      </c>
      <c r="O10" s="199">
        <v>606</v>
      </c>
      <c r="P10" s="199">
        <v>649</v>
      </c>
      <c r="Q10" s="199">
        <v>694</v>
      </c>
      <c r="R10" s="199">
        <v>743</v>
      </c>
      <c r="S10" s="179" t="s">
        <v>245</v>
      </c>
      <c r="T10" s="194"/>
      <c r="U10" s="179" t="s">
        <v>420</v>
      </c>
      <c r="V10" s="179" t="s">
        <v>420</v>
      </c>
      <c r="W10" s="179" t="s">
        <v>420</v>
      </c>
      <c r="X10" s="185" t="s">
        <v>1904</v>
      </c>
      <c r="Z10" s="174"/>
      <c r="AA10" s="174"/>
      <c r="AB10" s="177"/>
      <c r="AC10" s="177"/>
      <c r="AD10" s="177"/>
      <c r="AE10" s="177"/>
      <c r="AF10" s="177"/>
      <c r="AG10" s="177"/>
      <c r="AH10" s="177"/>
      <c r="AI10" s="177"/>
      <c r="AZ10" s="177"/>
      <c r="BA10" s="177"/>
      <c r="BB10" s="177"/>
    </row>
    <row r="11" spans="1:54" ht="70.5" customHeight="1" x14ac:dyDescent="0.3">
      <c r="A11" s="192">
        <v>27</v>
      </c>
      <c r="B11" s="192">
        <v>75001</v>
      </c>
      <c r="C11" s="192" t="s">
        <v>1894</v>
      </c>
      <c r="D11" s="180">
        <v>4040</v>
      </c>
      <c r="E11" s="179" t="s">
        <v>1897</v>
      </c>
      <c r="F11" s="179" t="s">
        <v>1845</v>
      </c>
      <c r="G11" s="179" t="s">
        <v>1858</v>
      </c>
      <c r="H11" s="179" t="s">
        <v>1847</v>
      </c>
      <c r="I11" s="179" t="str">
        <f t="shared" si="4"/>
        <v>4</v>
      </c>
      <c r="J11" s="179">
        <v>0</v>
      </c>
      <c r="K11" s="179" t="s">
        <v>1873</v>
      </c>
      <c r="L11" s="180" t="str">
        <f t="shared" si="1"/>
        <v>2025.16.05.</v>
      </c>
      <c r="M11" s="180" t="s">
        <v>955</v>
      </c>
      <c r="N11" s="190" t="s">
        <v>1905</v>
      </c>
      <c r="O11" s="199">
        <v>0</v>
      </c>
      <c r="P11" s="199">
        <v>52</v>
      </c>
      <c r="Q11" s="199">
        <v>56</v>
      </c>
      <c r="R11" s="199">
        <v>59</v>
      </c>
      <c r="S11" s="179" t="s">
        <v>245</v>
      </c>
      <c r="T11" s="194"/>
      <c r="U11" s="179" t="s">
        <v>420</v>
      </c>
      <c r="V11" s="179" t="s">
        <v>420</v>
      </c>
      <c r="W11" s="179" t="s">
        <v>420</v>
      </c>
      <c r="X11" s="185" t="s">
        <v>1904</v>
      </c>
      <c r="Z11" s="174"/>
      <c r="AA11" s="174"/>
      <c r="AB11" s="177"/>
      <c r="AC11" s="177"/>
      <c r="AD11" s="177"/>
      <c r="AE11" s="177"/>
      <c r="AF11" s="177"/>
      <c r="AG11" s="177"/>
      <c r="AH11" s="177"/>
      <c r="AI11" s="177"/>
      <c r="AZ11" s="177"/>
      <c r="BA11" s="177"/>
      <c r="BB11" s="177"/>
    </row>
    <row r="12" spans="1:54" ht="72" customHeight="1" x14ac:dyDescent="0.3">
      <c r="A12" s="192">
        <v>27</v>
      </c>
      <c r="B12" s="192">
        <v>75001</v>
      </c>
      <c r="C12" s="192" t="s">
        <v>1894</v>
      </c>
      <c r="D12" s="180">
        <v>4110</v>
      </c>
      <c r="E12" s="179" t="s">
        <v>26</v>
      </c>
      <c r="F12" s="179" t="s">
        <v>1845</v>
      </c>
      <c r="G12" s="179" t="s">
        <v>1858</v>
      </c>
      <c r="H12" s="179" t="s">
        <v>1847</v>
      </c>
      <c r="I12" s="179" t="str">
        <f t="shared" si="4"/>
        <v>4</v>
      </c>
      <c r="J12" s="179">
        <v>0</v>
      </c>
      <c r="K12" s="179" t="s">
        <v>1873</v>
      </c>
      <c r="L12" s="180" t="str">
        <f t="shared" si="1"/>
        <v>2025.16.05.</v>
      </c>
      <c r="M12" s="180" t="s">
        <v>957</v>
      </c>
      <c r="N12" s="190" t="s">
        <v>1906</v>
      </c>
      <c r="O12" s="199">
        <v>105</v>
      </c>
      <c r="P12" s="199">
        <v>121</v>
      </c>
      <c r="Q12" s="199">
        <v>129</v>
      </c>
      <c r="R12" s="199">
        <v>138</v>
      </c>
      <c r="S12" s="179" t="s">
        <v>245</v>
      </c>
      <c r="T12" s="194"/>
      <c r="U12" s="179" t="s">
        <v>420</v>
      </c>
      <c r="V12" s="179" t="s">
        <v>420</v>
      </c>
      <c r="W12" s="179" t="s">
        <v>420</v>
      </c>
      <c r="X12" s="185" t="s">
        <v>1904</v>
      </c>
      <c r="Z12" s="174"/>
      <c r="AA12" s="174"/>
      <c r="AB12" s="177"/>
      <c r="AC12" s="177"/>
      <c r="AD12" s="177"/>
      <c r="AE12" s="177"/>
      <c r="AF12" s="177"/>
      <c r="AG12" s="177"/>
      <c r="AH12" s="177"/>
      <c r="AI12" s="177"/>
      <c r="AZ12" s="177"/>
      <c r="BA12" s="177"/>
      <c r="BB12" s="177"/>
    </row>
    <row r="13" spans="1:54" ht="73.5" customHeight="1" x14ac:dyDescent="0.3">
      <c r="A13" s="192">
        <v>27</v>
      </c>
      <c r="B13" s="192">
        <v>75001</v>
      </c>
      <c r="C13" s="192" t="s">
        <v>1894</v>
      </c>
      <c r="D13" s="180">
        <v>4120</v>
      </c>
      <c r="E13" s="179" t="s">
        <v>26</v>
      </c>
      <c r="F13" s="179" t="s">
        <v>1845</v>
      </c>
      <c r="G13" s="179" t="s">
        <v>1858</v>
      </c>
      <c r="H13" s="179" t="s">
        <v>1847</v>
      </c>
      <c r="I13" s="179" t="str">
        <f t="shared" si="4"/>
        <v>4</v>
      </c>
      <c r="J13" s="179">
        <v>0</v>
      </c>
      <c r="K13" s="179" t="s">
        <v>1873</v>
      </c>
      <c r="L13" s="180" t="str">
        <f t="shared" si="1"/>
        <v>2025.16.05.</v>
      </c>
      <c r="M13" s="180" t="s">
        <v>959</v>
      </c>
      <c r="N13" s="190" t="s">
        <v>1907</v>
      </c>
      <c r="O13" s="199">
        <v>7</v>
      </c>
      <c r="P13" s="199">
        <v>7</v>
      </c>
      <c r="Q13" s="199">
        <v>8</v>
      </c>
      <c r="R13" s="199">
        <v>9</v>
      </c>
      <c r="S13" s="179" t="s">
        <v>245</v>
      </c>
      <c r="T13" s="194"/>
      <c r="U13" s="179" t="s">
        <v>420</v>
      </c>
      <c r="V13" s="179" t="s">
        <v>420</v>
      </c>
      <c r="W13" s="179" t="s">
        <v>420</v>
      </c>
      <c r="X13" s="185" t="s">
        <v>1904</v>
      </c>
      <c r="Z13" s="174"/>
      <c r="AA13" s="174"/>
      <c r="AB13" s="177"/>
      <c r="AC13" s="177"/>
      <c r="AD13" s="177"/>
      <c r="AE13" s="177"/>
      <c r="AF13" s="177"/>
      <c r="AG13" s="177"/>
      <c r="AH13" s="177"/>
      <c r="AI13" s="177"/>
      <c r="AZ13" s="177"/>
      <c r="BA13" s="177"/>
      <c r="BB13" s="177"/>
    </row>
    <row r="14" spans="1:54" ht="69.75" customHeight="1" x14ac:dyDescent="0.3">
      <c r="A14" s="192">
        <v>27</v>
      </c>
      <c r="B14" s="192">
        <v>75001</v>
      </c>
      <c r="C14" s="192" t="s">
        <v>1894</v>
      </c>
      <c r="D14" s="180">
        <v>4120</v>
      </c>
      <c r="E14" s="179" t="s">
        <v>26</v>
      </c>
      <c r="F14" s="179" t="s">
        <v>1845</v>
      </c>
      <c r="G14" s="179" t="s">
        <v>1858</v>
      </c>
      <c r="H14" s="179" t="s">
        <v>1847</v>
      </c>
      <c r="I14" s="179" t="str">
        <f t="shared" si="4"/>
        <v>4</v>
      </c>
      <c r="J14" s="179">
        <v>0</v>
      </c>
      <c r="K14" s="179" t="s">
        <v>1873</v>
      </c>
      <c r="L14" s="180" t="str">
        <f t="shared" si="1"/>
        <v>2025.16.05.</v>
      </c>
      <c r="M14" s="180" t="s">
        <v>961</v>
      </c>
      <c r="N14" s="190" t="s">
        <v>1908</v>
      </c>
      <c r="O14" s="199">
        <v>9</v>
      </c>
      <c r="P14" s="199">
        <v>11</v>
      </c>
      <c r="Q14" s="199">
        <v>11</v>
      </c>
      <c r="R14" s="199">
        <v>12</v>
      </c>
      <c r="S14" s="179" t="s">
        <v>245</v>
      </c>
      <c r="T14" s="194"/>
      <c r="U14" s="179" t="s">
        <v>420</v>
      </c>
      <c r="V14" s="179" t="s">
        <v>420</v>
      </c>
      <c r="W14" s="179" t="s">
        <v>420</v>
      </c>
      <c r="X14" s="181" t="s">
        <v>1904</v>
      </c>
      <c r="Z14" s="174"/>
      <c r="AA14" s="174"/>
      <c r="AB14" s="177"/>
      <c r="AC14" s="177"/>
      <c r="AD14" s="177"/>
      <c r="AE14" s="177"/>
      <c r="AF14" s="177"/>
      <c r="AG14" s="177"/>
      <c r="AH14" s="177"/>
      <c r="AI14" s="177"/>
      <c r="AZ14" s="177"/>
      <c r="BA14" s="177"/>
      <c r="BB14" s="177"/>
    </row>
    <row r="15" spans="1:54" ht="75" customHeight="1" x14ac:dyDescent="0.3">
      <c r="A15" s="192">
        <v>27</v>
      </c>
      <c r="B15" s="192">
        <v>75001</v>
      </c>
      <c r="C15" s="192" t="s">
        <v>1894</v>
      </c>
      <c r="D15" s="180">
        <v>4710</v>
      </c>
      <c r="E15" s="179" t="s">
        <v>26</v>
      </c>
      <c r="F15" s="179" t="s">
        <v>1845</v>
      </c>
      <c r="G15" s="179" t="s">
        <v>1858</v>
      </c>
      <c r="H15" s="179" t="s">
        <v>1847</v>
      </c>
      <c r="I15" s="179" t="str">
        <f t="shared" si="4"/>
        <v>4</v>
      </c>
      <c r="J15" s="179">
        <v>0</v>
      </c>
      <c r="K15" s="179" t="s">
        <v>1873</v>
      </c>
      <c r="L15" s="180" t="str">
        <f t="shared" si="1"/>
        <v>2025.16.05.</v>
      </c>
      <c r="M15" s="180" t="s">
        <v>963</v>
      </c>
      <c r="N15" s="190" t="s">
        <v>1909</v>
      </c>
      <c r="O15" s="199">
        <v>10</v>
      </c>
      <c r="P15" s="199">
        <v>11</v>
      </c>
      <c r="Q15" s="199">
        <v>12</v>
      </c>
      <c r="R15" s="199">
        <v>13</v>
      </c>
      <c r="S15" s="179" t="s">
        <v>245</v>
      </c>
      <c r="T15" s="194"/>
      <c r="U15" s="179" t="s">
        <v>420</v>
      </c>
      <c r="V15" s="179" t="s">
        <v>420</v>
      </c>
      <c r="W15" s="179" t="s">
        <v>420</v>
      </c>
      <c r="X15" s="181" t="s">
        <v>1904</v>
      </c>
      <c r="Z15" s="174"/>
      <c r="AA15" s="174"/>
      <c r="AB15" s="177"/>
      <c r="AC15" s="177"/>
      <c r="AD15" s="177"/>
      <c r="AE15" s="177"/>
      <c r="AF15" s="177"/>
      <c r="AG15" s="177"/>
      <c r="AH15" s="177"/>
      <c r="AI15" s="177"/>
      <c r="AZ15" s="177"/>
      <c r="BA15" s="177"/>
      <c r="BB15" s="177"/>
    </row>
    <row r="16" spans="1:54" ht="53.25" customHeight="1" x14ac:dyDescent="0.3">
      <c r="A16" s="192">
        <v>27</v>
      </c>
      <c r="B16" s="192">
        <v>75001</v>
      </c>
      <c r="C16" s="192" t="s">
        <v>1894</v>
      </c>
      <c r="D16" s="180">
        <v>4020</v>
      </c>
      <c r="E16" s="179" t="s">
        <v>1896</v>
      </c>
      <c r="F16" s="179" t="s">
        <v>1845</v>
      </c>
      <c r="G16" s="179" t="s">
        <v>1858</v>
      </c>
      <c r="H16" s="179" t="s">
        <v>1847</v>
      </c>
      <c r="I16" s="179" t="str">
        <f t="shared" si="4"/>
        <v>4</v>
      </c>
      <c r="J16" s="179">
        <v>0</v>
      </c>
      <c r="K16" s="179" t="s">
        <v>1873</v>
      </c>
      <c r="L16" s="180" t="str">
        <f t="shared" ref="L16:L45" si="5">LEFT(K16,11)</f>
        <v>2025.16.05.</v>
      </c>
      <c r="M16" s="180" t="s">
        <v>978</v>
      </c>
      <c r="N16" s="190" t="s">
        <v>1947</v>
      </c>
      <c r="O16" s="199">
        <v>455</v>
      </c>
      <c r="P16" s="199">
        <v>487</v>
      </c>
      <c r="Q16" s="199">
        <v>521</v>
      </c>
      <c r="R16" s="199">
        <v>557</v>
      </c>
      <c r="S16" s="179" t="s">
        <v>245</v>
      </c>
      <c r="T16" s="194"/>
      <c r="U16" s="179" t="s">
        <v>420</v>
      </c>
      <c r="V16" s="179" t="s">
        <v>420</v>
      </c>
      <c r="W16" s="179" t="s">
        <v>420</v>
      </c>
      <c r="X16" s="181" t="s">
        <v>1904</v>
      </c>
      <c r="Z16" s="174"/>
      <c r="AA16" s="174"/>
      <c r="AB16" s="177"/>
      <c r="AC16" s="177"/>
      <c r="AD16" s="177"/>
      <c r="AE16" s="177"/>
      <c r="AF16" s="177"/>
      <c r="AG16" s="177"/>
      <c r="AH16" s="177"/>
      <c r="AI16" s="177"/>
      <c r="AZ16" s="177"/>
      <c r="BA16" s="177"/>
      <c r="BB16" s="177"/>
    </row>
    <row r="17" spans="1:54" ht="58.5" customHeight="1" x14ac:dyDescent="0.3">
      <c r="A17" s="192">
        <v>27</v>
      </c>
      <c r="B17" s="192">
        <v>75001</v>
      </c>
      <c r="C17" s="192" t="s">
        <v>1894</v>
      </c>
      <c r="D17" s="180">
        <v>4040</v>
      </c>
      <c r="E17" s="179" t="s">
        <v>1897</v>
      </c>
      <c r="F17" s="179" t="s">
        <v>1845</v>
      </c>
      <c r="G17" s="179" t="s">
        <v>1858</v>
      </c>
      <c r="H17" s="179" t="s">
        <v>1847</v>
      </c>
      <c r="I17" s="179" t="str">
        <f t="shared" si="4"/>
        <v>4</v>
      </c>
      <c r="J17" s="179">
        <v>0</v>
      </c>
      <c r="K17" s="179" t="s">
        <v>1873</v>
      </c>
      <c r="L17" s="180" t="str">
        <f t="shared" si="5"/>
        <v>2025.16.05.</v>
      </c>
      <c r="M17" s="180" t="s">
        <v>980</v>
      </c>
      <c r="N17" s="190" t="s">
        <v>1910</v>
      </c>
      <c r="O17" s="199">
        <v>0</v>
      </c>
      <c r="P17" s="199">
        <v>39</v>
      </c>
      <c r="Q17" s="199">
        <v>42</v>
      </c>
      <c r="R17" s="199">
        <v>45</v>
      </c>
      <c r="S17" s="179" t="s">
        <v>245</v>
      </c>
      <c r="T17" s="194"/>
      <c r="U17" s="179" t="s">
        <v>420</v>
      </c>
      <c r="V17" s="179" t="s">
        <v>420</v>
      </c>
      <c r="W17" s="179" t="s">
        <v>420</v>
      </c>
      <c r="X17" s="181" t="s">
        <v>1904</v>
      </c>
      <c r="Z17" s="174"/>
      <c r="AA17" s="174"/>
      <c r="AB17" s="177"/>
      <c r="AC17" s="177"/>
      <c r="AD17" s="177"/>
      <c r="AE17" s="177"/>
      <c r="AF17" s="177"/>
      <c r="AG17" s="177"/>
      <c r="AH17" s="177"/>
      <c r="AI17" s="177"/>
      <c r="AZ17" s="177"/>
      <c r="BA17" s="177"/>
      <c r="BB17" s="177"/>
    </row>
    <row r="18" spans="1:54" ht="43.2" x14ac:dyDescent="0.3">
      <c r="A18" s="192">
        <v>27</v>
      </c>
      <c r="B18" s="192">
        <v>75001</v>
      </c>
      <c r="C18" s="192" t="s">
        <v>1894</v>
      </c>
      <c r="D18" s="180">
        <v>4110</v>
      </c>
      <c r="E18" s="179" t="s">
        <v>26</v>
      </c>
      <c r="F18" s="179" t="s">
        <v>1845</v>
      </c>
      <c r="G18" s="179" t="s">
        <v>1858</v>
      </c>
      <c r="H18" s="179" t="s">
        <v>1847</v>
      </c>
      <c r="I18" s="179" t="str">
        <f t="shared" si="4"/>
        <v>4</v>
      </c>
      <c r="J18" s="179">
        <v>0</v>
      </c>
      <c r="K18" s="179" t="s">
        <v>1873</v>
      </c>
      <c r="L18" s="180" t="str">
        <f t="shared" si="5"/>
        <v>2025.16.05.</v>
      </c>
      <c r="M18" s="180" t="s">
        <v>982</v>
      </c>
      <c r="N18" s="190" t="s">
        <v>1935</v>
      </c>
      <c r="O18" s="199">
        <v>79</v>
      </c>
      <c r="P18" s="199">
        <v>91</v>
      </c>
      <c r="Q18" s="199">
        <v>97</v>
      </c>
      <c r="R18" s="199">
        <v>104</v>
      </c>
      <c r="S18" s="179" t="s">
        <v>245</v>
      </c>
      <c r="T18" s="194"/>
      <c r="U18" s="179" t="s">
        <v>420</v>
      </c>
      <c r="V18" s="179" t="s">
        <v>420</v>
      </c>
      <c r="W18" s="179" t="s">
        <v>420</v>
      </c>
      <c r="X18" s="181" t="s">
        <v>1904</v>
      </c>
      <c r="Z18" s="174"/>
      <c r="AA18" s="174"/>
      <c r="AB18" s="177"/>
      <c r="AC18" s="177"/>
      <c r="AD18" s="177"/>
      <c r="AE18" s="177"/>
      <c r="AF18" s="177"/>
      <c r="AG18" s="177"/>
      <c r="AH18" s="177"/>
      <c r="AI18" s="177"/>
      <c r="AZ18" s="177"/>
      <c r="BA18" s="177"/>
      <c r="BB18" s="177"/>
    </row>
    <row r="19" spans="1:54" ht="59.25" customHeight="1" x14ac:dyDescent="0.3">
      <c r="A19" s="192">
        <v>27</v>
      </c>
      <c r="B19" s="192">
        <v>75001</v>
      </c>
      <c r="C19" s="192" t="s">
        <v>1894</v>
      </c>
      <c r="D19" s="180">
        <v>4120</v>
      </c>
      <c r="E19" s="179" t="s">
        <v>26</v>
      </c>
      <c r="F19" s="179" t="s">
        <v>1845</v>
      </c>
      <c r="G19" s="179" t="s">
        <v>1858</v>
      </c>
      <c r="H19" s="179" t="s">
        <v>1847</v>
      </c>
      <c r="I19" s="179" t="str">
        <f t="shared" si="4"/>
        <v>4</v>
      </c>
      <c r="J19" s="179">
        <v>0</v>
      </c>
      <c r="K19" s="179" t="s">
        <v>1873</v>
      </c>
      <c r="L19" s="180" t="str">
        <f t="shared" si="5"/>
        <v>2025.16.05.</v>
      </c>
      <c r="M19" s="180" t="s">
        <v>984</v>
      </c>
      <c r="N19" s="190" t="s">
        <v>1911</v>
      </c>
      <c r="O19" s="199">
        <v>5</v>
      </c>
      <c r="P19" s="199">
        <v>6</v>
      </c>
      <c r="Q19" s="199">
        <v>6</v>
      </c>
      <c r="R19" s="199">
        <v>7</v>
      </c>
      <c r="S19" s="179" t="s">
        <v>245</v>
      </c>
      <c r="T19" s="194"/>
      <c r="U19" s="179" t="s">
        <v>420</v>
      </c>
      <c r="V19" s="179" t="s">
        <v>420</v>
      </c>
      <c r="W19" s="179" t="s">
        <v>420</v>
      </c>
      <c r="X19" s="181" t="s">
        <v>1904</v>
      </c>
      <c r="Z19" s="174"/>
      <c r="AA19" s="174"/>
      <c r="AB19" s="177"/>
      <c r="AC19" s="177"/>
      <c r="AD19" s="177"/>
      <c r="AE19" s="177"/>
      <c r="AF19" s="177"/>
      <c r="AG19" s="177"/>
      <c r="AH19" s="177"/>
      <c r="AI19" s="177"/>
      <c r="AZ19" s="177"/>
      <c r="BA19" s="177"/>
      <c r="BB19" s="177"/>
    </row>
    <row r="20" spans="1:54" ht="55.5" customHeight="1" x14ac:dyDescent="0.3">
      <c r="A20" s="192">
        <v>27</v>
      </c>
      <c r="B20" s="192">
        <v>75001</v>
      </c>
      <c r="C20" s="192" t="s">
        <v>1894</v>
      </c>
      <c r="D20" s="180">
        <v>4120</v>
      </c>
      <c r="E20" s="179" t="s">
        <v>26</v>
      </c>
      <c r="F20" s="179" t="s">
        <v>1845</v>
      </c>
      <c r="G20" s="179" t="s">
        <v>1858</v>
      </c>
      <c r="H20" s="179" t="s">
        <v>1847</v>
      </c>
      <c r="I20" s="179" t="str">
        <f t="shared" si="4"/>
        <v>4</v>
      </c>
      <c r="J20" s="179">
        <v>0</v>
      </c>
      <c r="K20" s="179" t="s">
        <v>1873</v>
      </c>
      <c r="L20" s="180" t="str">
        <f t="shared" si="5"/>
        <v>2025.16.05.</v>
      </c>
      <c r="M20" s="180" t="s">
        <v>986</v>
      </c>
      <c r="N20" s="190" t="s">
        <v>1912</v>
      </c>
      <c r="O20" s="199">
        <v>7</v>
      </c>
      <c r="P20" s="199">
        <v>8</v>
      </c>
      <c r="Q20" s="199">
        <v>9</v>
      </c>
      <c r="R20" s="199">
        <v>9</v>
      </c>
      <c r="S20" s="179" t="s">
        <v>245</v>
      </c>
      <c r="T20" s="194"/>
      <c r="U20" s="179" t="s">
        <v>420</v>
      </c>
      <c r="V20" s="179" t="s">
        <v>420</v>
      </c>
      <c r="W20" s="179" t="s">
        <v>420</v>
      </c>
      <c r="X20" s="181" t="s">
        <v>1904</v>
      </c>
      <c r="Z20" s="174"/>
      <c r="AA20" s="174"/>
      <c r="AB20" s="177"/>
      <c r="AC20" s="177"/>
      <c r="AD20" s="177"/>
      <c r="AE20" s="177"/>
      <c r="AF20" s="177"/>
      <c r="AG20" s="177"/>
      <c r="AH20" s="177"/>
      <c r="AI20" s="177"/>
      <c r="AZ20" s="177"/>
      <c r="BA20" s="177"/>
      <c r="BB20" s="177"/>
    </row>
    <row r="21" spans="1:54" ht="43.2" x14ac:dyDescent="0.3">
      <c r="A21" s="192">
        <v>27</v>
      </c>
      <c r="B21" s="192">
        <v>75001</v>
      </c>
      <c r="C21" s="192" t="s">
        <v>1894</v>
      </c>
      <c r="D21" s="180">
        <v>4710</v>
      </c>
      <c r="E21" s="179" t="s">
        <v>26</v>
      </c>
      <c r="F21" s="179" t="s">
        <v>1845</v>
      </c>
      <c r="G21" s="179" t="s">
        <v>1858</v>
      </c>
      <c r="H21" s="179" t="s">
        <v>1847</v>
      </c>
      <c r="I21" s="179" t="str">
        <f t="shared" si="4"/>
        <v>4</v>
      </c>
      <c r="J21" s="179">
        <v>0</v>
      </c>
      <c r="K21" s="179" t="s">
        <v>1873</v>
      </c>
      <c r="L21" s="180" t="str">
        <f t="shared" si="5"/>
        <v>2025.16.05.</v>
      </c>
      <c r="M21" s="180" t="s">
        <v>988</v>
      </c>
      <c r="N21" s="190" t="s">
        <v>1913</v>
      </c>
      <c r="O21" s="199">
        <v>7</v>
      </c>
      <c r="P21" s="199">
        <v>8</v>
      </c>
      <c r="Q21" s="199">
        <v>9</v>
      </c>
      <c r="R21" s="199">
        <v>10</v>
      </c>
      <c r="S21" s="179" t="s">
        <v>245</v>
      </c>
      <c r="T21" s="194"/>
      <c r="U21" s="179" t="s">
        <v>420</v>
      </c>
      <c r="V21" s="179" t="s">
        <v>420</v>
      </c>
      <c r="W21" s="179" t="s">
        <v>420</v>
      </c>
      <c r="X21" s="181" t="s">
        <v>1904</v>
      </c>
      <c r="Z21" s="174"/>
      <c r="AA21" s="174"/>
      <c r="AB21" s="177"/>
      <c r="AC21" s="177"/>
      <c r="AD21" s="177"/>
      <c r="AE21" s="177"/>
      <c r="AF21" s="177"/>
      <c r="AG21" s="177"/>
      <c r="AH21" s="177"/>
      <c r="AI21" s="177"/>
      <c r="AZ21" s="177"/>
      <c r="BA21" s="177"/>
      <c r="BB21" s="177"/>
    </row>
    <row r="22" spans="1:54" ht="55.5" customHeight="1" x14ac:dyDescent="0.3">
      <c r="A22" s="192">
        <v>27</v>
      </c>
      <c r="B22" s="192">
        <v>75001</v>
      </c>
      <c r="C22" s="192" t="s">
        <v>1894</v>
      </c>
      <c r="D22" s="180">
        <v>4020</v>
      </c>
      <c r="E22" s="179" t="s">
        <v>1896</v>
      </c>
      <c r="F22" s="179" t="s">
        <v>1845</v>
      </c>
      <c r="G22" s="179" t="s">
        <v>1858</v>
      </c>
      <c r="H22" s="179" t="s">
        <v>1847</v>
      </c>
      <c r="I22" s="179" t="str">
        <f t="shared" si="4"/>
        <v>4</v>
      </c>
      <c r="J22" s="179">
        <v>0</v>
      </c>
      <c r="K22" s="179" t="s">
        <v>1873</v>
      </c>
      <c r="L22" s="180" t="str">
        <f t="shared" si="5"/>
        <v>2025.16.05.</v>
      </c>
      <c r="M22" s="180" t="s">
        <v>992</v>
      </c>
      <c r="N22" s="190" t="s">
        <v>1948</v>
      </c>
      <c r="O22" s="199">
        <v>4543</v>
      </c>
      <c r="P22" s="199">
        <v>4861</v>
      </c>
      <c r="Q22" s="199">
        <v>5202</v>
      </c>
      <c r="R22" s="199">
        <v>5566</v>
      </c>
      <c r="S22" s="179" t="s">
        <v>245</v>
      </c>
      <c r="T22" s="194"/>
      <c r="U22" s="179" t="s">
        <v>420</v>
      </c>
      <c r="V22" s="179" t="s">
        <v>420</v>
      </c>
      <c r="W22" s="179" t="s">
        <v>420</v>
      </c>
      <c r="X22" s="181" t="s">
        <v>1904</v>
      </c>
      <c r="Z22" s="174"/>
      <c r="AA22" s="174"/>
      <c r="AB22" s="177"/>
      <c r="AC22" s="177"/>
      <c r="AD22" s="177"/>
      <c r="AE22" s="177"/>
      <c r="AF22" s="177"/>
      <c r="AG22" s="177"/>
      <c r="AH22" s="177"/>
      <c r="AI22" s="177"/>
      <c r="AZ22" s="177"/>
      <c r="BA22" s="177"/>
      <c r="BB22" s="177"/>
    </row>
    <row r="23" spans="1:54" ht="43.2" x14ac:dyDescent="0.3">
      <c r="A23" s="192">
        <v>27</v>
      </c>
      <c r="B23" s="192">
        <v>75001</v>
      </c>
      <c r="C23" s="192" t="s">
        <v>1894</v>
      </c>
      <c r="D23" s="180">
        <v>4040</v>
      </c>
      <c r="E23" s="179" t="s">
        <v>1897</v>
      </c>
      <c r="F23" s="179" t="s">
        <v>1845</v>
      </c>
      <c r="G23" s="179" t="s">
        <v>1858</v>
      </c>
      <c r="H23" s="179" t="s">
        <v>1847</v>
      </c>
      <c r="I23" s="179" t="str">
        <f t="shared" si="4"/>
        <v>4</v>
      </c>
      <c r="J23" s="179">
        <v>0</v>
      </c>
      <c r="K23" s="179" t="s">
        <v>1873</v>
      </c>
      <c r="L23" s="180" t="str">
        <f t="shared" si="5"/>
        <v>2025.16.05.</v>
      </c>
      <c r="M23" s="180" t="s">
        <v>994</v>
      </c>
      <c r="N23" s="190" t="s">
        <v>1914</v>
      </c>
      <c r="O23" s="199">
        <v>0</v>
      </c>
      <c r="P23" s="199">
        <v>387</v>
      </c>
      <c r="Q23" s="199">
        <v>414</v>
      </c>
      <c r="R23" s="199">
        <v>443</v>
      </c>
      <c r="S23" s="179" t="s">
        <v>245</v>
      </c>
      <c r="T23" s="194"/>
      <c r="U23" s="179" t="s">
        <v>420</v>
      </c>
      <c r="V23" s="179" t="s">
        <v>420</v>
      </c>
      <c r="W23" s="179" t="s">
        <v>420</v>
      </c>
      <c r="X23" s="181" t="s">
        <v>1904</v>
      </c>
      <c r="Z23" s="174"/>
      <c r="AA23" s="174"/>
      <c r="AF23" s="174"/>
      <c r="AG23" s="174"/>
      <c r="AH23" s="174"/>
      <c r="AZ23" s="177"/>
      <c r="BA23" s="177"/>
      <c r="BB23" s="177"/>
    </row>
    <row r="24" spans="1:54" ht="43.2" x14ac:dyDescent="0.3">
      <c r="A24" s="192">
        <v>27</v>
      </c>
      <c r="B24" s="192">
        <v>75001</v>
      </c>
      <c r="C24" s="192" t="s">
        <v>1894</v>
      </c>
      <c r="D24" s="180">
        <v>4110</v>
      </c>
      <c r="E24" s="179" t="s">
        <v>26</v>
      </c>
      <c r="F24" s="179" t="s">
        <v>1845</v>
      </c>
      <c r="G24" s="179" t="s">
        <v>1858</v>
      </c>
      <c r="H24" s="179" t="s">
        <v>1847</v>
      </c>
      <c r="I24" s="179" t="str">
        <f t="shared" si="4"/>
        <v>4</v>
      </c>
      <c r="J24" s="179">
        <v>0</v>
      </c>
      <c r="K24" s="179" t="s">
        <v>1873</v>
      </c>
      <c r="L24" s="180" t="str">
        <f t="shared" si="5"/>
        <v>2025.16.05.</v>
      </c>
      <c r="M24" s="180" t="s">
        <v>996</v>
      </c>
      <c r="N24" s="190" t="s">
        <v>1915</v>
      </c>
      <c r="O24" s="199">
        <v>781</v>
      </c>
      <c r="P24" s="199">
        <v>902</v>
      </c>
      <c r="Q24" s="199">
        <v>966</v>
      </c>
      <c r="R24" s="199">
        <v>1033</v>
      </c>
      <c r="S24" s="179" t="s">
        <v>245</v>
      </c>
      <c r="T24" s="194"/>
      <c r="U24" s="179" t="s">
        <v>420</v>
      </c>
      <c r="V24" s="179" t="s">
        <v>420</v>
      </c>
      <c r="W24" s="179" t="s">
        <v>420</v>
      </c>
      <c r="X24" s="181" t="s">
        <v>1904</v>
      </c>
      <c r="Z24" s="174"/>
      <c r="AA24" s="174"/>
      <c r="AF24" s="174"/>
      <c r="AG24" s="174"/>
      <c r="AH24" s="174"/>
      <c r="AZ24" s="177"/>
      <c r="BA24" s="177"/>
      <c r="BB24" s="177"/>
    </row>
    <row r="25" spans="1:54" ht="57.6" x14ac:dyDescent="0.3">
      <c r="A25" s="192">
        <v>27</v>
      </c>
      <c r="B25" s="192">
        <v>75001</v>
      </c>
      <c r="C25" s="192" t="s">
        <v>1894</v>
      </c>
      <c r="D25" s="180">
        <v>4120</v>
      </c>
      <c r="E25" s="179" t="s">
        <v>26</v>
      </c>
      <c r="F25" s="179" t="s">
        <v>1845</v>
      </c>
      <c r="G25" s="179" t="s">
        <v>1858</v>
      </c>
      <c r="H25" s="179" t="s">
        <v>1847</v>
      </c>
      <c r="I25" s="179" t="str">
        <f t="shared" si="4"/>
        <v>4</v>
      </c>
      <c r="J25" s="179">
        <v>0</v>
      </c>
      <c r="K25" s="179" t="s">
        <v>1873</v>
      </c>
      <c r="L25" s="180" t="str">
        <f t="shared" si="5"/>
        <v>2025.16.05.</v>
      </c>
      <c r="M25" s="180" t="s">
        <v>998</v>
      </c>
      <c r="N25" s="190" t="s">
        <v>1916</v>
      </c>
      <c r="O25" s="199">
        <v>46</v>
      </c>
      <c r="P25" s="199">
        <v>53</v>
      </c>
      <c r="Q25" s="199">
        <v>57</v>
      </c>
      <c r="R25" s="199">
        <v>61</v>
      </c>
      <c r="S25" s="179" t="s">
        <v>245</v>
      </c>
      <c r="T25" s="194"/>
      <c r="U25" s="179" t="s">
        <v>420</v>
      </c>
      <c r="V25" s="179" t="s">
        <v>420</v>
      </c>
      <c r="W25" s="179" t="s">
        <v>420</v>
      </c>
      <c r="X25" s="181" t="s">
        <v>1904</v>
      </c>
      <c r="Z25" s="174"/>
      <c r="AA25" s="174"/>
      <c r="AF25" s="174"/>
      <c r="AG25" s="174"/>
      <c r="AH25" s="174"/>
      <c r="AZ25" s="177"/>
      <c r="BA25" s="177"/>
      <c r="BB25" s="177"/>
    </row>
    <row r="26" spans="1:54" ht="43.2" x14ac:dyDescent="0.3">
      <c r="A26" s="192">
        <v>27</v>
      </c>
      <c r="B26" s="192">
        <v>75001</v>
      </c>
      <c r="C26" s="192" t="s">
        <v>1894</v>
      </c>
      <c r="D26" s="180">
        <v>4120</v>
      </c>
      <c r="E26" s="179" t="s">
        <v>26</v>
      </c>
      <c r="F26" s="179" t="s">
        <v>1845</v>
      </c>
      <c r="G26" s="179" t="s">
        <v>1858</v>
      </c>
      <c r="H26" s="179" t="s">
        <v>1847</v>
      </c>
      <c r="I26" s="179" t="str">
        <f t="shared" si="4"/>
        <v>4</v>
      </c>
      <c r="J26" s="179">
        <v>0</v>
      </c>
      <c r="K26" s="179" t="s">
        <v>1873</v>
      </c>
      <c r="L26" s="180" t="str">
        <f t="shared" si="5"/>
        <v>2025.16.05.</v>
      </c>
      <c r="M26" s="180" t="s">
        <v>1000</v>
      </c>
      <c r="N26" s="190" t="s">
        <v>1917</v>
      </c>
      <c r="O26" s="199">
        <v>66</v>
      </c>
      <c r="P26" s="199">
        <v>77</v>
      </c>
      <c r="Q26" s="199">
        <v>82</v>
      </c>
      <c r="R26" s="199">
        <v>88</v>
      </c>
      <c r="S26" s="179" t="s">
        <v>245</v>
      </c>
      <c r="T26" s="194"/>
      <c r="U26" s="179" t="s">
        <v>420</v>
      </c>
      <c r="V26" s="179" t="s">
        <v>420</v>
      </c>
      <c r="W26" s="179" t="s">
        <v>420</v>
      </c>
      <c r="X26" s="181" t="s">
        <v>1904</v>
      </c>
      <c r="Z26" s="174"/>
      <c r="AA26" s="174"/>
      <c r="AF26" s="174"/>
      <c r="AG26" s="174"/>
      <c r="AH26" s="174"/>
      <c r="AZ26" s="177"/>
      <c r="BA26" s="177"/>
      <c r="BB26" s="177"/>
    </row>
    <row r="27" spans="1:54" ht="57.6" x14ac:dyDescent="0.3">
      <c r="A27" s="192">
        <v>27</v>
      </c>
      <c r="B27" s="192">
        <v>75001</v>
      </c>
      <c r="C27" s="192" t="s">
        <v>1894</v>
      </c>
      <c r="D27" s="180">
        <v>4710</v>
      </c>
      <c r="E27" s="179" t="s">
        <v>26</v>
      </c>
      <c r="F27" s="179" t="s">
        <v>1845</v>
      </c>
      <c r="G27" s="179" t="s">
        <v>1858</v>
      </c>
      <c r="H27" s="179" t="s">
        <v>1847</v>
      </c>
      <c r="I27" s="179" t="str">
        <f t="shared" si="4"/>
        <v>4</v>
      </c>
      <c r="J27" s="179">
        <v>0</v>
      </c>
      <c r="K27" s="179" t="s">
        <v>1873</v>
      </c>
      <c r="L27" s="180" t="str">
        <f t="shared" si="5"/>
        <v>2025.16.05.</v>
      </c>
      <c r="M27" s="180" t="s">
        <v>1002</v>
      </c>
      <c r="N27" s="190" t="s">
        <v>1918</v>
      </c>
      <c r="O27" s="199">
        <v>69</v>
      </c>
      <c r="P27" s="199">
        <v>79</v>
      </c>
      <c r="Q27" s="199">
        <v>85</v>
      </c>
      <c r="R27" s="199">
        <v>91</v>
      </c>
      <c r="S27" s="179" t="s">
        <v>245</v>
      </c>
      <c r="T27" s="194"/>
      <c r="U27" s="179" t="s">
        <v>420</v>
      </c>
      <c r="V27" s="179" t="s">
        <v>420</v>
      </c>
      <c r="W27" s="179" t="s">
        <v>420</v>
      </c>
      <c r="X27" s="181" t="s">
        <v>1904</v>
      </c>
      <c r="Z27" s="174"/>
      <c r="AA27" s="174"/>
      <c r="AF27" s="174"/>
      <c r="AG27" s="174"/>
      <c r="AH27" s="174"/>
      <c r="AZ27" s="177"/>
      <c r="BA27" s="177"/>
      <c r="BB27" s="177"/>
    </row>
    <row r="28" spans="1:54" ht="54" customHeight="1" x14ac:dyDescent="0.3">
      <c r="A28" s="192">
        <v>27</v>
      </c>
      <c r="B28" s="192">
        <v>75001</v>
      </c>
      <c r="C28" s="192" t="s">
        <v>1894</v>
      </c>
      <c r="D28" s="180">
        <v>4020</v>
      </c>
      <c r="E28" s="179" t="s">
        <v>1896</v>
      </c>
      <c r="F28" s="179" t="s">
        <v>1845</v>
      </c>
      <c r="G28" s="179" t="s">
        <v>1858</v>
      </c>
      <c r="H28" s="179" t="s">
        <v>1847</v>
      </c>
      <c r="I28" s="179" t="str">
        <f t="shared" si="4"/>
        <v>4</v>
      </c>
      <c r="J28" s="179">
        <v>0</v>
      </c>
      <c r="K28" s="179" t="s">
        <v>1873</v>
      </c>
      <c r="L28" s="180" t="str">
        <f t="shared" si="5"/>
        <v>2025.16.05.</v>
      </c>
      <c r="M28" s="180" t="s">
        <v>1006</v>
      </c>
      <c r="N28" s="190" t="s">
        <v>1949</v>
      </c>
      <c r="O28" s="199">
        <v>455</v>
      </c>
      <c r="P28" s="199">
        <v>487</v>
      </c>
      <c r="Q28" s="199">
        <v>521</v>
      </c>
      <c r="R28" s="199">
        <v>557</v>
      </c>
      <c r="S28" s="179" t="s">
        <v>245</v>
      </c>
      <c r="T28" s="194"/>
      <c r="U28" s="179" t="s">
        <v>420</v>
      </c>
      <c r="V28" s="179" t="s">
        <v>420</v>
      </c>
      <c r="W28" s="179" t="s">
        <v>420</v>
      </c>
      <c r="X28" s="181" t="s">
        <v>1904</v>
      </c>
      <c r="Z28" s="174"/>
      <c r="AA28" s="174"/>
      <c r="AF28" s="174"/>
      <c r="AG28" s="174"/>
      <c r="AH28" s="174"/>
      <c r="AZ28" s="177"/>
      <c r="BA28" s="177"/>
      <c r="BB28" s="177"/>
    </row>
    <row r="29" spans="1:54" ht="43.2" x14ac:dyDescent="0.3">
      <c r="A29" s="192">
        <v>27</v>
      </c>
      <c r="B29" s="192">
        <v>75001</v>
      </c>
      <c r="C29" s="192" t="s">
        <v>1894</v>
      </c>
      <c r="D29" s="180">
        <v>4040</v>
      </c>
      <c r="E29" s="179" t="s">
        <v>1897</v>
      </c>
      <c r="F29" s="179" t="s">
        <v>1845</v>
      </c>
      <c r="G29" s="179" t="s">
        <v>1858</v>
      </c>
      <c r="H29" s="179" t="s">
        <v>1847</v>
      </c>
      <c r="I29" s="179" t="str">
        <f t="shared" si="4"/>
        <v>4</v>
      </c>
      <c r="J29" s="179">
        <v>0</v>
      </c>
      <c r="K29" s="179" t="s">
        <v>1873</v>
      </c>
      <c r="L29" s="180" t="str">
        <f t="shared" si="5"/>
        <v>2025.16.05.</v>
      </c>
      <c r="M29" s="180" t="s">
        <v>1008</v>
      </c>
      <c r="N29" s="190" t="s">
        <v>1919</v>
      </c>
      <c r="O29" s="199">
        <v>0</v>
      </c>
      <c r="P29" s="199">
        <v>39</v>
      </c>
      <c r="Q29" s="199">
        <v>42</v>
      </c>
      <c r="R29" s="199">
        <v>45</v>
      </c>
      <c r="S29" s="179" t="s">
        <v>245</v>
      </c>
      <c r="T29" s="194"/>
      <c r="U29" s="179" t="s">
        <v>420</v>
      </c>
      <c r="V29" s="179" t="s">
        <v>420</v>
      </c>
      <c r="W29" s="179" t="s">
        <v>420</v>
      </c>
      <c r="X29" s="181" t="s">
        <v>1904</v>
      </c>
      <c r="Z29" s="174"/>
      <c r="AA29" s="174"/>
      <c r="AF29" s="174"/>
      <c r="AG29" s="174"/>
      <c r="AH29" s="174"/>
      <c r="AZ29" s="177"/>
      <c r="BA29" s="177"/>
      <c r="BB29" s="177"/>
    </row>
    <row r="30" spans="1:54" ht="43.2" x14ac:dyDescent="0.3">
      <c r="A30" s="192">
        <v>27</v>
      </c>
      <c r="B30" s="192">
        <v>75001</v>
      </c>
      <c r="C30" s="192" t="s">
        <v>1894</v>
      </c>
      <c r="D30" s="180">
        <v>4110</v>
      </c>
      <c r="E30" s="179" t="s">
        <v>26</v>
      </c>
      <c r="F30" s="179" t="s">
        <v>1845</v>
      </c>
      <c r="G30" s="179" t="s">
        <v>1858</v>
      </c>
      <c r="H30" s="179" t="s">
        <v>1847</v>
      </c>
      <c r="I30" s="179" t="str">
        <f t="shared" si="4"/>
        <v>4</v>
      </c>
      <c r="J30" s="179">
        <v>0</v>
      </c>
      <c r="K30" s="179" t="s">
        <v>1873</v>
      </c>
      <c r="L30" s="180" t="str">
        <f t="shared" si="5"/>
        <v>2025.16.05.</v>
      </c>
      <c r="M30" s="180" t="s">
        <v>1010</v>
      </c>
      <c r="N30" s="190" t="s">
        <v>1920</v>
      </c>
      <c r="O30" s="199">
        <v>79</v>
      </c>
      <c r="P30" s="199">
        <v>91</v>
      </c>
      <c r="Q30" s="199">
        <v>97</v>
      </c>
      <c r="R30" s="199">
        <v>104</v>
      </c>
      <c r="S30" s="179" t="s">
        <v>245</v>
      </c>
      <c r="T30" s="194"/>
      <c r="U30" s="179" t="s">
        <v>420</v>
      </c>
      <c r="V30" s="179" t="s">
        <v>420</v>
      </c>
      <c r="W30" s="179" t="s">
        <v>420</v>
      </c>
      <c r="X30" s="181" t="s">
        <v>1904</v>
      </c>
      <c r="Z30" s="174"/>
      <c r="AA30" s="174"/>
      <c r="AF30" s="174"/>
      <c r="AG30" s="174"/>
      <c r="AH30" s="174"/>
      <c r="AZ30" s="177"/>
      <c r="BA30" s="177"/>
      <c r="BB30" s="177"/>
    </row>
    <row r="31" spans="1:54" ht="57.6" x14ac:dyDescent="0.3">
      <c r="A31" s="192">
        <v>27</v>
      </c>
      <c r="B31" s="192">
        <v>75001</v>
      </c>
      <c r="C31" s="192" t="s">
        <v>1894</v>
      </c>
      <c r="D31" s="180">
        <v>4120</v>
      </c>
      <c r="E31" s="179" t="s">
        <v>26</v>
      </c>
      <c r="F31" s="179" t="s">
        <v>1845</v>
      </c>
      <c r="G31" s="179" t="s">
        <v>1858</v>
      </c>
      <c r="H31" s="179" t="s">
        <v>1847</v>
      </c>
      <c r="I31" s="179" t="str">
        <f t="shared" si="4"/>
        <v>4</v>
      </c>
      <c r="J31" s="179">
        <v>0</v>
      </c>
      <c r="K31" s="179" t="s">
        <v>1873</v>
      </c>
      <c r="L31" s="180" t="str">
        <f t="shared" si="5"/>
        <v>2025.16.05.</v>
      </c>
      <c r="M31" s="180" t="s">
        <v>1012</v>
      </c>
      <c r="N31" s="190" t="s">
        <v>1921</v>
      </c>
      <c r="O31" s="199">
        <v>5</v>
      </c>
      <c r="P31" s="199">
        <v>6</v>
      </c>
      <c r="Q31" s="199">
        <v>6</v>
      </c>
      <c r="R31" s="199">
        <v>7</v>
      </c>
      <c r="S31" s="179" t="s">
        <v>245</v>
      </c>
      <c r="T31" s="194"/>
      <c r="U31" s="179" t="s">
        <v>420</v>
      </c>
      <c r="V31" s="179" t="s">
        <v>420</v>
      </c>
      <c r="W31" s="179" t="s">
        <v>420</v>
      </c>
      <c r="X31" s="181" t="s">
        <v>1904</v>
      </c>
      <c r="Z31" s="174"/>
      <c r="AA31" s="174"/>
      <c r="AF31" s="174"/>
      <c r="AG31" s="174"/>
      <c r="AH31" s="174"/>
      <c r="AZ31" s="177"/>
      <c r="BA31" s="177"/>
      <c r="BB31" s="177"/>
    </row>
    <row r="32" spans="1:54" ht="43.2" x14ac:dyDescent="0.3">
      <c r="A32" s="192">
        <v>27</v>
      </c>
      <c r="B32" s="192">
        <v>75001</v>
      </c>
      <c r="C32" s="192" t="s">
        <v>1894</v>
      </c>
      <c r="D32" s="180">
        <v>4120</v>
      </c>
      <c r="E32" s="179" t="s">
        <v>26</v>
      </c>
      <c r="F32" s="179" t="s">
        <v>1845</v>
      </c>
      <c r="G32" s="179" t="s">
        <v>1858</v>
      </c>
      <c r="H32" s="179" t="s">
        <v>1847</v>
      </c>
      <c r="I32" s="179" t="str">
        <f t="shared" si="4"/>
        <v>4</v>
      </c>
      <c r="J32" s="179">
        <v>0</v>
      </c>
      <c r="K32" s="179" t="s">
        <v>1873</v>
      </c>
      <c r="L32" s="180" t="str">
        <f t="shared" si="5"/>
        <v>2025.16.05.</v>
      </c>
      <c r="M32" s="180" t="s">
        <v>1014</v>
      </c>
      <c r="N32" s="190" t="s">
        <v>1922</v>
      </c>
      <c r="O32" s="199">
        <v>7</v>
      </c>
      <c r="P32" s="199">
        <v>8</v>
      </c>
      <c r="Q32" s="199">
        <v>9</v>
      </c>
      <c r="R32" s="199">
        <v>9</v>
      </c>
      <c r="S32" s="179" t="s">
        <v>245</v>
      </c>
      <c r="T32" s="194"/>
      <c r="U32" s="179" t="s">
        <v>420</v>
      </c>
      <c r="V32" s="179" t="s">
        <v>420</v>
      </c>
      <c r="W32" s="179" t="s">
        <v>420</v>
      </c>
      <c r="X32" s="181" t="s">
        <v>1904</v>
      </c>
      <c r="Z32" s="174"/>
      <c r="AA32" s="174"/>
      <c r="AF32" s="174"/>
      <c r="AG32" s="174"/>
      <c r="AH32" s="174"/>
      <c r="AZ32" s="177"/>
      <c r="BA32" s="177"/>
      <c r="BB32" s="177"/>
    </row>
    <row r="33" spans="1:54" ht="57.6" x14ac:dyDescent="0.3">
      <c r="A33" s="192">
        <v>27</v>
      </c>
      <c r="B33" s="192">
        <v>75001</v>
      </c>
      <c r="C33" s="192" t="s">
        <v>1894</v>
      </c>
      <c r="D33" s="180">
        <v>4710</v>
      </c>
      <c r="E33" s="179" t="s">
        <v>26</v>
      </c>
      <c r="F33" s="179" t="s">
        <v>1845</v>
      </c>
      <c r="G33" s="179" t="s">
        <v>1858</v>
      </c>
      <c r="H33" s="179" t="s">
        <v>1847</v>
      </c>
      <c r="I33" s="179" t="str">
        <f t="shared" si="4"/>
        <v>4</v>
      </c>
      <c r="J33" s="179">
        <v>0</v>
      </c>
      <c r="K33" s="179" t="s">
        <v>1873</v>
      </c>
      <c r="L33" s="180" t="str">
        <f t="shared" si="5"/>
        <v>2025.16.05.</v>
      </c>
      <c r="M33" s="180" t="s">
        <v>1016</v>
      </c>
      <c r="N33" s="190" t="s">
        <v>1923</v>
      </c>
      <c r="O33" s="199">
        <v>7</v>
      </c>
      <c r="P33" s="199">
        <v>8</v>
      </c>
      <c r="Q33" s="199">
        <v>9</v>
      </c>
      <c r="R33" s="199">
        <v>10</v>
      </c>
      <c r="S33" s="179" t="s">
        <v>245</v>
      </c>
      <c r="T33" s="194"/>
      <c r="U33" s="179" t="s">
        <v>420</v>
      </c>
      <c r="V33" s="179" t="s">
        <v>420</v>
      </c>
      <c r="W33" s="179" t="s">
        <v>420</v>
      </c>
      <c r="X33" s="181" t="s">
        <v>1904</v>
      </c>
      <c r="Z33" s="174"/>
      <c r="AA33" s="174"/>
      <c r="AF33" s="174"/>
      <c r="AG33" s="174"/>
      <c r="AH33" s="174"/>
      <c r="AZ33" s="177"/>
      <c r="BA33" s="177"/>
      <c r="BB33" s="177"/>
    </row>
    <row r="34" spans="1:54" ht="56.25" customHeight="1" x14ac:dyDescent="0.3">
      <c r="A34" s="192">
        <v>27</v>
      </c>
      <c r="B34" s="192">
        <v>75001</v>
      </c>
      <c r="C34" s="192" t="s">
        <v>1894</v>
      </c>
      <c r="D34" s="180">
        <v>4020</v>
      </c>
      <c r="E34" s="179" t="s">
        <v>1896</v>
      </c>
      <c r="F34" s="179" t="s">
        <v>1845</v>
      </c>
      <c r="G34" s="179" t="s">
        <v>1858</v>
      </c>
      <c r="H34" s="179" t="s">
        <v>1847</v>
      </c>
      <c r="I34" s="179" t="str">
        <f t="shared" si="4"/>
        <v>4</v>
      </c>
      <c r="J34" s="179">
        <v>0</v>
      </c>
      <c r="K34" s="179" t="s">
        <v>1873</v>
      </c>
      <c r="L34" s="180" t="str">
        <f t="shared" si="5"/>
        <v>2025.16.05.</v>
      </c>
      <c r="M34" s="180" t="s">
        <v>1020</v>
      </c>
      <c r="N34" s="190" t="s">
        <v>1950</v>
      </c>
      <c r="O34" s="199">
        <v>303</v>
      </c>
      <c r="P34" s="199">
        <v>325</v>
      </c>
      <c r="Q34" s="199">
        <v>347</v>
      </c>
      <c r="R34" s="199">
        <v>372</v>
      </c>
      <c r="S34" s="179" t="s">
        <v>245</v>
      </c>
      <c r="T34" s="194"/>
      <c r="U34" s="179" t="s">
        <v>420</v>
      </c>
      <c r="V34" s="179" t="s">
        <v>420</v>
      </c>
      <c r="W34" s="179" t="s">
        <v>420</v>
      </c>
      <c r="X34" s="181" t="s">
        <v>1904</v>
      </c>
      <c r="Z34" s="174"/>
      <c r="AA34" s="174"/>
      <c r="AF34" s="174"/>
      <c r="AG34" s="174"/>
      <c r="AH34" s="174"/>
      <c r="AZ34" s="177"/>
      <c r="BA34" s="177"/>
      <c r="BB34" s="177"/>
    </row>
    <row r="35" spans="1:54" ht="43.2" x14ac:dyDescent="0.3">
      <c r="A35" s="192">
        <v>27</v>
      </c>
      <c r="B35" s="192">
        <v>75001</v>
      </c>
      <c r="C35" s="192" t="s">
        <v>1894</v>
      </c>
      <c r="D35" s="180">
        <v>4040</v>
      </c>
      <c r="E35" s="179" t="s">
        <v>1897</v>
      </c>
      <c r="F35" s="179" t="s">
        <v>1845</v>
      </c>
      <c r="G35" s="179" t="s">
        <v>1858</v>
      </c>
      <c r="H35" s="179" t="s">
        <v>1847</v>
      </c>
      <c r="I35" s="179" t="str">
        <f t="shared" si="4"/>
        <v>4</v>
      </c>
      <c r="J35" s="179">
        <v>0</v>
      </c>
      <c r="K35" s="179" t="s">
        <v>1873</v>
      </c>
      <c r="L35" s="180" t="str">
        <f t="shared" si="5"/>
        <v>2025.16.05.</v>
      </c>
      <c r="M35" s="180" t="s">
        <v>1022</v>
      </c>
      <c r="N35" s="190" t="s">
        <v>1924</v>
      </c>
      <c r="O35" s="199">
        <v>0</v>
      </c>
      <c r="P35" s="199">
        <v>26</v>
      </c>
      <c r="Q35" s="199">
        <v>28</v>
      </c>
      <c r="R35" s="199">
        <v>30</v>
      </c>
      <c r="S35" s="179" t="s">
        <v>245</v>
      </c>
      <c r="T35" s="194"/>
      <c r="U35" s="179" t="s">
        <v>420</v>
      </c>
      <c r="V35" s="179" t="s">
        <v>420</v>
      </c>
      <c r="W35" s="179" t="s">
        <v>420</v>
      </c>
      <c r="X35" s="181" t="s">
        <v>1904</v>
      </c>
      <c r="Z35" s="174"/>
      <c r="AA35" s="174"/>
      <c r="AF35" s="174"/>
      <c r="AG35" s="174"/>
      <c r="AH35" s="174"/>
      <c r="AZ35" s="177"/>
      <c r="BA35" s="177"/>
      <c r="BB35" s="177"/>
    </row>
    <row r="36" spans="1:54" ht="43.2" x14ac:dyDescent="0.3">
      <c r="A36" s="192">
        <v>27</v>
      </c>
      <c r="B36" s="192">
        <v>75001</v>
      </c>
      <c r="C36" s="192" t="s">
        <v>1894</v>
      </c>
      <c r="D36" s="180">
        <v>4110</v>
      </c>
      <c r="E36" s="179" t="s">
        <v>26</v>
      </c>
      <c r="F36" s="179" t="s">
        <v>1845</v>
      </c>
      <c r="G36" s="179" t="s">
        <v>1858</v>
      </c>
      <c r="H36" s="179" t="s">
        <v>1847</v>
      </c>
      <c r="I36" s="179" t="str">
        <f t="shared" si="4"/>
        <v>4</v>
      </c>
      <c r="J36" s="179">
        <v>0</v>
      </c>
      <c r="K36" s="179" t="s">
        <v>1873</v>
      </c>
      <c r="L36" s="180" t="str">
        <f t="shared" si="5"/>
        <v>2025.16.05.</v>
      </c>
      <c r="M36" s="180" t="s">
        <v>1024</v>
      </c>
      <c r="N36" s="190" t="s">
        <v>1925</v>
      </c>
      <c r="O36" s="199">
        <v>53</v>
      </c>
      <c r="P36" s="199">
        <v>61</v>
      </c>
      <c r="Q36" s="199">
        <v>65</v>
      </c>
      <c r="R36" s="199">
        <v>69</v>
      </c>
      <c r="S36" s="179" t="s">
        <v>245</v>
      </c>
      <c r="T36" s="194"/>
      <c r="U36" s="179" t="s">
        <v>420</v>
      </c>
      <c r="V36" s="179" t="s">
        <v>420</v>
      </c>
      <c r="W36" s="179" t="s">
        <v>420</v>
      </c>
      <c r="X36" s="181" t="s">
        <v>1904</v>
      </c>
      <c r="Z36" s="174"/>
      <c r="AA36" s="174"/>
      <c r="AF36" s="174"/>
      <c r="AG36" s="174"/>
      <c r="AH36" s="174"/>
      <c r="AZ36" s="177"/>
      <c r="BA36" s="177"/>
      <c r="BB36" s="177"/>
    </row>
    <row r="37" spans="1:54" ht="57.6" x14ac:dyDescent="0.3">
      <c r="A37" s="192">
        <v>27</v>
      </c>
      <c r="B37" s="192">
        <v>75001</v>
      </c>
      <c r="C37" s="192" t="s">
        <v>1894</v>
      </c>
      <c r="D37" s="180">
        <v>4120</v>
      </c>
      <c r="E37" s="179" t="s">
        <v>26</v>
      </c>
      <c r="F37" s="179" t="s">
        <v>1845</v>
      </c>
      <c r="G37" s="179" t="s">
        <v>1858</v>
      </c>
      <c r="H37" s="179" t="s">
        <v>1847</v>
      </c>
      <c r="I37" s="179" t="str">
        <f t="shared" si="4"/>
        <v>4</v>
      </c>
      <c r="J37" s="179">
        <v>0</v>
      </c>
      <c r="K37" s="179" t="s">
        <v>1873</v>
      </c>
      <c r="L37" s="180" t="str">
        <f t="shared" si="5"/>
        <v>2025.16.05.</v>
      </c>
      <c r="M37" s="180" t="s">
        <v>1026</v>
      </c>
      <c r="N37" s="190" t="s">
        <v>1926</v>
      </c>
      <c r="O37" s="199">
        <v>4</v>
      </c>
      <c r="P37" s="199">
        <v>4</v>
      </c>
      <c r="Q37" s="199">
        <v>4</v>
      </c>
      <c r="R37" s="199">
        <v>5</v>
      </c>
      <c r="S37" s="179" t="s">
        <v>245</v>
      </c>
      <c r="T37" s="194"/>
      <c r="U37" s="179" t="s">
        <v>420</v>
      </c>
      <c r="V37" s="179" t="s">
        <v>420</v>
      </c>
      <c r="W37" s="179" t="s">
        <v>420</v>
      </c>
      <c r="X37" s="181" t="s">
        <v>1904</v>
      </c>
      <c r="Z37" s="174"/>
      <c r="AA37" s="174"/>
      <c r="AF37" s="174"/>
      <c r="AG37" s="174"/>
      <c r="AH37" s="174"/>
      <c r="AZ37" s="177"/>
      <c r="BA37" s="177"/>
      <c r="BB37" s="177"/>
    </row>
    <row r="38" spans="1:54" ht="43.2" x14ac:dyDescent="0.3">
      <c r="A38" s="192">
        <v>27</v>
      </c>
      <c r="B38" s="192">
        <v>75001</v>
      </c>
      <c r="C38" s="192" t="s">
        <v>1894</v>
      </c>
      <c r="D38" s="180">
        <v>4120</v>
      </c>
      <c r="E38" s="179" t="s">
        <v>26</v>
      </c>
      <c r="F38" s="179" t="s">
        <v>1845</v>
      </c>
      <c r="G38" s="179" t="s">
        <v>1858</v>
      </c>
      <c r="H38" s="179" t="s">
        <v>1847</v>
      </c>
      <c r="I38" s="179" t="str">
        <f t="shared" si="4"/>
        <v>4</v>
      </c>
      <c r="J38" s="179">
        <v>0</v>
      </c>
      <c r="K38" s="179" t="s">
        <v>1873</v>
      </c>
      <c r="L38" s="180" t="str">
        <f t="shared" si="5"/>
        <v>2025.16.05.</v>
      </c>
      <c r="M38" s="180" t="s">
        <v>1028</v>
      </c>
      <c r="N38" s="190" t="s">
        <v>1927</v>
      </c>
      <c r="O38" s="199">
        <v>5</v>
      </c>
      <c r="P38" s="199">
        <v>6</v>
      </c>
      <c r="Q38" s="199">
        <v>6</v>
      </c>
      <c r="R38" s="199">
        <v>6</v>
      </c>
      <c r="S38" s="179" t="s">
        <v>245</v>
      </c>
      <c r="T38" s="194"/>
      <c r="U38" s="179" t="s">
        <v>420</v>
      </c>
      <c r="V38" s="179" t="s">
        <v>420</v>
      </c>
      <c r="W38" s="179" t="s">
        <v>420</v>
      </c>
      <c r="X38" s="181" t="s">
        <v>1904</v>
      </c>
      <c r="Z38" s="174"/>
      <c r="AA38" s="174"/>
      <c r="AF38" s="174"/>
      <c r="AG38" s="174"/>
      <c r="AH38" s="174"/>
      <c r="AZ38" s="177"/>
      <c r="BA38" s="177"/>
      <c r="BB38" s="177"/>
    </row>
    <row r="39" spans="1:54" ht="57.6" x14ac:dyDescent="0.3">
      <c r="A39" s="192">
        <v>27</v>
      </c>
      <c r="B39" s="192">
        <v>75001</v>
      </c>
      <c r="C39" s="192" t="s">
        <v>1894</v>
      </c>
      <c r="D39" s="180">
        <v>4710</v>
      </c>
      <c r="E39" s="179" t="s">
        <v>26</v>
      </c>
      <c r="F39" s="179" t="s">
        <v>1845</v>
      </c>
      <c r="G39" s="179" t="s">
        <v>1858</v>
      </c>
      <c r="H39" s="179" t="s">
        <v>1847</v>
      </c>
      <c r="I39" s="179" t="str">
        <f t="shared" si="4"/>
        <v>4</v>
      </c>
      <c r="J39" s="179">
        <v>0</v>
      </c>
      <c r="K39" s="179" t="s">
        <v>1873</v>
      </c>
      <c r="L39" s="180" t="str">
        <f t="shared" si="5"/>
        <v>2025.16.05.</v>
      </c>
      <c r="M39" s="180" t="s">
        <v>1030</v>
      </c>
      <c r="N39" s="190" t="s">
        <v>1928</v>
      </c>
      <c r="O39" s="199">
        <v>5</v>
      </c>
      <c r="P39" s="199">
        <v>6</v>
      </c>
      <c r="Q39" s="199">
        <v>6</v>
      </c>
      <c r="R39" s="199">
        <v>7</v>
      </c>
      <c r="S39" s="179" t="s">
        <v>245</v>
      </c>
      <c r="T39" s="194"/>
      <c r="U39" s="179" t="s">
        <v>420</v>
      </c>
      <c r="V39" s="179" t="s">
        <v>420</v>
      </c>
      <c r="W39" s="179" t="s">
        <v>420</v>
      </c>
      <c r="X39" s="181" t="s">
        <v>1904</v>
      </c>
      <c r="Z39" s="174"/>
      <c r="AA39" s="174"/>
      <c r="AF39" s="174"/>
      <c r="AG39" s="174"/>
      <c r="AH39" s="174"/>
      <c r="AZ39" s="177"/>
      <c r="BA39" s="177"/>
      <c r="BB39" s="177"/>
    </row>
    <row r="40" spans="1:54" ht="60" customHeight="1" x14ac:dyDescent="0.3">
      <c r="A40" s="192">
        <v>27</v>
      </c>
      <c r="B40" s="192">
        <v>75001</v>
      </c>
      <c r="C40" s="192" t="s">
        <v>1894</v>
      </c>
      <c r="D40" s="180">
        <v>4020</v>
      </c>
      <c r="E40" s="179" t="s">
        <v>1896</v>
      </c>
      <c r="F40" s="179" t="s">
        <v>1845</v>
      </c>
      <c r="G40" s="179" t="s">
        <v>1858</v>
      </c>
      <c r="H40" s="179" t="s">
        <v>1847</v>
      </c>
      <c r="I40" s="179" t="str">
        <f t="shared" si="4"/>
        <v>4</v>
      </c>
      <c r="J40" s="179">
        <v>0</v>
      </c>
      <c r="K40" s="179" t="s">
        <v>1873</v>
      </c>
      <c r="L40" s="180" t="str">
        <f t="shared" si="5"/>
        <v>2025.16.05.</v>
      </c>
      <c r="M40" s="180" t="s">
        <v>1034</v>
      </c>
      <c r="N40" s="190" t="s">
        <v>1951</v>
      </c>
      <c r="O40" s="199">
        <v>6057</v>
      </c>
      <c r="P40" s="199">
        <v>6481</v>
      </c>
      <c r="Q40" s="199">
        <v>6935</v>
      </c>
      <c r="R40" s="199">
        <v>7422</v>
      </c>
      <c r="S40" s="179" t="s">
        <v>245</v>
      </c>
      <c r="T40" s="194"/>
      <c r="U40" s="179" t="s">
        <v>420</v>
      </c>
      <c r="V40" s="179" t="s">
        <v>420</v>
      </c>
      <c r="W40" s="179" t="s">
        <v>420</v>
      </c>
      <c r="X40" s="181" t="s">
        <v>1904</v>
      </c>
      <c r="Z40" s="174"/>
      <c r="AA40" s="174"/>
      <c r="AF40" s="174"/>
      <c r="AG40" s="174"/>
      <c r="AH40" s="174"/>
      <c r="AZ40" s="177"/>
      <c r="BA40" s="177"/>
      <c r="BB40" s="177"/>
    </row>
    <row r="41" spans="1:54" ht="43.2" x14ac:dyDescent="0.3">
      <c r="A41" s="192">
        <v>27</v>
      </c>
      <c r="B41" s="192">
        <v>75001</v>
      </c>
      <c r="C41" s="192" t="s">
        <v>1894</v>
      </c>
      <c r="D41" s="180">
        <v>4040</v>
      </c>
      <c r="E41" s="179" t="s">
        <v>1897</v>
      </c>
      <c r="F41" s="179" t="s">
        <v>1845</v>
      </c>
      <c r="G41" s="179" t="s">
        <v>1858</v>
      </c>
      <c r="H41" s="179" t="s">
        <v>1847</v>
      </c>
      <c r="I41" s="179" t="str">
        <f t="shared" si="4"/>
        <v>4</v>
      </c>
      <c r="J41" s="179">
        <v>0</v>
      </c>
      <c r="K41" s="179" t="s">
        <v>1873</v>
      </c>
      <c r="L41" s="180" t="str">
        <f t="shared" si="5"/>
        <v>2025.16.05.</v>
      </c>
      <c r="M41" s="180" t="s">
        <v>1036</v>
      </c>
      <c r="N41" s="190" t="s">
        <v>1929</v>
      </c>
      <c r="O41" s="199">
        <v>0</v>
      </c>
      <c r="P41" s="199">
        <v>515</v>
      </c>
      <c r="Q41" s="199">
        <v>551</v>
      </c>
      <c r="R41" s="199">
        <v>590</v>
      </c>
      <c r="S41" s="179" t="s">
        <v>245</v>
      </c>
      <c r="T41" s="194"/>
      <c r="U41" s="179" t="s">
        <v>420</v>
      </c>
      <c r="V41" s="179" t="s">
        <v>420</v>
      </c>
      <c r="W41" s="179" t="s">
        <v>420</v>
      </c>
      <c r="X41" s="181" t="s">
        <v>1904</v>
      </c>
      <c r="Z41" s="174"/>
      <c r="AA41" s="174"/>
      <c r="AF41" s="174"/>
      <c r="AG41" s="174"/>
      <c r="AH41" s="174"/>
      <c r="AZ41" s="177"/>
      <c r="BA41" s="177"/>
      <c r="BB41" s="177"/>
    </row>
    <row r="42" spans="1:54" ht="43.2" x14ac:dyDescent="0.3">
      <c r="A42" s="192">
        <v>27</v>
      </c>
      <c r="B42" s="192">
        <v>75001</v>
      </c>
      <c r="C42" s="192" t="s">
        <v>1894</v>
      </c>
      <c r="D42" s="180">
        <v>4110</v>
      </c>
      <c r="E42" s="179" t="s">
        <v>26</v>
      </c>
      <c r="F42" s="179" t="s">
        <v>1845</v>
      </c>
      <c r="G42" s="179" t="s">
        <v>1858</v>
      </c>
      <c r="H42" s="179" t="s">
        <v>1847</v>
      </c>
      <c r="I42" s="179" t="str">
        <f t="shared" si="4"/>
        <v>4</v>
      </c>
      <c r="J42" s="179">
        <v>0</v>
      </c>
      <c r="K42" s="179" t="s">
        <v>1873</v>
      </c>
      <c r="L42" s="180" t="str">
        <f t="shared" si="5"/>
        <v>2025.16.05.</v>
      </c>
      <c r="M42" s="180" t="s">
        <v>1038</v>
      </c>
      <c r="N42" s="190" t="s">
        <v>1930</v>
      </c>
      <c r="O42" s="199">
        <v>1042</v>
      </c>
      <c r="P42" s="199">
        <v>1203</v>
      </c>
      <c r="Q42" s="199">
        <v>1287</v>
      </c>
      <c r="R42" s="199">
        <v>1378</v>
      </c>
      <c r="S42" s="179" t="s">
        <v>245</v>
      </c>
      <c r="T42" s="194"/>
      <c r="U42" s="179" t="s">
        <v>420</v>
      </c>
      <c r="V42" s="179" t="s">
        <v>420</v>
      </c>
      <c r="W42" s="179" t="s">
        <v>420</v>
      </c>
      <c r="X42" s="181" t="s">
        <v>1904</v>
      </c>
      <c r="Z42" s="174"/>
      <c r="AA42" s="174"/>
      <c r="AF42" s="174"/>
      <c r="AG42" s="174"/>
      <c r="AH42" s="174"/>
      <c r="AZ42" s="177"/>
      <c r="BA42" s="177"/>
      <c r="BB42" s="177"/>
    </row>
    <row r="43" spans="1:54" ht="57.6" x14ac:dyDescent="0.3">
      <c r="A43" s="192">
        <v>27</v>
      </c>
      <c r="B43" s="192">
        <v>75001</v>
      </c>
      <c r="C43" s="192" t="s">
        <v>1894</v>
      </c>
      <c r="D43" s="180">
        <v>4120</v>
      </c>
      <c r="E43" s="179" t="s">
        <v>26</v>
      </c>
      <c r="F43" s="179" t="s">
        <v>1845</v>
      </c>
      <c r="G43" s="179" t="s">
        <v>1858</v>
      </c>
      <c r="H43" s="179" t="s">
        <v>1847</v>
      </c>
      <c r="I43" s="179" t="str">
        <f t="shared" si="4"/>
        <v>4</v>
      </c>
      <c r="J43" s="179">
        <v>0</v>
      </c>
      <c r="K43" s="179" t="s">
        <v>1873</v>
      </c>
      <c r="L43" s="180" t="str">
        <f t="shared" si="5"/>
        <v>2025.16.05.</v>
      </c>
      <c r="M43" s="180" t="s">
        <v>1040</v>
      </c>
      <c r="N43" s="190" t="s">
        <v>1931</v>
      </c>
      <c r="O43" s="199">
        <v>61</v>
      </c>
      <c r="P43" s="199">
        <v>70</v>
      </c>
      <c r="Q43" s="199">
        <v>75</v>
      </c>
      <c r="R43" s="199">
        <v>81</v>
      </c>
      <c r="S43" s="179" t="s">
        <v>245</v>
      </c>
      <c r="T43" s="194"/>
      <c r="U43" s="179" t="s">
        <v>420</v>
      </c>
      <c r="V43" s="179" t="s">
        <v>420</v>
      </c>
      <c r="W43" s="179" t="s">
        <v>420</v>
      </c>
      <c r="X43" s="181" t="s">
        <v>1904</v>
      </c>
      <c r="Z43" s="174"/>
      <c r="AA43" s="174"/>
      <c r="AF43" s="174"/>
      <c r="AG43" s="174"/>
      <c r="AH43" s="174"/>
      <c r="AZ43" s="177"/>
      <c r="BA43" s="177"/>
      <c r="BB43" s="177"/>
    </row>
    <row r="44" spans="1:54" ht="43.2" x14ac:dyDescent="0.3">
      <c r="A44" s="192">
        <v>27</v>
      </c>
      <c r="B44" s="192">
        <v>75001</v>
      </c>
      <c r="C44" s="192" t="s">
        <v>1894</v>
      </c>
      <c r="D44" s="180">
        <v>4120</v>
      </c>
      <c r="E44" s="179" t="s">
        <v>26</v>
      </c>
      <c r="F44" s="179" t="s">
        <v>1845</v>
      </c>
      <c r="G44" s="179" t="s">
        <v>1858</v>
      </c>
      <c r="H44" s="179" t="s">
        <v>1847</v>
      </c>
      <c r="I44" s="179" t="str">
        <f t="shared" si="4"/>
        <v>4</v>
      </c>
      <c r="J44" s="179">
        <v>0</v>
      </c>
      <c r="K44" s="179" t="s">
        <v>1873</v>
      </c>
      <c r="L44" s="180" t="str">
        <f t="shared" si="5"/>
        <v>2025.16.05.</v>
      </c>
      <c r="M44" s="180" t="s">
        <v>1042</v>
      </c>
      <c r="N44" s="190" t="s">
        <v>1932</v>
      </c>
      <c r="O44" s="199">
        <v>88</v>
      </c>
      <c r="P44" s="199">
        <v>102</v>
      </c>
      <c r="Q44" s="199">
        <v>109</v>
      </c>
      <c r="R44" s="199">
        <v>117</v>
      </c>
      <c r="S44" s="179" t="s">
        <v>245</v>
      </c>
      <c r="T44" s="194"/>
      <c r="U44" s="179" t="s">
        <v>420</v>
      </c>
      <c r="V44" s="179" t="s">
        <v>420</v>
      </c>
      <c r="W44" s="179" t="s">
        <v>420</v>
      </c>
      <c r="X44" s="181" t="s">
        <v>1904</v>
      </c>
      <c r="Z44" s="174"/>
      <c r="AA44" s="174"/>
      <c r="AF44" s="174"/>
      <c r="AG44" s="174"/>
      <c r="AH44" s="174"/>
      <c r="AZ44" s="177"/>
      <c r="BA44" s="177"/>
      <c r="BB44" s="177"/>
    </row>
    <row r="45" spans="1:54" ht="57.6" x14ac:dyDescent="0.3">
      <c r="A45" s="192">
        <v>27</v>
      </c>
      <c r="B45" s="192">
        <v>75001</v>
      </c>
      <c r="C45" s="192" t="s">
        <v>1894</v>
      </c>
      <c r="D45" s="180">
        <v>4710</v>
      </c>
      <c r="E45" s="179" t="s">
        <v>26</v>
      </c>
      <c r="F45" s="179" t="s">
        <v>1845</v>
      </c>
      <c r="G45" s="179" t="s">
        <v>1858</v>
      </c>
      <c r="H45" s="179" t="s">
        <v>1847</v>
      </c>
      <c r="I45" s="179" t="str">
        <f t="shared" si="4"/>
        <v>4</v>
      </c>
      <c r="J45" s="179">
        <v>0</v>
      </c>
      <c r="K45" s="179" t="s">
        <v>1873</v>
      </c>
      <c r="L45" s="180" t="str">
        <f t="shared" si="5"/>
        <v>2025.16.05.</v>
      </c>
      <c r="M45" s="180" t="s">
        <v>1933</v>
      </c>
      <c r="N45" s="190" t="s">
        <v>1934</v>
      </c>
      <c r="O45" s="199">
        <v>91</v>
      </c>
      <c r="P45" s="199">
        <v>105</v>
      </c>
      <c r="Q45" s="199">
        <v>113</v>
      </c>
      <c r="R45" s="199">
        <v>121</v>
      </c>
      <c r="S45" s="179" t="s">
        <v>245</v>
      </c>
      <c r="T45" s="194"/>
      <c r="U45" s="179" t="s">
        <v>420</v>
      </c>
      <c r="V45" s="179" t="s">
        <v>420</v>
      </c>
      <c r="W45" s="179" t="s">
        <v>420</v>
      </c>
      <c r="X45" s="181" t="s">
        <v>1904</v>
      </c>
      <c r="Z45" s="174"/>
      <c r="AA45" s="174"/>
      <c r="AF45" s="174"/>
      <c r="AG45" s="174"/>
      <c r="AH45" s="174"/>
      <c r="AZ45" s="177"/>
      <c r="BA45" s="177"/>
      <c r="BB45" s="177"/>
    </row>
    <row r="46" spans="1:54" s="176" customFormat="1" ht="39" customHeight="1" x14ac:dyDescent="0.3">
      <c r="A46" s="184"/>
      <c r="B46" s="184"/>
      <c r="C46" s="184"/>
      <c r="D46" s="184"/>
      <c r="E46" s="184"/>
      <c r="F46" s="184"/>
      <c r="G46" s="184"/>
      <c r="H46" s="184"/>
      <c r="I46" s="184"/>
      <c r="J46" s="184"/>
      <c r="K46" s="184"/>
      <c r="L46" s="204"/>
      <c r="M46" s="184"/>
      <c r="N46" s="203" t="s">
        <v>1942</v>
      </c>
      <c r="O46" s="202">
        <f>SUM(O3:O45)</f>
        <v>17155</v>
      </c>
      <c r="P46" s="202">
        <f t="shared" ref="P46:R46" si="6">SUM(P3:P45)</f>
        <v>22450</v>
      </c>
      <c r="Q46" s="202">
        <f t="shared" si="6"/>
        <v>24578</v>
      </c>
      <c r="R46" s="202">
        <f t="shared" si="6"/>
        <v>26396</v>
      </c>
      <c r="S46" s="202" t="e">
        <f>SUM(#REF!)-S51</f>
        <v>#REF!</v>
      </c>
      <c r="T46" s="184"/>
      <c r="U46" s="184"/>
      <c r="V46" s="184"/>
      <c r="W46" s="205"/>
      <c r="X46" s="206"/>
      <c r="Y46"/>
      <c r="AI46" s="174"/>
      <c r="AJ46" s="174"/>
      <c r="AK46" s="174"/>
      <c r="AL46" s="174"/>
      <c r="AM46" s="174"/>
      <c r="AN46" s="174"/>
      <c r="AO46" s="174"/>
      <c r="AP46" s="174"/>
      <c r="AQ46" s="174"/>
      <c r="AR46" s="174"/>
      <c r="AS46" s="174"/>
      <c r="AT46" s="174"/>
      <c r="AU46" s="174"/>
      <c r="AV46" s="174"/>
      <c r="AW46" s="174"/>
      <c r="AX46" s="174"/>
      <c r="AY46" s="174"/>
      <c r="AZ46" s="174"/>
      <c r="BA46" s="174"/>
      <c r="BB46" s="174"/>
    </row>
    <row r="47" spans="1:54" s="176" customFormat="1" x14ac:dyDescent="0.3">
      <c r="A47" s="173"/>
      <c r="B47" s="173"/>
      <c r="C47" s="173"/>
      <c r="D47" s="173"/>
      <c r="E47" s="173"/>
      <c r="F47" s="173"/>
      <c r="G47" s="173"/>
      <c r="H47" s="173"/>
      <c r="I47" s="173"/>
      <c r="J47" s="173"/>
      <c r="K47" s="173"/>
      <c r="L47" s="175"/>
      <c r="M47" s="173"/>
      <c r="N47" s="195"/>
      <c r="O47" s="201"/>
      <c r="P47" s="201"/>
      <c r="Q47" s="201"/>
      <c r="R47" s="196"/>
      <c r="S47" s="173"/>
      <c r="T47" s="173"/>
      <c r="U47" s="173"/>
      <c r="V47" s="173"/>
      <c r="W47" s="197"/>
      <c r="X47" s="195"/>
      <c r="Y47"/>
      <c r="AI47" s="174"/>
      <c r="AJ47" s="174"/>
      <c r="AK47" s="174"/>
      <c r="AL47" s="174"/>
      <c r="AM47" s="174"/>
      <c r="AN47" s="174"/>
      <c r="AO47" s="174"/>
      <c r="AP47" s="174"/>
      <c r="AQ47" s="174"/>
      <c r="AR47" s="174"/>
      <c r="AS47" s="174"/>
      <c r="AT47" s="174"/>
      <c r="AU47" s="174"/>
      <c r="AV47" s="174"/>
      <c r="AW47" s="174"/>
      <c r="AX47" s="174"/>
      <c r="AY47" s="174"/>
      <c r="AZ47" s="174"/>
      <c r="BA47" s="174"/>
      <c r="BB47" s="174"/>
    </row>
    <row r="48" spans="1:54" s="176" customFormat="1" x14ac:dyDescent="0.3">
      <c r="A48" s="173"/>
      <c r="B48" s="173"/>
      <c r="C48" s="173"/>
      <c r="D48" s="173"/>
      <c r="E48" s="173"/>
      <c r="F48" s="173"/>
      <c r="G48" s="173"/>
      <c r="H48" s="173"/>
      <c r="I48" s="173"/>
      <c r="J48" s="173"/>
      <c r="K48" s="173"/>
      <c r="L48" s="175"/>
      <c r="M48" s="173"/>
      <c r="N48" s="195"/>
      <c r="O48" s="201"/>
      <c r="P48" s="201"/>
      <c r="Q48" s="201"/>
      <c r="R48" s="196"/>
      <c r="S48" s="173"/>
      <c r="T48" s="173"/>
      <c r="U48" s="173"/>
      <c r="V48" s="173"/>
      <c r="W48" s="197"/>
      <c r="X48" s="195"/>
      <c r="Y48"/>
      <c r="AI48" s="174"/>
      <c r="AJ48" s="174"/>
      <c r="AK48" s="174"/>
      <c r="AL48" s="174"/>
      <c r="AM48" s="174"/>
      <c r="AN48" s="174"/>
      <c r="AO48" s="174"/>
      <c r="AP48" s="174"/>
      <c r="AQ48" s="174"/>
      <c r="AR48" s="174"/>
      <c r="AS48" s="174"/>
      <c r="AT48" s="174"/>
      <c r="AU48" s="174"/>
      <c r="AV48" s="174"/>
      <c r="AW48" s="174"/>
      <c r="AX48" s="174"/>
      <c r="AY48" s="174"/>
      <c r="AZ48" s="174"/>
      <c r="BA48" s="174"/>
      <c r="BB48" s="174"/>
    </row>
    <row r="49" spans="1:54" s="176" customFormat="1" x14ac:dyDescent="0.3">
      <c r="A49" s="173"/>
      <c r="B49" s="173"/>
      <c r="C49" s="173"/>
      <c r="D49" s="173"/>
      <c r="E49" s="173"/>
      <c r="F49" s="173"/>
      <c r="G49" s="173"/>
      <c r="H49" s="173"/>
      <c r="I49" s="173"/>
      <c r="J49" s="173"/>
      <c r="K49" s="173"/>
      <c r="L49" s="175"/>
      <c r="M49" s="173"/>
      <c r="N49" s="195"/>
      <c r="O49" s="201"/>
      <c r="P49" s="201"/>
      <c r="Q49" s="201"/>
      <c r="R49" s="196"/>
      <c r="S49" s="173"/>
      <c r="T49" s="173"/>
      <c r="U49" s="173"/>
      <c r="V49" s="173"/>
      <c r="W49" s="197"/>
      <c r="X49" s="195"/>
      <c r="Y49"/>
      <c r="AI49" s="174"/>
      <c r="AJ49" s="174"/>
      <c r="AK49" s="174"/>
      <c r="AL49" s="174"/>
      <c r="AM49" s="174"/>
      <c r="AN49" s="174"/>
      <c r="AO49" s="174"/>
      <c r="AP49" s="174"/>
      <c r="AQ49" s="174"/>
      <c r="AR49" s="174"/>
      <c r="AS49" s="174"/>
      <c r="AT49" s="174"/>
      <c r="AU49" s="174"/>
      <c r="AV49" s="174"/>
      <c r="AW49" s="174"/>
      <c r="AX49" s="174"/>
      <c r="AY49" s="174"/>
      <c r="AZ49" s="174"/>
      <c r="BA49" s="174"/>
      <c r="BB49" s="174"/>
    </row>
  </sheetData>
  <autoFilter ref="A2:AA45" xr:uid="{6EEFBEEE-47BF-4792-9F2E-295321A7CECA}"/>
  <dataValidations count="1">
    <dataValidation type="list" allowBlank="1" showInputMessage="1" showErrorMessage="1" promptTitle="Wybór z listy rozwijanej" prompt="Lista rozwijana" sqref="S3:S45" xr:uid="{A75052E2-6037-45DE-BD4F-4AF23BB68461}">
      <formula1>#REF!</formula1>
    </dataValidation>
  </dataValidations>
  <pageMargins left="0.23622047244094491" right="0.23622047244094491" top="0.27559055118110237" bottom="0.27559055118110237" header="0" footer="0"/>
  <pageSetup paperSize="8" scale="62" orientation="landscape"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BDE20-765A-425B-ABAB-D206FD953543}">
  <sheetPr>
    <tabColor theme="8"/>
  </sheetPr>
  <dimension ref="A1:BM32"/>
  <sheetViews>
    <sheetView view="pageBreakPreview" zoomScale="82" zoomScaleNormal="100" zoomScaleSheetLayoutView="82" workbookViewId="0">
      <pane xSplit="3" ySplit="3" topLeftCell="D4" activePane="bottomRight" state="frozen"/>
      <selection pane="topRight" activeCell="C1" sqref="C1"/>
      <selection pane="bottomLeft" activeCell="A2" sqref="A2"/>
      <selection pane="bottomRight" activeCell="N6" sqref="N6"/>
    </sheetView>
  </sheetViews>
  <sheetFormatPr defaultColWidth="8.6640625" defaultRowHeight="16.2" x14ac:dyDescent="0.3"/>
  <cols>
    <col min="1" max="1" width="9.6640625" style="256" customWidth="1"/>
    <col min="2" max="2" width="6.33203125" style="256" customWidth="1"/>
    <col min="3" max="3" width="8.6640625" style="256" customWidth="1"/>
    <col min="4" max="4" width="9.44140625" style="256" customWidth="1"/>
    <col min="5" max="5" width="12.88671875" style="256" customWidth="1"/>
    <col min="6" max="6" width="26.109375" style="256" customWidth="1"/>
    <col min="7" max="7" width="15.33203125" style="256" customWidth="1"/>
    <col min="8" max="8" width="11.33203125" style="256" customWidth="1"/>
    <col min="9" max="9" width="17.88671875" style="256" customWidth="1"/>
    <col min="10" max="10" width="14.44140625" style="175" customWidth="1"/>
    <col min="11" max="11" width="15.109375" style="256" customWidth="1"/>
    <col min="12" max="12" width="10.6640625" style="256" customWidth="1"/>
    <col min="13" max="13" width="13.88671875" style="256" customWidth="1"/>
    <col min="14" max="14" width="27.6640625" style="255" customWidth="1"/>
    <col min="15" max="15" width="53.33203125" style="257" customWidth="1"/>
    <col min="16" max="16" width="19.33203125" style="173" customWidth="1"/>
    <col min="17" max="17" width="11.109375" style="313" customWidth="1"/>
    <col min="18" max="18" width="15" style="362" customWidth="1"/>
    <col min="19" max="19" width="18" style="362" customWidth="1"/>
    <col min="20" max="20" width="18.6640625" style="313" customWidth="1"/>
    <col min="21" max="21" width="23" style="256" customWidth="1"/>
    <col min="22" max="22" width="11.44140625" style="313" customWidth="1"/>
    <col min="23" max="23" width="15.33203125" style="313" customWidth="1"/>
    <col min="24" max="24" width="17.88671875" style="234" customWidth="1"/>
    <col min="25" max="25" width="18.6640625" style="313" customWidth="1"/>
    <col min="26" max="26" width="23" style="256" customWidth="1"/>
    <col min="27" max="27" width="11.109375" style="313" customWidth="1"/>
    <col min="28" max="28" width="16.88671875" style="234" customWidth="1"/>
    <col min="29" max="29" width="19" style="234" customWidth="1"/>
    <col min="30" max="30" width="19.109375" style="313" customWidth="1"/>
    <col min="31" max="31" width="23" style="256" customWidth="1"/>
    <col min="32" max="32" width="11.33203125" style="313" customWidth="1"/>
    <col min="33" max="33" width="15.33203125" style="313" customWidth="1"/>
    <col min="34" max="34" width="18" style="313" customWidth="1"/>
    <col min="35" max="35" width="18.44140625" style="313" customWidth="1"/>
    <col min="36" max="36" width="23" style="256" customWidth="1"/>
    <col min="37" max="37" width="20.5546875" style="256" customWidth="1"/>
    <col min="38" max="38" width="29.44140625" style="256" customWidth="1"/>
    <col min="39" max="39" width="27.33203125" style="256" customWidth="1"/>
    <col min="40" max="45" width="8.6640625" style="251"/>
    <col min="46" max="60" width="8.6640625" style="252"/>
    <col min="61" max="65" width="8.6640625" style="241"/>
    <col min="66" max="16384" width="8.6640625" style="243"/>
  </cols>
  <sheetData>
    <row r="1" spans="1:65" ht="17.25" customHeight="1" x14ac:dyDescent="0.3">
      <c r="O1" s="340"/>
      <c r="P1" s="339"/>
      <c r="Q1" s="341"/>
      <c r="R1" s="361"/>
      <c r="S1" s="361"/>
      <c r="AM1" s="256" t="s">
        <v>2028</v>
      </c>
    </row>
    <row r="2" spans="1:65" ht="21" customHeight="1" x14ac:dyDescent="0.3"/>
    <row r="3" spans="1:65" s="287" customFormat="1" ht="117" customHeight="1" x14ac:dyDescent="0.3">
      <c r="A3" s="353" t="s">
        <v>1878</v>
      </c>
      <c r="B3" s="284" t="s">
        <v>1952</v>
      </c>
      <c r="C3" s="284" t="s">
        <v>1866</v>
      </c>
      <c r="D3" s="284" t="s">
        <v>1868</v>
      </c>
      <c r="E3" s="284" t="s">
        <v>1970</v>
      </c>
      <c r="F3" s="284" t="s">
        <v>1869</v>
      </c>
      <c r="G3" s="284" t="s">
        <v>2057</v>
      </c>
      <c r="H3" s="284" t="s">
        <v>2042</v>
      </c>
      <c r="I3" s="284" t="s">
        <v>2048</v>
      </c>
      <c r="J3" s="353" t="s">
        <v>2044</v>
      </c>
      <c r="K3" s="284" t="s">
        <v>2058</v>
      </c>
      <c r="L3" s="284" t="s">
        <v>2025</v>
      </c>
      <c r="M3" s="284" t="s">
        <v>1857</v>
      </c>
      <c r="N3" s="283" t="s">
        <v>1865</v>
      </c>
      <c r="O3" s="283" t="s">
        <v>2061</v>
      </c>
      <c r="P3" s="282" t="s">
        <v>2062</v>
      </c>
      <c r="Q3" s="285" t="s">
        <v>2068</v>
      </c>
      <c r="R3" s="285" t="s">
        <v>2067</v>
      </c>
      <c r="S3" s="285" t="s">
        <v>2066</v>
      </c>
      <c r="T3" s="285" t="s">
        <v>2069</v>
      </c>
      <c r="U3" s="284" t="s">
        <v>1871</v>
      </c>
      <c r="V3" s="285" t="s">
        <v>2074</v>
      </c>
      <c r="W3" s="286" t="s">
        <v>2077</v>
      </c>
      <c r="X3" s="286" t="s">
        <v>2080</v>
      </c>
      <c r="Y3" s="285" t="s">
        <v>2069</v>
      </c>
      <c r="Z3" s="284" t="s">
        <v>1871</v>
      </c>
      <c r="AA3" s="285" t="s">
        <v>2075</v>
      </c>
      <c r="AB3" s="286" t="s">
        <v>2078</v>
      </c>
      <c r="AC3" s="286" t="s">
        <v>2081</v>
      </c>
      <c r="AD3" s="285" t="s">
        <v>2069</v>
      </c>
      <c r="AE3" s="284" t="s">
        <v>1871</v>
      </c>
      <c r="AF3" s="285" t="s">
        <v>2076</v>
      </c>
      <c r="AG3" s="286" t="s">
        <v>2079</v>
      </c>
      <c r="AH3" s="286" t="s">
        <v>2082</v>
      </c>
      <c r="AI3" s="285" t="s">
        <v>2069</v>
      </c>
      <c r="AJ3" s="284" t="s">
        <v>1871</v>
      </c>
      <c r="AK3" s="284" t="s">
        <v>2003</v>
      </c>
      <c r="AL3" s="284" t="s">
        <v>1876</v>
      </c>
      <c r="AM3" s="284" t="s">
        <v>2001</v>
      </c>
      <c r="AN3" s="314"/>
      <c r="AO3" s="314"/>
      <c r="AP3" s="314"/>
      <c r="AQ3" s="314"/>
      <c r="AR3" s="314"/>
      <c r="AS3" s="314"/>
      <c r="AT3" s="314"/>
      <c r="AU3" s="314"/>
      <c r="AV3" s="314"/>
      <c r="AW3" s="314"/>
      <c r="AX3" s="314"/>
      <c r="AY3" s="314"/>
      <c r="AZ3" s="314"/>
      <c r="BA3" s="314"/>
      <c r="BB3" s="314"/>
      <c r="BC3" s="314"/>
      <c r="BD3" s="314"/>
      <c r="BE3" s="314"/>
      <c r="BF3" s="314"/>
      <c r="BG3" s="314"/>
      <c r="BH3" s="314"/>
    </row>
    <row r="4" spans="1:65" s="342" customFormat="1" ht="11.25" customHeight="1" x14ac:dyDescent="0.3">
      <c r="A4" s="315">
        <v>1</v>
      </c>
      <c r="B4" s="315">
        <v>2</v>
      </c>
      <c r="C4" s="315">
        <v>3</v>
      </c>
      <c r="D4" s="315">
        <v>4</v>
      </c>
      <c r="E4" s="315">
        <v>5</v>
      </c>
      <c r="F4" s="315">
        <v>6</v>
      </c>
      <c r="G4" s="315">
        <v>7</v>
      </c>
      <c r="H4" s="315">
        <v>8</v>
      </c>
      <c r="I4" s="315">
        <v>9</v>
      </c>
      <c r="J4" s="315">
        <v>10</v>
      </c>
      <c r="K4" s="315">
        <v>11</v>
      </c>
      <c r="L4" s="315">
        <v>12</v>
      </c>
      <c r="M4" s="315">
        <v>13</v>
      </c>
      <c r="N4" s="315">
        <v>14</v>
      </c>
      <c r="O4" s="315">
        <v>15</v>
      </c>
      <c r="P4" s="315">
        <v>16</v>
      </c>
      <c r="Q4" s="315">
        <v>17</v>
      </c>
      <c r="R4" s="315">
        <v>18</v>
      </c>
      <c r="S4" s="315">
        <v>19</v>
      </c>
      <c r="T4" s="315">
        <v>20</v>
      </c>
      <c r="U4" s="315">
        <v>21</v>
      </c>
      <c r="V4" s="315">
        <v>22</v>
      </c>
      <c r="W4" s="315">
        <v>23</v>
      </c>
      <c r="X4" s="315">
        <v>24</v>
      </c>
      <c r="Y4" s="315">
        <v>25</v>
      </c>
      <c r="Z4" s="315">
        <v>26</v>
      </c>
      <c r="AA4" s="315">
        <v>27</v>
      </c>
      <c r="AB4" s="315">
        <v>28</v>
      </c>
      <c r="AC4" s="315">
        <v>29</v>
      </c>
      <c r="AD4" s="315">
        <v>30</v>
      </c>
      <c r="AE4" s="315">
        <v>31</v>
      </c>
      <c r="AF4" s="315">
        <v>32</v>
      </c>
      <c r="AG4" s="315">
        <v>33</v>
      </c>
      <c r="AH4" s="315">
        <v>34</v>
      </c>
      <c r="AI4" s="315">
        <v>35</v>
      </c>
      <c r="AJ4" s="315">
        <v>36</v>
      </c>
      <c r="AK4" s="315">
        <v>37</v>
      </c>
      <c r="AL4" s="315">
        <v>38</v>
      </c>
      <c r="AM4" s="315">
        <v>39</v>
      </c>
    </row>
    <row r="5" spans="1:65" s="241" customFormat="1" ht="31.2" customHeight="1" x14ac:dyDescent="0.3">
      <c r="A5" s="344">
        <v>27</v>
      </c>
      <c r="B5" s="344">
        <v>750</v>
      </c>
      <c r="C5" s="344">
        <v>75001</v>
      </c>
      <c r="D5" s="344">
        <v>400</v>
      </c>
      <c r="E5" s="344">
        <v>0</v>
      </c>
      <c r="F5" s="344" t="s">
        <v>2021</v>
      </c>
      <c r="G5" s="344" t="s">
        <v>2050</v>
      </c>
      <c r="H5" s="344" t="s">
        <v>2052</v>
      </c>
      <c r="I5" s="344" t="s">
        <v>245</v>
      </c>
      <c r="J5" s="354" t="s">
        <v>2029</v>
      </c>
      <c r="K5" s="344" t="s">
        <v>245</v>
      </c>
      <c r="L5" s="344" t="s">
        <v>1845</v>
      </c>
      <c r="M5" s="344" t="s">
        <v>1858</v>
      </c>
      <c r="N5" s="236" t="s">
        <v>1986</v>
      </c>
      <c r="O5" s="242" t="s">
        <v>1877</v>
      </c>
      <c r="P5" s="179" t="s">
        <v>2002</v>
      </c>
      <c r="Q5" s="316">
        <v>5</v>
      </c>
      <c r="R5" s="316">
        <v>2</v>
      </c>
      <c r="S5" s="239">
        <f>Q5-R5</f>
        <v>3</v>
      </c>
      <c r="T5" s="316" t="s">
        <v>420</v>
      </c>
      <c r="U5" s="233" t="s">
        <v>245</v>
      </c>
      <c r="V5" s="316">
        <v>5</v>
      </c>
      <c r="W5" s="316">
        <v>5</v>
      </c>
      <c r="X5" s="239">
        <f>V5-W5</f>
        <v>0</v>
      </c>
      <c r="Y5" s="316" t="s">
        <v>420</v>
      </c>
      <c r="Z5" s="233" t="s">
        <v>245</v>
      </c>
      <c r="AA5" s="316">
        <v>5</v>
      </c>
      <c r="AB5" s="316">
        <v>4</v>
      </c>
      <c r="AC5" s="239">
        <f>AA5-AB5</f>
        <v>1</v>
      </c>
      <c r="AD5" s="316" t="s">
        <v>420</v>
      </c>
      <c r="AE5" s="233" t="s">
        <v>245</v>
      </c>
      <c r="AF5" s="316">
        <v>5</v>
      </c>
      <c r="AG5" s="316">
        <v>2</v>
      </c>
      <c r="AH5" s="239">
        <f>AF5-AG5</f>
        <v>3</v>
      </c>
      <c r="AI5" s="316" t="s">
        <v>420</v>
      </c>
      <c r="AJ5" s="233" t="s">
        <v>245</v>
      </c>
      <c r="AK5" s="233" t="s">
        <v>245</v>
      </c>
      <c r="AL5" s="233" t="s">
        <v>420</v>
      </c>
      <c r="AM5" s="233" t="s">
        <v>420</v>
      </c>
      <c r="AN5" s="251"/>
      <c r="AO5" s="251"/>
      <c r="AP5" s="251"/>
      <c r="AQ5" s="251"/>
      <c r="AR5" s="251"/>
      <c r="AS5" s="251"/>
      <c r="AT5" s="252"/>
      <c r="AU5" s="252"/>
      <c r="AV5" s="252"/>
      <c r="AW5" s="252"/>
      <c r="AX5" s="252"/>
      <c r="AY5" s="252"/>
      <c r="AZ5" s="252"/>
      <c r="BA5" s="252"/>
      <c r="BB5" s="252"/>
      <c r="BC5" s="252"/>
      <c r="BD5" s="252"/>
      <c r="BE5" s="252"/>
      <c r="BF5" s="252"/>
      <c r="BG5" s="252"/>
      <c r="BH5" s="252"/>
    </row>
    <row r="6" spans="1:65" s="241" customFormat="1" ht="113.4" x14ac:dyDescent="0.3">
      <c r="A6" s="344">
        <v>27</v>
      </c>
      <c r="B6" s="344">
        <v>750</v>
      </c>
      <c r="C6" s="344">
        <v>75001</v>
      </c>
      <c r="D6" s="344">
        <v>400</v>
      </c>
      <c r="E6" s="344">
        <v>1</v>
      </c>
      <c r="F6" s="344" t="s">
        <v>2024</v>
      </c>
      <c r="G6" s="344" t="s">
        <v>2051</v>
      </c>
      <c r="H6" s="344" t="s">
        <v>2053</v>
      </c>
      <c r="I6" s="344" t="s">
        <v>2011</v>
      </c>
      <c r="J6" s="354" t="s">
        <v>2029</v>
      </c>
      <c r="K6" s="344" t="s">
        <v>245</v>
      </c>
      <c r="L6" s="344" t="s">
        <v>1845</v>
      </c>
      <c r="M6" s="344" t="s">
        <v>1858</v>
      </c>
      <c r="N6" s="235" t="s">
        <v>1975</v>
      </c>
      <c r="O6" s="238" t="s">
        <v>2005</v>
      </c>
      <c r="P6" s="179" t="s">
        <v>1999</v>
      </c>
      <c r="Q6" s="316">
        <v>20</v>
      </c>
      <c r="R6" s="316">
        <v>10</v>
      </c>
      <c r="S6" s="239">
        <f>Q6-R6</f>
        <v>10</v>
      </c>
      <c r="T6" s="316" t="s">
        <v>420</v>
      </c>
      <c r="U6" s="233" t="s">
        <v>245</v>
      </c>
      <c r="V6" s="316">
        <v>20</v>
      </c>
      <c r="W6" s="316">
        <v>10</v>
      </c>
      <c r="X6" s="239">
        <f>V6-W6</f>
        <v>10</v>
      </c>
      <c r="Y6" s="316" t="s">
        <v>420</v>
      </c>
      <c r="Z6" s="233" t="s">
        <v>245</v>
      </c>
      <c r="AA6" s="316">
        <v>20</v>
      </c>
      <c r="AB6" s="316">
        <v>10</v>
      </c>
      <c r="AC6" s="239">
        <f>AA6-AB6</f>
        <v>10</v>
      </c>
      <c r="AD6" s="316" t="s">
        <v>420</v>
      </c>
      <c r="AE6" s="233" t="s">
        <v>245</v>
      </c>
      <c r="AF6" s="316">
        <v>20</v>
      </c>
      <c r="AG6" s="316">
        <v>10</v>
      </c>
      <c r="AH6" s="239">
        <f>AF6-AG6</f>
        <v>10</v>
      </c>
      <c r="AI6" s="316" t="s">
        <v>420</v>
      </c>
      <c r="AJ6" s="233" t="s">
        <v>245</v>
      </c>
      <c r="AK6" s="233" t="s">
        <v>245</v>
      </c>
      <c r="AL6" s="233" t="s">
        <v>420</v>
      </c>
      <c r="AM6" s="233" t="s">
        <v>420</v>
      </c>
      <c r="AN6" s="251"/>
      <c r="AO6" s="251"/>
      <c r="AP6" s="251"/>
      <c r="AQ6" s="251"/>
      <c r="AR6" s="251"/>
      <c r="AS6" s="251"/>
      <c r="AT6" s="252"/>
      <c r="AU6" s="252"/>
      <c r="AV6" s="252"/>
      <c r="AW6" s="252"/>
      <c r="AX6" s="252"/>
      <c r="AY6" s="252"/>
      <c r="AZ6" s="252"/>
      <c r="BA6" s="252"/>
      <c r="BB6" s="252"/>
      <c r="BC6" s="252"/>
      <c r="BD6" s="252"/>
      <c r="BE6" s="252"/>
      <c r="BF6" s="252"/>
      <c r="BG6" s="252"/>
      <c r="BH6" s="252"/>
    </row>
    <row r="7" spans="1:65" s="241" customFormat="1" ht="113.4" x14ac:dyDescent="0.3">
      <c r="A7" s="344">
        <v>27</v>
      </c>
      <c r="B7" s="344">
        <v>750</v>
      </c>
      <c r="C7" s="344">
        <v>75001</v>
      </c>
      <c r="D7" s="344">
        <v>400</v>
      </c>
      <c r="E7" s="344">
        <v>2</v>
      </c>
      <c r="F7" s="344" t="s">
        <v>2024</v>
      </c>
      <c r="G7" s="344" t="s">
        <v>2051</v>
      </c>
      <c r="H7" s="344" t="s">
        <v>2053</v>
      </c>
      <c r="I7" s="344" t="s">
        <v>2011</v>
      </c>
      <c r="J7" s="354" t="s">
        <v>2029</v>
      </c>
      <c r="K7" s="344" t="s">
        <v>245</v>
      </c>
      <c r="L7" s="344" t="s">
        <v>1845</v>
      </c>
      <c r="M7" s="344" t="s">
        <v>1858</v>
      </c>
      <c r="N7" s="235" t="s">
        <v>1975</v>
      </c>
      <c r="O7" s="238" t="s">
        <v>2005</v>
      </c>
      <c r="P7" s="179" t="s">
        <v>1999</v>
      </c>
      <c r="Q7" s="316">
        <v>10</v>
      </c>
      <c r="R7" s="316">
        <v>5</v>
      </c>
      <c r="S7" s="239">
        <f>Q7-R7</f>
        <v>5</v>
      </c>
      <c r="T7" s="316" t="s">
        <v>420</v>
      </c>
      <c r="U7" s="233" t="s">
        <v>245</v>
      </c>
      <c r="V7" s="316">
        <v>10</v>
      </c>
      <c r="W7" s="316">
        <v>5</v>
      </c>
      <c r="X7" s="239">
        <f>V7-W7</f>
        <v>5</v>
      </c>
      <c r="Y7" s="316" t="s">
        <v>420</v>
      </c>
      <c r="Z7" s="233" t="s">
        <v>245</v>
      </c>
      <c r="AA7" s="316">
        <v>10</v>
      </c>
      <c r="AB7" s="316">
        <v>5</v>
      </c>
      <c r="AC7" s="239">
        <f>AA7-AB7</f>
        <v>5</v>
      </c>
      <c r="AD7" s="316" t="s">
        <v>420</v>
      </c>
      <c r="AE7" s="233" t="s">
        <v>245</v>
      </c>
      <c r="AF7" s="316">
        <v>10</v>
      </c>
      <c r="AG7" s="316">
        <v>5</v>
      </c>
      <c r="AH7" s="239">
        <f>AF7-AG7</f>
        <v>5</v>
      </c>
      <c r="AI7" s="316" t="s">
        <v>420</v>
      </c>
      <c r="AJ7" s="233" t="s">
        <v>245</v>
      </c>
      <c r="AK7" s="233" t="s">
        <v>245</v>
      </c>
      <c r="AL7" s="233" t="s">
        <v>420</v>
      </c>
      <c r="AM7" s="233" t="s">
        <v>420</v>
      </c>
      <c r="AN7" s="251"/>
      <c r="AO7" s="251"/>
      <c r="AP7" s="251"/>
      <c r="AQ7" s="251"/>
      <c r="AR7" s="251"/>
      <c r="AS7" s="251"/>
      <c r="AT7" s="252"/>
      <c r="AU7" s="252"/>
      <c r="AV7" s="252"/>
      <c r="AW7" s="252"/>
      <c r="AX7" s="252"/>
      <c r="AY7" s="252"/>
      <c r="AZ7" s="252"/>
      <c r="BA7" s="252"/>
      <c r="BB7" s="252"/>
      <c r="BC7" s="252"/>
      <c r="BD7" s="252"/>
      <c r="BE7" s="252"/>
      <c r="BF7" s="252"/>
      <c r="BG7" s="252"/>
      <c r="BH7" s="252"/>
    </row>
    <row r="8" spans="1:65" s="241" customFormat="1" x14ac:dyDescent="0.3">
      <c r="A8" s="344">
        <v>27</v>
      </c>
      <c r="B8" s="344">
        <v>750</v>
      </c>
      <c r="C8" s="344">
        <v>75001</v>
      </c>
      <c r="D8" s="344">
        <v>606</v>
      </c>
      <c r="E8" s="344">
        <v>0</v>
      </c>
      <c r="F8" s="344" t="s">
        <v>2023</v>
      </c>
      <c r="G8" s="344" t="s">
        <v>2050</v>
      </c>
      <c r="H8" s="344" t="s">
        <v>2052</v>
      </c>
      <c r="I8" s="344" t="s">
        <v>245</v>
      </c>
      <c r="J8" s="354" t="s">
        <v>2029</v>
      </c>
      <c r="K8" s="344" t="s">
        <v>1978</v>
      </c>
      <c r="L8" s="344" t="s">
        <v>1845</v>
      </c>
      <c r="M8" s="344" t="s">
        <v>1858</v>
      </c>
      <c r="N8" s="235" t="s">
        <v>1974</v>
      </c>
      <c r="O8" s="238" t="s">
        <v>1976</v>
      </c>
      <c r="P8" s="179" t="s">
        <v>2002</v>
      </c>
      <c r="Q8" s="316">
        <v>120</v>
      </c>
      <c r="R8" s="316">
        <v>120</v>
      </c>
      <c r="S8" s="239">
        <f>Q8-R8</f>
        <v>0</v>
      </c>
      <c r="T8" s="316" t="s">
        <v>420</v>
      </c>
      <c r="U8" s="233" t="s">
        <v>245</v>
      </c>
      <c r="V8" s="316">
        <v>120</v>
      </c>
      <c r="W8" s="316">
        <v>120</v>
      </c>
      <c r="X8" s="239">
        <f>V8-W8</f>
        <v>0</v>
      </c>
      <c r="Y8" s="316" t="s">
        <v>420</v>
      </c>
      <c r="Z8" s="233" t="s">
        <v>245</v>
      </c>
      <c r="AA8" s="316">
        <v>120</v>
      </c>
      <c r="AB8" s="316">
        <v>120</v>
      </c>
      <c r="AC8" s="239">
        <f>AA8-AB8</f>
        <v>0</v>
      </c>
      <c r="AD8" s="316" t="s">
        <v>420</v>
      </c>
      <c r="AE8" s="233" t="s">
        <v>245</v>
      </c>
      <c r="AF8" s="316">
        <v>120</v>
      </c>
      <c r="AG8" s="316">
        <v>120</v>
      </c>
      <c r="AH8" s="239">
        <f>AF8-AG8</f>
        <v>0</v>
      </c>
      <c r="AI8" s="316" t="s">
        <v>420</v>
      </c>
      <c r="AJ8" s="233" t="s">
        <v>245</v>
      </c>
      <c r="AK8" s="233" t="s">
        <v>245</v>
      </c>
      <c r="AL8" s="233" t="s">
        <v>420</v>
      </c>
      <c r="AM8" s="233" t="s">
        <v>420</v>
      </c>
      <c r="AN8" s="251"/>
      <c r="AO8" s="251"/>
      <c r="AP8" s="251"/>
      <c r="AQ8" s="251"/>
      <c r="AR8" s="251"/>
      <c r="AS8" s="251"/>
      <c r="AT8" s="252"/>
      <c r="AU8" s="252"/>
      <c r="AV8" s="252"/>
      <c r="AW8" s="252"/>
      <c r="AX8" s="252"/>
      <c r="AY8" s="252"/>
      <c r="AZ8" s="252"/>
      <c r="BA8" s="252"/>
      <c r="BB8" s="252"/>
      <c r="BC8" s="252"/>
      <c r="BD8" s="252"/>
      <c r="BE8" s="252"/>
      <c r="BF8" s="252"/>
      <c r="BG8" s="252"/>
      <c r="BH8" s="252"/>
    </row>
    <row r="9" spans="1:65" s="280" customFormat="1" ht="18.75" customHeight="1" x14ac:dyDescent="0.3">
      <c r="A9" s="276"/>
      <c r="B9" s="276"/>
      <c r="C9" s="276"/>
      <c r="D9" s="276"/>
      <c r="E9" s="276"/>
      <c r="F9" s="276"/>
      <c r="G9" s="276"/>
      <c r="H9" s="276"/>
      <c r="I9" s="276"/>
      <c r="J9" s="355" t="s">
        <v>2030</v>
      </c>
      <c r="K9" s="276"/>
      <c r="L9" s="276"/>
      <c r="M9" s="276"/>
      <c r="N9" s="277"/>
      <c r="O9" s="281"/>
      <c r="P9" s="261"/>
      <c r="Q9" s="278">
        <f>SUM(Q5:Q8)</f>
        <v>155</v>
      </c>
      <c r="R9" s="278">
        <f>SUM(R5:R8)</f>
        <v>137</v>
      </c>
      <c r="S9" s="278">
        <f>SUM(S5:S8)</f>
        <v>18</v>
      </c>
      <c r="T9" s="278">
        <f t="shared" ref="T9:AI9" si="0">SUM(T5:T8)</f>
        <v>0</v>
      </c>
      <c r="U9" s="276" t="s">
        <v>2004</v>
      </c>
      <c r="V9" s="278">
        <f t="shared" si="0"/>
        <v>155</v>
      </c>
      <c r="W9" s="278">
        <f>SUM(W5:W8)</f>
        <v>140</v>
      </c>
      <c r="X9" s="278">
        <f>SUM(X5:X8)</f>
        <v>15</v>
      </c>
      <c r="Y9" s="278">
        <f t="shared" ref="Y9" si="1">SUM(Y5:Y8)</f>
        <v>0</v>
      </c>
      <c r="Z9" s="276" t="s">
        <v>2004</v>
      </c>
      <c r="AA9" s="278">
        <f t="shared" si="0"/>
        <v>155</v>
      </c>
      <c r="AB9" s="278">
        <f>SUM(AB5:AB8)</f>
        <v>139</v>
      </c>
      <c r="AC9" s="278">
        <f>SUM(AC5:AC8)</f>
        <v>16</v>
      </c>
      <c r="AD9" s="278">
        <f t="shared" si="0"/>
        <v>0</v>
      </c>
      <c r="AE9" s="276" t="s">
        <v>2004</v>
      </c>
      <c r="AF9" s="278">
        <f t="shared" si="0"/>
        <v>155</v>
      </c>
      <c r="AG9" s="278">
        <f>SUM(AG5:AG8)</f>
        <v>137</v>
      </c>
      <c r="AH9" s="278">
        <f>SUM(AH5:AH8)</f>
        <v>18</v>
      </c>
      <c r="AI9" s="278">
        <f t="shared" si="0"/>
        <v>0</v>
      </c>
      <c r="AJ9" s="276" t="s">
        <v>2004</v>
      </c>
      <c r="AK9" s="276" t="s">
        <v>2004</v>
      </c>
      <c r="AL9" s="276" t="s">
        <v>2004</v>
      </c>
      <c r="AM9" s="276" t="s">
        <v>2004</v>
      </c>
      <c r="AN9" s="317"/>
      <c r="AO9" s="317"/>
      <c r="AP9" s="317"/>
      <c r="AQ9" s="317"/>
      <c r="AR9" s="317"/>
      <c r="AS9" s="317"/>
      <c r="AT9" s="317"/>
      <c r="AU9" s="317"/>
      <c r="AV9" s="317"/>
      <c r="AW9" s="317"/>
      <c r="AX9" s="317"/>
      <c r="AY9" s="317"/>
      <c r="AZ9" s="317"/>
      <c r="BA9" s="317"/>
      <c r="BB9" s="317"/>
      <c r="BC9" s="317"/>
      <c r="BD9" s="317"/>
      <c r="BE9" s="317"/>
      <c r="BF9" s="317"/>
      <c r="BG9" s="317"/>
      <c r="BH9" s="317"/>
      <c r="BI9" s="279"/>
      <c r="BJ9" s="279"/>
    </row>
    <row r="10" spans="1:65" ht="33.75" customHeight="1" x14ac:dyDescent="0.3">
      <c r="A10" s="289">
        <v>27</v>
      </c>
      <c r="B10" s="289">
        <v>750</v>
      </c>
      <c r="C10" s="289">
        <v>75001</v>
      </c>
      <c r="D10" s="289">
        <v>283</v>
      </c>
      <c r="E10" s="289">
        <v>0</v>
      </c>
      <c r="F10" s="289" t="s">
        <v>2022</v>
      </c>
      <c r="G10" s="289" t="s">
        <v>2054</v>
      </c>
      <c r="H10" s="289" t="s">
        <v>2053</v>
      </c>
      <c r="I10" s="289" t="s">
        <v>245</v>
      </c>
      <c r="J10" s="356" t="s">
        <v>2031</v>
      </c>
      <c r="K10" s="289" t="s">
        <v>245</v>
      </c>
      <c r="L10" s="289" t="s">
        <v>1880</v>
      </c>
      <c r="M10" s="289" t="s">
        <v>1881</v>
      </c>
      <c r="N10" s="236" t="s">
        <v>1977</v>
      </c>
      <c r="O10" s="242" t="s">
        <v>1980</v>
      </c>
      <c r="P10" s="259" t="s">
        <v>2000</v>
      </c>
      <c r="Q10" s="247">
        <v>50</v>
      </c>
      <c r="R10" s="247">
        <v>45</v>
      </c>
      <c r="S10" s="239">
        <f>Q10-R10</f>
        <v>5</v>
      </c>
      <c r="T10" s="247" t="s">
        <v>420</v>
      </c>
      <c r="U10" s="233" t="s">
        <v>245</v>
      </c>
      <c r="V10" s="247">
        <v>50</v>
      </c>
      <c r="W10" s="247">
        <v>47</v>
      </c>
      <c r="X10" s="239">
        <f>V10-W10</f>
        <v>3</v>
      </c>
      <c r="Y10" s="247" t="s">
        <v>420</v>
      </c>
      <c r="Z10" s="233" t="s">
        <v>245</v>
      </c>
      <c r="AA10" s="247">
        <v>50</v>
      </c>
      <c r="AB10" s="247">
        <v>49</v>
      </c>
      <c r="AC10" s="239">
        <f>AA10-AB10</f>
        <v>1</v>
      </c>
      <c r="AD10" s="247" t="s">
        <v>420</v>
      </c>
      <c r="AE10" s="233" t="s">
        <v>245</v>
      </c>
      <c r="AF10" s="247">
        <v>50</v>
      </c>
      <c r="AG10" s="247">
        <v>49</v>
      </c>
      <c r="AH10" s="239">
        <f>AF10-AG10</f>
        <v>1</v>
      </c>
      <c r="AI10" s="247" t="s">
        <v>420</v>
      </c>
      <c r="AJ10" s="233" t="s">
        <v>245</v>
      </c>
      <c r="AK10" s="220" t="s">
        <v>2006</v>
      </c>
      <c r="AL10" s="220" t="s">
        <v>2007</v>
      </c>
      <c r="AM10" s="220" t="s">
        <v>2009</v>
      </c>
      <c r="AP10" s="252"/>
      <c r="AQ10" s="252"/>
      <c r="AR10" s="252"/>
      <c r="AS10" s="252"/>
      <c r="BJ10" s="243"/>
      <c r="BK10" s="243"/>
      <c r="BL10" s="243"/>
      <c r="BM10" s="243"/>
    </row>
    <row r="11" spans="1:65" s="244" customFormat="1" ht="33" customHeight="1" x14ac:dyDescent="0.3">
      <c r="A11" s="289">
        <v>27</v>
      </c>
      <c r="B11" s="289">
        <v>720</v>
      </c>
      <c r="C11" s="289">
        <v>72030</v>
      </c>
      <c r="D11" s="289">
        <v>417</v>
      </c>
      <c r="E11" s="289">
        <v>0</v>
      </c>
      <c r="F11" s="289" t="s">
        <v>2021</v>
      </c>
      <c r="G11" s="289" t="s">
        <v>2050</v>
      </c>
      <c r="H11" s="289" t="s">
        <v>2052</v>
      </c>
      <c r="I11" s="289" t="s">
        <v>245</v>
      </c>
      <c r="J11" s="356" t="s">
        <v>2031</v>
      </c>
      <c r="K11" s="289" t="s">
        <v>245</v>
      </c>
      <c r="L11" s="289" t="s">
        <v>1845</v>
      </c>
      <c r="M11" s="289" t="s">
        <v>1858</v>
      </c>
      <c r="N11" s="235" t="s">
        <v>1984</v>
      </c>
      <c r="O11" s="238" t="s">
        <v>1985</v>
      </c>
      <c r="P11" s="179" t="s">
        <v>1999</v>
      </c>
      <c r="Q11" s="247">
        <v>5</v>
      </c>
      <c r="R11" s="247">
        <v>2</v>
      </c>
      <c r="S11" s="239">
        <f>Q11-R11</f>
        <v>3</v>
      </c>
      <c r="T11" s="247" t="s">
        <v>420</v>
      </c>
      <c r="U11" s="233" t="s">
        <v>245</v>
      </c>
      <c r="V11" s="247">
        <v>5</v>
      </c>
      <c r="W11" s="247">
        <v>2</v>
      </c>
      <c r="X11" s="239">
        <f>V11-W11</f>
        <v>3</v>
      </c>
      <c r="Y11" s="247" t="s">
        <v>420</v>
      </c>
      <c r="Z11" s="233" t="s">
        <v>245</v>
      </c>
      <c r="AA11" s="247">
        <v>5</v>
      </c>
      <c r="AB11" s="247">
        <v>2</v>
      </c>
      <c r="AC11" s="239">
        <f>AA11-AB11</f>
        <v>3</v>
      </c>
      <c r="AD11" s="247" t="s">
        <v>420</v>
      </c>
      <c r="AE11" s="233" t="s">
        <v>245</v>
      </c>
      <c r="AF11" s="247">
        <v>5</v>
      </c>
      <c r="AG11" s="247">
        <v>2</v>
      </c>
      <c r="AH11" s="239">
        <f>AF11-AG11</f>
        <v>3</v>
      </c>
      <c r="AI11" s="247" t="s">
        <v>420</v>
      </c>
      <c r="AJ11" s="233" t="s">
        <v>245</v>
      </c>
      <c r="AK11" s="233" t="s">
        <v>245</v>
      </c>
      <c r="AL11" s="220" t="s">
        <v>420</v>
      </c>
      <c r="AM11" s="220" t="s">
        <v>420</v>
      </c>
      <c r="AN11" s="251"/>
      <c r="AO11" s="251"/>
      <c r="AP11" s="251"/>
      <c r="AQ11" s="251"/>
      <c r="AR11" s="251"/>
      <c r="AS11" s="251"/>
      <c r="AT11" s="251"/>
      <c r="AU11" s="251"/>
      <c r="AV11" s="251"/>
      <c r="AW11" s="251"/>
      <c r="AX11" s="251"/>
      <c r="AY11" s="251"/>
      <c r="AZ11" s="251"/>
      <c r="BA11" s="251"/>
      <c r="BB11" s="251"/>
      <c r="BC11" s="251"/>
      <c r="BD11" s="251"/>
      <c r="BE11" s="251"/>
      <c r="BF11" s="251"/>
      <c r="BG11" s="251"/>
      <c r="BH11" s="251"/>
      <c r="BI11" s="240"/>
    </row>
    <row r="12" spans="1:65" ht="33" customHeight="1" x14ac:dyDescent="0.3">
      <c r="A12" s="289">
        <v>27</v>
      </c>
      <c r="B12" s="289">
        <v>750</v>
      </c>
      <c r="C12" s="289">
        <v>75001</v>
      </c>
      <c r="D12" s="289">
        <v>623</v>
      </c>
      <c r="E12" s="289">
        <v>0</v>
      </c>
      <c r="F12" s="289" t="s">
        <v>2023</v>
      </c>
      <c r="G12" s="289" t="s">
        <v>2054</v>
      </c>
      <c r="H12" s="289" t="s">
        <v>2053</v>
      </c>
      <c r="I12" s="289" t="s">
        <v>245</v>
      </c>
      <c r="J12" s="356" t="s">
        <v>2031</v>
      </c>
      <c r="K12" s="289" t="s">
        <v>1979</v>
      </c>
      <c r="L12" s="289" t="s">
        <v>1880</v>
      </c>
      <c r="M12" s="289" t="s">
        <v>1881</v>
      </c>
      <c r="N12" s="236" t="s">
        <v>1981</v>
      </c>
      <c r="O12" s="242" t="s">
        <v>1982</v>
      </c>
      <c r="P12" s="259" t="s">
        <v>2000</v>
      </c>
      <c r="Q12" s="247">
        <v>50</v>
      </c>
      <c r="R12" s="247">
        <v>45</v>
      </c>
      <c r="S12" s="239">
        <f>Q12-R12</f>
        <v>5</v>
      </c>
      <c r="T12" s="247" t="s">
        <v>420</v>
      </c>
      <c r="U12" s="233" t="s">
        <v>245</v>
      </c>
      <c r="V12" s="247">
        <v>50</v>
      </c>
      <c r="W12" s="247">
        <v>45</v>
      </c>
      <c r="X12" s="239">
        <f>V12-W12</f>
        <v>5</v>
      </c>
      <c r="Y12" s="247" t="s">
        <v>420</v>
      </c>
      <c r="Z12" s="233" t="s">
        <v>245</v>
      </c>
      <c r="AA12" s="247">
        <v>50</v>
      </c>
      <c r="AB12" s="247">
        <v>45</v>
      </c>
      <c r="AC12" s="239">
        <f>AA12-AB12</f>
        <v>5</v>
      </c>
      <c r="AD12" s="247" t="s">
        <v>420</v>
      </c>
      <c r="AE12" s="233" t="s">
        <v>245</v>
      </c>
      <c r="AF12" s="247">
        <v>50</v>
      </c>
      <c r="AG12" s="247">
        <v>45</v>
      </c>
      <c r="AH12" s="239">
        <f>AF12-AG12</f>
        <v>5</v>
      </c>
      <c r="AI12" s="247" t="s">
        <v>420</v>
      </c>
      <c r="AJ12" s="233" t="s">
        <v>245</v>
      </c>
      <c r="AK12" s="220" t="s">
        <v>2006</v>
      </c>
      <c r="AL12" s="220" t="s">
        <v>2007</v>
      </c>
      <c r="AM12" s="220" t="s">
        <v>2009</v>
      </c>
      <c r="AP12" s="252"/>
      <c r="AQ12" s="252"/>
      <c r="AR12" s="252"/>
      <c r="AS12" s="252"/>
      <c r="BJ12" s="243"/>
      <c r="BK12" s="243"/>
      <c r="BL12" s="243"/>
      <c r="BM12" s="243"/>
    </row>
    <row r="13" spans="1:65" s="295" customFormat="1" ht="18.75" customHeight="1" x14ac:dyDescent="0.3">
      <c r="A13" s="289"/>
      <c r="B13" s="289"/>
      <c r="C13" s="289"/>
      <c r="D13" s="345"/>
      <c r="E13" s="345"/>
      <c r="F13" s="345"/>
      <c r="G13" s="345"/>
      <c r="H13" s="345"/>
      <c r="I13" s="345"/>
      <c r="J13" s="357" t="s">
        <v>2032</v>
      </c>
      <c r="K13" s="345"/>
      <c r="L13" s="345"/>
      <c r="M13" s="345"/>
      <c r="N13" s="291"/>
      <c r="O13" s="292"/>
      <c r="P13" s="288"/>
      <c r="Q13" s="293">
        <f>SUM(Q10:Q12)</f>
        <v>105</v>
      </c>
      <c r="R13" s="293">
        <f>SUM(R10:R12)</f>
        <v>92</v>
      </c>
      <c r="S13" s="293">
        <f>SUM(S10:S12)</f>
        <v>13</v>
      </c>
      <c r="T13" s="293">
        <f t="shared" ref="T13:AI13" si="2">SUM(T10:T12)</f>
        <v>0</v>
      </c>
      <c r="U13" s="290" t="s">
        <v>2004</v>
      </c>
      <c r="V13" s="293">
        <f t="shared" si="2"/>
        <v>105</v>
      </c>
      <c r="W13" s="293">
        <f>SUM(W10:W12)</f>
        <v>94</v>
      </c>
      <c r="X13" s="293">
        <f>SUM(X10:X12)</f>
        <v>11</v>
      </c>
      <c r="Y13" s="293">
        <f t="shared" ref="Y13" si="3">SUM(Y10:Y12)</f>
        <v>0</v>
      </c>
      <c r="Z13" s="290" t="s">
        <v>2004</v>
      </c>
      <c r="AA13" s="293">
        <f t="shared" si="2"/>
        <v>105</v>
      </c>
      <c r="AB13" s="293">
        <f>SUM(AB10:AB12)</f>
        <v>96</v>
      </c>
      <c r="AC13" s="293">
        <f>SUM(AC10:AC12)</f>
        <v>9</v>
      </c>
      <c r="AD13" s="293">
        <f t="shared" si="2"/>
        <v>0</v>
      </c>
      <c r="AE13" s="290" t="s">
        <v>2004</v>
      </c>
      <c r="AF13" s="293">
        <f t="shared" si="2"/>
        <v>105</v>
      </c>
      <c r="AG13" s="293">
        <f>SUM(AG10:AG12)</f>
        <v>96</v>
      </c>
      <c r="AH13" s="293">
        <f>SUM(AH10:AH12)</f>
        <v>9</v>
      </c>
      <c r="AI13" s="293">
        <f t="shared" si="2"/>
        <v>0</v>
      </c>
      <c r="AJ13" s="290" t="s">
        <v>2004</v>
      </c>
      <c r="AK13" s="290" t="s">
        <v>2004</v>
      </c>
      <c r="AL13" s="290" t="s">
        <v>2004</v>
      </c>
      <c r="AM13" s="290" t="s">
        <v>2004</v>
      </c>
      <c r="AN13" s="318"/>
      <c r="AO13" s="318"/>
      <c r="AP13" s="318"/>
      <c r="AQ13" s="318"/>
      <c r="AR13" s="318"/>
      <c r="AS13" s="318"/>
      <c r="AT13" s="318"/>
      <c r="AU13" s="318"/>
      <c r="AV13" s="318"/>
      <c r="AW13" s="318"/>
      <c r="AX13" s="318"/>
      <c r="AY13" s="318"/>
      <c r="AZ13" s="318"/>
      <c r="BA13" s="318"/>
      <c r="BB13" s="318"/>
      <c r="BC13" s="318"/>
      <c r="BD13" s="318"/>
      <c r="BE13" s="318"/>
      <c r="BF13" s="318"/>
      <c r="BG13" s="318"/>
      <c r="BH13" s="318"/>
      <c r="BI13" s="294"/>
      <c r="BJ13" s="294"/>
    </row>
    <row r="14" spans="1:65" s="241" customFormat="1" ht="64.8" x14ac:dyDescent="0.3">
      <c r="A14" s="328">
        <v>27</v>
      </c>
      <c r="B14" s="328">
        <v>750</v>
      </c>
      <c r="C14" s="328">
        <v>75001</v>
      </c>
      <c r="D14" s="328">
        <v>400</v>
      </c>
      <c r="E14" s="328">
        <v>0</v>
      </c>
      <c r="F14" s="328" t="s">
        <v>2021</v>
      </c>
      <c r="G14" s="328" t="s">
        <v>2050</v>
      </c>
      <c r="H14" s="328" t="s">
        <v>2052</v>
      </c>
      <c r="I14" s="328" t="s">
        <v>245</v>
      </c>
      <c r="J14" s="329" t="s">
        <v>2033</v>
      </c>
      <c r="K14" s="328" t="s">
        <v>245</v>
      </c>
      <c r="L14" s="328" t="s">
        <v>1845</v>
      </c>
      <c r="M14" s="328" t="s">
        <v>1858</v>
      </c>
      <c r="N14" s="235" t="s">
        <v>1972</v>
      </c>
      <c r="O14" s="238" t="s">
        <v>1973</v>
      </c>
      <c r="P14" s="179" t="s">
        <v>2002</v>
      </c>
      <c r="Q14" s="248">
        <v>1</v>
      </c>
      <c r="R14" s="248">
        <v>1</v>
      </c>
      <c r="S14" s="239">
        <f>Q14-R14</f>
        <v>0</v>
      </c>
      <c r="T14" s="248">
        <v>1</v>
      </c>
      <c r="U14" s="233" t="s">
        <v>2072</v>
      </c>
      <c r="V14" s="248">
        <v>1</v>
      </c>
      <c r="W14" s="248">
        <v>1</v>
      </c>
      <c r="X14" s="239">
        <f>V14-W14</f>
        <v>0</v>
      </c>
      <c r="Y14" s="248">
        <v>1</v>
      </c>
      <c r="Z14" s="233" t="s">
        <v>2072</v>
      </c>
      <c r="AA14" s="248">
        <v>1</v>
      </c>
      <c r="AB14" s="248">
        <v>1</v>
      </c>
      <c r="AC14" s="239">
        <f>AA14-AB14</f>
        <v>0</v>
      </c>
      <c r="AD14" s="248">
        <v>1</v>
      </c>
      <c r="AE14" s="233" t="s">
        <v>2072</v>
      </c>
      <c r="AF14" s="248">
        <v>1</v>
      </c>
      <c r="AG14" s="248">
        <v>1</v>
      </c>
      <c r="AH14" s="239">
        <f>AF14-AG14</f>
        <v>0</v>
      </c>
      <c r="AI14" s="248">
        <v>1</v>
      </c>
      <c r="AJ14" s="233" t="s">
        <v>2072</v>
      </c>
      <c r="AK14" s="233" t="s">
        <v>245</v>
      </c>
      <c r="AL14" s="233" t="s">
        <v>420</v>
      </c>
      <c r="AM14" s="220" t="s">
        <v>2008</v>
      </c>
      <c r="AN14" s="252"/>
      <c r="AO14" s="252"/>
      <c r="AP14" s="252"/>
      <c r="AQ14" s="252"/>
      <c r="AR14" s="252"/>
      <c r="AS14" s="252"/>
      <c r="AT14" s="252"/>
      <c r="AU14" s="252"/>
      <c r="AV14" s="252"/>
      <c r="AW14" s="252"/>
      <c r="AX14" s="252"/>
      <c r="AY14" s="252"/>
      <c r="AZ14" s="252"/>
      <c r="BA14" s="252"/>
      <c r="BB14" s="252"/>
      <c r="BC14" s="252"/>
      <c r="BD14" s="252"/>
      <c r="BE14" s="252"/>
      <c r="BF14" s="252"/>
      <c r="BG14" s="252"/>
      <c r="BH14" s="252"/>
    </row>
    <row r="15" spans="1:65" s="241" customFormat="1" ht="35.4" customHeight="1" x14ac:dyDescent="0.3">
      <c r="A15" s="328">
        <v>27</v>
      </c>
      <c r="B15" s="328">
        <v>750</v>
      </c>
      <c r="C15" s="328">
        <v>75001</v>
      </c>
      <c r="D15" s="328">
        <v>448</v>
      </c>
      <c r="E15" s="328">
        <v>0</v>
      </c>
      <c r="F15" s="328" t="s">
        <v>2021</v>
      </c>
      <c r="G15" s="328" t="s">
        <v>2050</v>
      </c>
      <c r="H15" s="328" t="s">
        <v>2052</v>
      </c>
      <c r="I15" s="328" t="s">
        <v>245</v>
      </c>
      <c r="J15" s="329" t="s">
        <v>2033</v>
      </c>
      <c r="K15" s="328" t="s">
        <v>245</v>
      </c>
      <c r="L15" s="328" t="s">
        <v>1845</v>
      </c>
      <c r="M15" s="328" t="s">
        <v>1858</v>
      </c>
      <c r="N15" s="235" t="s">
        <v>1983</v>
      </c>
      <c r="O15" s="238" t="s">
        <v>1987</v>
      </c>
      <c r="P15" s="179" t="s">
        <v>2002</v>
      </c>
      <c r="Q15" s="248">
        <v>10</v>
      </c>
      <c r="R15" s="248">
        <v>10</v>
      </c>
      <c r="S15" s="239">
        <f>Q15-R15</f>
        <v>0</v>
      </c>
      <c r="T15" s="248">
        <v>10</v>
      </c>
      <c r="U15" s="233" t="s">
        <v>2073</v>
      </c>
      <c r="V15" s="248">
        <v>10</v>
      </c>
      <c r="W15" s="248">
        <v>10</v>
      </c>
      <c r="X15" s="239">
        <f>V15-W15</f>
        <v>0</v>
      </c>
      <c r="Y15" s="248">
        <v>10</v>
      </c>
      <c r="Z15" s="233" t="s">
        <v>2073</v>
      </c>
      <c r="AA15" s="248">
        <v>10</v>
      </c>
      <c r="AB15" s="248">
        <v>10</v>
      </c>
      <c r="AC15" s="239">
        <f>AA15-AB15</f>
        <v>0</v>
      </c>
      <c r="AD15" s="248">
        <v>10</v>
      </c>
      <c r="AE15" s="233" t="s">
        <v>2073</v>
      </c>
      <c r="AF15" s="248">
        <v>10</v>
      </c>
      <c r="AG15" s="248">
        <v>10</v>
      </c>
      <c r="AH15" s="239">
        <f>AF15-AG15</f>
        <v>0</v>
      </c>
      <c r="AI15" s="248">
        <v>10</v>
      </c>
      <c r="AJ15" s="233" t="s">
        <v>2073</v>
      </c>
      <c r="AK15" s="233" t="s">
        <v>245</v>
      </c>
      <c r="AL15" s="249" t="s">
        <v>420</v>
      </c>
      <c r="AM15" s="249" t="s">
        <v>420</v>
      </c>
      <c r="AN15" s="252"/>
      <c r="AO15" s="252"/>
      <c r="AP15" s="252"/>
      <c r="AQ15" s="252"/>
      <c r="AR15" s="252"/>
      <c r="AS15" s="252"/>
      <c r="AT15" s="252"/>
      <c r="AU15" s="252"/>
      <c r="AV15" s="252"/>
      <c r="AW15" s="252"/>
      <c r="AX15" s="252"/>
      <c r="AY15" s="252"/>
      <c r="AZ15" s="252"/>
      <c r="BA15" s="252"/>
      <c r="BB15" s="252"/>
      <c r="BC15" s="252"/>
      <c r="BD15" s="252"/>
      <c r="BE15" s="252"/>
      <c r="BF15" s="252"/>
      <c r="BG15" s="252"/>
      <c r="BH15" s="252"/>
    </row>
    <row r="16" spans="1:65" s="241" customFormat="1" ht="34.950000000000003" customHeight="1" x14ac:dyDescent="0.3">
      <c r="A16" s="328">
        <v>27</v>
      </c>
      <c r="B16" s="328">
        <v>750</v>
      </c>
      <c r="C16" s="328">
        <v>75001</v>
      </c>
      <c r="D16" s="328">
        <v>400</v>
      </c>
      <c r="E16" s="328">
        <v>0</v>
      </c>
      <c r="F16" s="328" t="s">
        <v>2021</v>
      </c>
      <c r="G16" s="328" t="s">
        <v>2050</v>
      </c>
      <c r="H16" s="328" t="s">
        <v>2052</v>
      </c>
      <c r="I16" s="328" t="s">
        <v>245</v>
      </c>
      <c r="J16" s="329" t="s">
        <v>2033</v>
      </c>
      <c r="K16" s="328" t="s">
        <v>245</v>
      </c>
      <c r="L16" s="328" t="s">
        <v>1845</v>
      </c>
      <c r="M16" s="328" t="s">
        <v>1858</v>
      </c>
      <c r="N16" s="233" t="s">
        <v>1988</v>
      </c>
      <c r="O16" s="250" t="s">
        <v>1989</v>
      </c>
      <c r="P16" s="179" t="s">
        <v>2002</v>
      </c>
      <c r="Q16" s="247">
        <v>400</v>
      </c>
      <c r="R16" s="247">
        <v>400</v>
      </c>
      <c r="S16" s="239">
        <f>Q16-R16</f>
        <v>0</v>
      </c>
      <c r="T16" s="247" t="s">
        <v>420</v>
      </c>
      <c r="U16" s="233" t="s">
        <v>245</v>
      </c>
      <c r="V16" s="247">
        <v>400</v>
      </c>
      <c r="W16" s="247">
        <v>400</v>
      </c>
      <c r="X16" s="239">
        <f>V16-W16</f>
        <v>0</v>
      </c>
      <c r="Y16" s="247" t="s">
        <v>420</v>
      </c>
      <c r="Z16" s="233" t="s">
        <v>245</v>
      </c>
      <c r="AA16" s="247">
        <v>400</v>
      </c>
      <c r="AB16" s="247">
        <v>400</v>
      </c>
      <c r="AC16" s="239">
        <f>AA16-AB16</f>
        <v>0</v>
      </c>
      <c r="AD16" s="247" t="s">
        <v>420</v>
      </c>
      <c r="AE16" s="233" t="s">
        <v>245</v>
      </c>
      <c r="AF16" s="247">
        <v>400</v>
      </c>
      <c r="AG16" s="247">
        <v>400</v>
      </c>
      <c r="AH16" s="239">
        <f>AF16-AG16</f>
        <v>0</v>
      </c>
      <c r="AI16" s="247" t="s">
        <v>420</v>
      </c>
      <c r="AJ16" s="233" t="s">
        <v>245</v>
      </c>
      <c r="AK16" s="233" t="s">
        <v>245</v>
      </c>
      <c r="AL16" s="220" t="s">
        <v>420</v>
      </c>
      <c r="AM16" s="220" t="s">
        <v>420</v>
      </c>
      <c r="AN16" s="252"/>
      <c r="AO16" s="252"/>
      <c r="AP16" s="252"/>
      <c r="AQ16" s="252"/>
      <c r="AR16" s="252"/>
      <c r="AS16" s="252"/>
      <c r="AT16" s="252"/>
      <c r="AU16" s="252"/>
      <c r="AV16" s="252"/>
      <c r="AW16" s="252"/>
      <c r="AX16" s="252"/>
      <c r="AY16" s="252"/>
      <c r="AZ16" s="252"/>
      <c r="BA16" s="252"/>
      <c r="BB16" s="252"/>
      <c r="BC16" s="252"/>
      <c r="BD16" s="252"/>
      <c r="BE16" s="252"/>
      <c r="BF16" s="252"/>
      <c r="BG16" s="252"/>
      <c r="BH16" s="252"/>
    </row>
    <row r="17" spans="1:65" s="241" customFormat="1" ht="29.25" customHeight="1" x14ac:dyDescent="0.3">
      <c r="A17" s="328">
        <v>27</v>
      </c>
      <c r="B17" s="328">
        <v>750</v>
      </c>
      <c r="C17" s="328">
        <v>75001</v>
      </c>
      <c r="D17" s="328">
        <v>606</v>
      </c>
      <c r="E17" s="328">
        <v>0</v>
      </c>
      <c r="F17" s="328" t="s">
        <v>2023</v>
      </c>
      <c r="G17" s="328" t="s">
        <v>2050</v>
      </c>
      <c r="H17" s="328" t="s">
        <v>2052</v>
      </c>
      <c r="I17" s="328" t="s">
        <v>245</v>
      </c>
      <c r="J17" s="329" t="s">
        <v>2033</v>
      </c>
      <c r="K17" s="328" t="s">
        <v>1994</v>
      </c>
      <c r="L17" s="328" t="s">
        <v>1845</v>
      </c>
      <c r="M17" s="328" t="s">
        <v>1858</v>
      </c>
      <c r="N17" s="233" t="s">
        <v>1836</v>
      </c>
      <c r="O17" s="250" t="s">
        <v>1995</v>
      </c>
      <c r="P17" s="179" t="s">
        <v>2002</v>
      </c>
      <c r="Q17" s="247">
        <v>100</v>
      </c>
      <c r="R17" s="247">
        <v>100</v>
      </c>
      <c r="S17" s="239">
        <f>Q17-R17</f>
        <v>0</v>
      </c>
      <c r="T17" s="247" t="s">
        <v>420</v>
      </c>
      <c r="U17" s="233" t="s">
        <v>245</v>
      </c>
      <c r="V17" s="247">
        <v>100</v>
      </c>
      <c r="W17" s="247">
        <v>100</v>
      </c>
      <c r="X17" s="239">
        <f>V17-W17</f>
        <v>0</v>
      </c>
      <c r="Y17" s="247" t="s">
        <v>420</v>
      </c>
      <c r="Z17" s="233" t="s">
        <v>245</v>
      </c>
      <c r="AA17" s="247">
        <v>100</v>
      </c>
      <c r="AB17" s="247">
        <v>100</v>
      </c>
      <c r="AC17" s="239">
        <f>AA17-AB17</f>
        <v>0</v>
      </c>
      <c r="AD17" s="247" t="s">
        <v>420</v>
      </c>
      <c r="AE17" s="233" t="s">
        <v>245</v>
      </c>
      <c r="AF17" s="247">
        <v>100</v>
      </c>
      <c r="AG17" s="247">
        <v>100</v>
      </c>
      <c r="AH17" s="239">
        <f>AF17-AG17</f>
        <v>0</v>
      </c>
      <c r="AI17" s="247" t="s">
        <v>420</v>
      </c>
      <c r="AJ17" s="233" t="s">
        <v>245</v>
      </c>
      <c r="AK17" s="233" t="s">
        <v>245</v>
      </c>
      <c r="AL17" s="220" t="s">
        <v>420</v>
      </c>
      <c r="AM17" s="220" t="s">
        <v>420</v>
      </c>
      <c r="AN17" s="252"/>
      <c r="AO17" s="252"/>
      <c r="AP17" s="252"/>
      <c r="AQ17" s="252"/>
      <c r="AR17" s="252"/>
      <c r="AS17" s="252"/>
      <c r="AT17" s="252"/>
      <c r="AU17" s="252"/>
      <c r="AV17" s="252"/>
      <c r="AW17" s="252"/>
      <c r="AX17" s="252"/>
      <c r="AY17" s="252"/>
      <c r="AZ17" s="252"/>
      <c r="BA17" s="252"/>
      <c r="BB17" s="252"/>
      <c r="BC17" s="252"/>
      <c r="BD17" s="252"/>
      <c r="BE17" s="252"/>
      <c r="BF17" s="252"/>
      <c r="BG17" s="252"/>
      <c r="BH17" s="252"/>
    </row>
    <row r="18" spans="1:65" s="338" customFormat="1" ht="18.75" customHeight="1" x14ac:dyDescent="0.3">
      <c r="A18" s="328"/>
      <c r="B18" s="328"/>
      <c r="C18" s="328"/>
      <c r="D18" s="346"/>
      <c r="E18" s="346"/>
      <c r="F18" s="346"/>
      <c r="G18" s="346"/>
      <c r="H18" s="346"/>
      <c r="I18" s="346"/>
      <c r="J18" s="330" t="s">
        <v>2034</v>
      </c>
      <c r="K18" s="346"/>
      <c r="L18" s="346"/>
      <c r="M18" s="346"/>
      <c r="N18" s="332"/>
      <c r="O18" s="333"/>
      <c r="P18" s="334"/>
      <c r="Q18" s="335">
        <f>SUM(Q14:Q17)</f>
        <v>511</v>
      </c>
      <c r="R18" s="335">
        <f>SUM(R14:R17)</f>
        <v>511</v>
      </c>
      <c r="S18" s="335">
        <f>SUM(S14:S17)</f>
        <v>0</v>
      </c>
      <c r="T18" s="335">
        <f t="shared" ref="T18:AI18" si="4">SUM(T14:T17)</f>
        <v>11</v>
      </c>
      <c r="U18" s="331" t="s">
        <v>2004</v>
      </c>
      <c r="V18" s="335">
        <f t="shared" si="4"/>
        <v>511</v>
      </c>
      <c r="W18" s="335">
        <f>SUM(W14:W17)</f>
        <v>511</v>
      </c>
      <c r="X18" s="335">
        <f>SUM(X14:X17)</f>
        <v>0</v>
      </c>
      <c r="Y18" s="335">
        <f t="shared" ref="Y18" si="5">SUM(Y14:Y17)</f>
        <v>11</v>
      </c>
      <c r="Z18" s="331" t="s">
        <v>2004</v>
      </c>
      <c r="AA18" s="335">
        <f t="shared" si="4"/>
        <v>511</v>
      </c>
      <c r="AB18" s="335">
        <f>SUM(AB14:AB17)</f>
        <v>511</v>
      </c>
      <c r="AC18" s="335">
        <f>SUM(AC14:AC17)</f>
        <v>0</v>
      </c>
      <c r="AD18" s="335">
        <f t="shared" si="4"/>
        <v>11</v>
      </c>
      <c r="AE18" s="331" t="s">
        <v>2004</v>
      </c>
      <c r="AF18" s="335">
        <f t="shared" si="4"/>
        <v>511</v>
      </c>
      <c r="AG18" s="335">
        <f>SUM(AG14:AG17)</f>
        <v>511</v>
      </c>
      <c r="AH18" s="335">
        <f>SUM(AH14:AH17)</f>
        <v>0</v>
      </c>
      <c r="AI18" s="335">
        <f t="shared" si="4"/>
        <v>11</v>
      </c>
      <c r="AJ18" s="331" t="s">
        <v>2004</v>
      </c>
      <c r="AK18" s="331" t="s">
        <v>2004</v>
      </c>
      <c r="AL18" s="331" t="s">
        <v>2004</v>
      </c>
      <c r="AM18" s="331" t="s">
        <v>2004</v>
      </c>
      <c r="AN18" s="336"/>
      <c r="AO18" s="336"/>
      <c r="AP18" s="336"/>
      <c r="AQ18" s="336"/>
      <c r="AR18" s="336"/>
      <c r="AS18" s="336"/>
      <c r="AT18" s="336"/>
      <c r="AU18" s="336"/>
      <c r="AV18" s="336"/>
      <c r="AW18" s="336"/>
      <c r="AX18" s="336"/>
      <c r="AY18" s="336"/>
      <c r="AZ18" s="336"/>
      <c r="BA18" s="336"/>
      <c r="BB18" s="336"/>
      <c r="BC18" s="336"/>
      <c r="BD18" s="336"/>
      <c r="BE18" s="336"/>
      <c r="BF18" s="336"/>
      <c r="BG18" s="336"/>
      <c r="BH18" s="336"/>
      <c r="BI18" s="337"/>
      <c r="BJ18" s="337"/>
    </row>
    <row r="19" spans="1:65" s="241" customFormat="1" ht="113.4" x14ac:dyDescent="0.3">
      <c r="A19" s="208">
        <v>27</v>
      </c>
      <c r="B19" s="208">
        <v>750</v>
      </c>
      <c r="C19" s="208">
        <v>75001</v>
      </c>
      <c r="D19" s="208">
        <v>455</v>
      </c>
      <c r="E19" s="208">
        <v>8</v>
      </c>
      <c r="F19" s="208" t="s">
        <v>2024</v>
      </c>
      <c r="G19" s="208" t="s">
        <v>2055</v>
      </c>
      <c r="H19" s="208" t="s">
        <v>2056</v>
      </c>
      <c r="I19" s="208" t="s">
        <v>2010</v>
      </c>
      <c r="J19" s="358" t="s">
        <v>2035</v>
      </c>
      <c r="K19" s="208" t="s">
        <v>245</v>
      </c>
      <c r="L19" s="208" t="s">
        <v>1845</v>
      </c>
      <c r="M19" s="208" t="s">
        <v>1858</v>
      </c>
      <c r="N19" s="235" t="s">
        <v>1996</v>
      </c>
      <c r="O19" s="245" t="s">
        <v>1997</v>
      </c>
      <c r="P19" s="179" t="s">
        <v>1999</v>
      </c>
      <c r="Q19" s="319">
        <v>7</v>
      </c>
      <c r="R19" s="319">
        <v>7</v>
      </c>
      <c r="S19" s="239">
        <f>Q19-R19</f>
        <v>0</v>
      </c>
      <c r="T19" s="319" t="s">
        <v>420</v>
      </c>
      <c r="U19" s="233" t="s">
        <v>245</v>
      </c>
      <c r="V19" s="319">
        <v>7</v>
      </c>
      <c r="W19" s="319">
        <v>7</v>
      </c>
      <c r="X19" s="239">
        <f>V19-W19</f>
        <v>0</v>
      </c>
      <c r="Y19" s="319" t="s">
        <v>420</v>
      </c>
      <c r="Z19" s="233" t="s">
        <v>245</v>
      </c>
      <c r="AA19" s="319">
        <v>7</v>
      </c>
      <c r="AB19" s="319">
        <v>7</v>
      </c>
      <c r="AC19" s="239">
        <f>AA19-AB19</f>
        <v>0</v>
      </c>
      <c r="AD19" s="319" t="s">
        <v>420</v>
      </c>
      <c r="AE19" s="233" t="s">
        <v>245</v>
      </c>
      <c r="AF19" s="319">
        <v>7</v>
      </c>
      <c r="AG19" s="319">
        <v>7</v>
      </c>
      <c r="AH19" s="239">
        <f>AF19-AG19</f>
        <v>0</v>
      </c>
      <c r="AI19" s="319" t="s">
        <v>420</v>
      </c>
      <c r="AJ19" s="233" t="s">
        <v>245</v>
      </c>
      <c r="AK19" s="233" t="s">
        <v>245</v>
      </c>
      <c r="AL19" s="220" t="s">
        <v>420</v>
      </c>
      <c r="AM19" s="320" t="s">
        <v>420</v>
      </c>
      <c r="AN19" s="251"/>
      <c r="AO19" s="251"/>
      <c r="AP19" s="251"/>
      <c r="AQ19" s="251"/>
      <c r="AR19" s="251"/>
      <c r="AS19" s="251"/>
      <c r="AT19" s="252"/>
      <c r="AU19" s="252"/>
      <c r="AV19" s="252"/>
      <c r="AW19" s="252"/>
      <c r="AX19" s="252"/>
      <c r="AY19" s="252"/>
      <c r="AZ19" s="252"/>
      <c r="BA19" s="252"/>
      <c r="BB19" s="252"/>
      <c r="BC19" s="252"/>
      <c r="BD19" s="252"/>
      <c r="BE19" s="252"/>
      <c r="BF19" s="252"/>
      <c r="BG19" s="252"/>
      <c r="BH19" s="252"/>
    </row>
    <row r="20" spans="1:65" s="241" customFormat="1" ht="113.4" x14ac:dyDescent="0.3">
      <c r="A20" s="208">
        <v>27</v>
      </c>
      <c r="B20" s="208">
        <v>750</v>
      </c>
      <c r="C20" s="208">
        <v>75001</v>
      </c>
      <c r="D20" s="208">
        <v>455</v>
      </c>
      <c r="E20" s="208">
        <v>9</v>
      </c>
      <c r="F20" s="208" t="s">
        <v>2024</v>
      </c>
      <c r="G20" s="208" t="s">
        <v>2012</v>
      </c>
      <c r="H20" s="208" t="s">
        <v>2056</v>
      </c>
      <c r="I20" s="208" t="s">
        <v>2010</v>
      </c>
      <c r="J20" s="358" t="s">
        <v>2035</v>
      </c>
      <c r="K20" s="208" t="s">
        <v>245</v>
      </c>
      <c r="L20" s="208" t="s">
        <v>1845</v>
      </c>
      <c r="M20" s="208" t="s">
        <v>1858</v>
      </c>
      <c r="N20" s="235" t="s">
        <v>1996</v>
      </c>
      <c r="O20" s="245" t="s">
        <v>1998</v>
      </c>
      <c r="P20" s="179" t="s">
        <v>1999</v>
      </c>
      <c r="Q20" s="319">
        <v>3</v>
      </c>
      <c r="R20" s="319">
        <v>3</v>
      </c>
      <c r="S20" s="239">
        <f>Q20-R20</f>
        <v>0</v>
      </c>
      <c r="T20" s="319" t="s">
        <v>420</v>
      </c>
      <c r="U20" s="233" t="s">
        <v>245</v>
      </c>
      <c r="V20" s="319">
        <v>3</v>
      </c>
      <c r="W20" s="319">
        <v>3</v>
      </c>
      <c r="X20" s="239">
        <f>V20-W20</f>
        <v>0</v>
      </c>
      <c r="Y20" s="319" t="s">
        <v>420</v>
      </c>
      <c r="Z20" s="233" t="s">
        <v>245</v>
      </c>
      <c r="AA20" s="319">
        <v>3</v>
      </c>
      <c r="AB20" s="319">
        <v>3</v>
      </c>
      <c r="AC20" s="239">
        <f>AA20-AB20</f>
        <v>0</v>
      </c>
      <c r="AD20" s="319" t="s">
        <v>420</v>
      </c>
      <c r="AE20" s="233" t="s">
        <v>245</v>
      </c>
      <c r="AF20" s="319">
        <v>3</v>
      </c>
      <c r="AG20" s="319">
        <v>3</v>
      </c>
      <c r="AH20" s="239">
        <f>AF20-AG20</f>
        <v>0</v>
      </c>
      <c r="AI20" s="319" t="s">
        <v>420</v>
      </c>
      <c r="AJ20" s="233" t="s">
        <v>245</v>
      </c>
      <c r="AK20" s="233" t="s">
        <v>245</v>
      </c>
      <c r="AL20" s="220" t="s">
        <v>420</v>
      </c>
      <c r="AM20" s="320" t="s">
        <v>420</v>
      </c>
      <c r="AN20" s="251"/>
      <c r="AO20" s="251"/>
      <c r="AP20" s="251"/>
      <c r="AQ20" s="251"/>
      <c r="AR20" s="251"/>
      <c r="AS20" s="251"/>
      <c r="AT20" s="252"/>
      <c r="AU20" s="252"/>
      <c r="AV20" s="252"/>
      <c r="AW20" s="252"/>
      <c r="AX20" s="252"/>
      <c r="AY20" s="252"/>
      <c r="AZ20" s="252"/>
      <c r="BA20" s="252"/>
      <c r="BB20" s="252"/>
      <c r="BC20" s="252"/>
      <c r="BD20" s="252"/>
      <c r="BE20" s="252"/>
      <c r="BF20" s="252"/>
      <c r="BG20" s="252"/>
      <c r="BH20" s="252"/>
    </row>
    <row r="21" spans="1:65" s="213" customFormat="1" ht="18.75" customHeight="1" x14ac:dyDescent="0.3">
      <c r="A21" s="208"/>
      <c r="B21" s="208"/>
      <c r="C21" s="208"/>
      <c r="D21" s="347"/>
      <c r="E21" s="347"/>
      <c r="F21" s="347"/>
      <c r="G21" s="347"/>
      <c r="H21" s="347"/>
      <c r="I21" s="347"/>
      <c r="J21" s="359" t="s">
        <v>2036</v>
      </c>
      <c r="K21" s="347"/>
      <c r="L21" s="347"/>
      <c r="M21" s="347"/>
      <c r="N21" s="210"/>
      <c r="O21" s="211"/>
      <c r="P21" s="260"/>
      <c r="Q21" s="229">
        <f>SUM(Q19:Q20)</f>
        <v>10</v>
      </c>
      <c r="R21" s="229">
        <f>SUM(R19:R20)</f>
        <v>10</v>
      </c>
      <c r="S21" s="229">
        <f>SUM(S19:S20)</f>
        <v>0</v>
      </c>
      <c r="T21" s="229">
        <f t="shared" ref="T21:AI21" si="6">SUM(T19:T20)</f>
        <v>0</v>
      </c>
      <c r="U21" s="209" t="s">
        <v>2004</v>
      </c>
      <c r="V21" s="229">
        <f t="shared" si="6"/>
        <v>10</v>
      </c>
      <c r="W21" s="229">
        <f>SUM(W19:W20)</f>
        <v>10</v>
      </c>
      <c r="X21" s="229">
        <f>SUM(X19:X20)</f>
        <v>0</v>
      </c>
      <c r="Y21" s="229">
        <f t="shared" ref="Y21" si="7">SUM(Y19:Y20)</f>
        <v>0</v>
      </c>
      <c r="Z21" s="209" t="s">
        <v>2004</v>
      </c>
      <c r="AA21" s="229">
        <f t="shared" si="6"/>
        <v>10</v>
      </c>
      <c r="AB21" s="229">
        <f>SUM(AB19:AB20)</f>
        <v>10</v>
      </c>
      <c r="AC21" s="229">
        <f>SUM(AC19:AC20)</f>
        <v>0</v>
      </c>
      <c r="AD21" s="229">
        <f t="shared" si="6"/>
        <v>0</v>
      </c>
      <c r="AE21" s="209" t="s">
        <v>2004</v>
      </c>
      <c r="AF21" s="229">
        <f t="shared" si="6"/>
        <v>10</v>
      </c>
      <c r="AG21" s="229">
        <f>SUM(AG19:AG20)</f>
        <v>10</v>
      </c>
      <c r="AH21" s="229">
        <f>SUM(AH19:AH20)</f>
        <v>0</v>
      </c>
      <c r="AI21" s="229">
        <f t="shared" si="6"/>
        <v>0</v>
      </c>
      <c r="AJ21" s="209" t="s">
        <v>2004</v>
      </c>
      <c r="AK21" s="209" t="s">
        <v>2004</v>
      </c>
      <c r="AL21" s="209" t="s">
        <v>2004</v>
      </c>
      <c r="AM21" s="209" t="s">
        <v>2004</v>
      </c>
      <c r="AN21" s="321"/>
      <c r="AO21" s="321"/>
      <c r="AP21" s="321"/>
      <c r="AQ21" s="321"/>
      <c r="AR21" s="321"/>
      <c r="AS21" s="321"/>
      <c r="AT21" s="321"/>
      <c r="AU21" s="321"/>
      <c r="AV21" s="321"/>
      <c r="AW21" s="321"/>
      <c r="AX21" s="321"/>
      <c r="AY21" s="321"/>
      <c r="AZ21" s="321"/>
      <c r="BA21" s="321"/>
      <c r="BB21" s="321"/>
      <c r="BC21" s="321"/>
      <c r="BD21" s="321"/>
      <c r="BE21" s="321"/>
      <c r="BF21" s="321"/>
      <c r="BG21" s="321"/>
      <c r="BH21" s="321"/>
      <c r="BI21" s="212"/>
      <c r="BJ21" s="212"/>
    </row>
    <row r="22" spans="1:65" ht="32.4" x14ac:dyDescent="0.3">
      <c r="A22" s="297">
        <v>27</v>
      </c>
      <c r="B22" s="297">
        <v>750</v>
      </c>
      <c r="C22" s="297">
        <v>75001</v>
      </c>
      <c r="D22" s="297">
        <v>400</v>
      </c>
      <c r="E22" s="297">
        <v>0</v>
      </c>
      <c r="F22" s="297" t="s">
        <v>2021</v>
      </c>
      <c r="G22" s="297" t="s">
        <v>2012</v>
      </c>
      <c r="H22" s="297" t="s">
        <v>2056</v>
      </c>
      <c r="I22" s="297" t="s">
        <v>245</v>
      </c>
      <c r="J22" s="305" t="s">
        <v>2037</v>
      </c>
      <c r="K22" s="297" t="s">
        <v>245</v>
      </c>
      <c r="L22" s="297" t="s">
        <v>1845</v>
      </c>
      <c r="M22" s="297" t="s">
        <v>1858</v>
      </c>
      <c r="N22" s="233" t="s">
        <v>2018</v>
      </c>
      <c r="O22" s="246" t="s">
        <v>2020</v>
      </c>
      <c r="P22" s="179" t="s">
        <v>831</v>
      </c>
      <c r="Q22" s="247">
        <v>10</v>
      </c>
      <c r="R22" s="247">
        <v>10</v>
      </c>
      <c r="S22" s="239">
        <f>Q22-R22</f>
        <v>0</v>
      </c>
      <c r="T22" s="247" t="s">
        <v>420</v>
      </c>
      <c r="U22" s="233" t="s">
        <v>245</v>
      </c>
      <c r="V22" s="247">
        <v>10</v>
      </c>
      <c r="W22" s="247">
        <v>8</v>
      </c>
      <c r="X22" s="239">
        <f>V22-W22</f>
        <v>2</v>
      </c>
      <c r="Y22" s="247" t="s">
        <v>420</v>
      </c>
      <c r="Z22" s="233" t="s">
        <v>245</v>
      </c>
      <c r="AA22" s="247">
        <v>10</v>
      </c>
      <c r="AB22" s="247">
        <v>8</v>
      </c>
      <c r="AC22" s="239">
        <f>AA22-AB22</f>
        <v>2</v>
      </c>
      <c r="AD22" s="247" t="s">
        <v>420</v>
      </c>
      <c r="AE22" s="233" t="s">
        <v>245</v>
      </c>
      <c r="AF22" s="247">
        <v>10</v>
      </c>
      <c r="AG22" s="247">
        <v>8</v>
      </c>
      <c r="AH22" s="239">
        <f>AF22-AG22</f>
        <v>2</v>
      </c>
      <c r="AI22" s="247" t="s">
        <v>420</v>
      </c>
      <c r="AJ22" s="233" t="s">
        <v>245</v>
      </c>
      <c r="AK22" s="233" t="s">
        <v>245</v>
      </c>
      <c r="AL22" s="233" t="s">
        <v>420</v>
      </c>
      <c r="AM22" s="220" t="s">
        <v>420</v>
      </c>
    </row>
    <row r="23" spans="1:65" s="253" customFormat="1" ht="32.4" x14ac:dyDescent="0.3">
      <c r="A23" s="297">
        <v>27</v>
      </c>
      <c r="B23" s="297">
        <v>750</v>
      </c>
      <c r="C23" s="297">
        <v>75001</v>
      </c>
      <c r="D23" s="297">
        <v>400</v>
      </c>
      <c r="E23" s="297">
        <v>0</v>
      </c>
      <c r="F23" s="297" t="s">
        <v>2021</v>
      </c>
      <c r="G23" s="297" t="s">
        <v>2012</v>
      </c>
      <c r="H23" s="297" t="s">
        <v>2056</v>
      </c>
      <c r="I23" s="297" t="s">
        <v>245</v>
      </c>
      <c r="J23" s="305" t="s">
        <v>2037</v>
      </c>
      <c r="K23" s="297" t="s">
        <v>245</v>
      </c>
      <c r="L23" s="297" t="s">
        <v>1845</v>
      </c>
      <c r="M23" s="297" t="s">
        <v>1858</v>
      </c>
      <c r="N23" s="233" t="s">
        <v>1990</v>
      </c>
      <c r="O23" s="246" t="s">
        <v>1991</v>
      </c>
      <c r="P23" s="179" t="s">
        <v>831</v>
      </c>
      <c r="Q23" s="247">
        <v>10</v>
      </c>
      <c r="R23" s="247">
        <v>10</v>
      </c>
      <c r="S23" s="239">
        <f>Q23-R23</f>
        <v>0</v>
      </c>
      <c r="T23" s="247" t="s">
        <v>420</v>
      </c>
      <c r="U23" s="233" t="s">
        <v>245</v>
      </c>
      <c r="V23" s="247">
        <v>10</v>
      </c>
      <c r="W23" s="247">
        <v>10</v>
      </c>
      <c r="X23" s="239">
        <f>V23-W23</f>
        <v>0</v>
      </c>
      <c r="Y23" s="247" t="s">
        <v>420</v>
      </c>
      <c r="Z23" s="233" t="s">
        <v>245</v>
      </c>
      <c r="AA23" s="247">
        <v>10</v>
      </c>
      <c r="AB23" s="247">
        <v>10</v>
      </c>
      <c r="AC23" s="239">
        <f>AA23-AB23</f>
        <v>0</v>
      </c>
      <c r="AD23" s="247" t="s">
        <v>420</v>
      </c>
      <c r="AE23" s="233" t="s">
        <v>245</v>
      </c>
      <c r="AF23" s="247">
        <v>10</v>
      </c>
      <c r="AG23" s="247">
        <v>10</v>
      </c>
      <c r="AH23" s="239">
        <f>AF23-AG23</f>
        <v>0</v>
      </c>
      <c r="AI23" s="247" t="s">
        <v>420</v>
      </c>
      <c r="AJ23" s="233" t="s">
        <v>245</v>
      </c>
      <c r="AK23" s="233" t="s">
        <v>245</v>
      </c>
      <c r="AL23" s="233" t="s">
        <v>420</v>
      </c>
      <c r="AM23" s="220" t="s">
        <v>420</v>
      </c>
      <c r="AN23" s="251"/>
      <c r="AO23" s="251"/>
      <c r="AP23" s="251"/>
      <c r="AQ23" s="251"/>
      <c r="AR23" s="251"/>
      <c r="AS23" s="251"/>
      <c r="AT23" s="252"/>
      <c r="AU23" s="252"/>
      <c r="AV23" s="252"/>
      <c r="AW23" s="252"/>
      <c r="AX23" s="252"/>
      <c r="AY23" s="252"/>
      <c r="AZ23" s="252"/>
      <c r="BA23" s="252"/>
      <c r="BB23" s="252"/>
      <c r="BC23" s="252"/>
      <c r="BD23" s="252"/>
      <c r="BE23" s="252"/>
      <c r="BF23" s="252"/>
      <c r="BG23" s="252"/>
      <c r="BH23" s="252"/>
      <c r="BI23" s="252"/>
      <c r="BJ23" s="252"/>
      <c r="BK23" s="252"/>
      <c r="BL23" s="252"/>
      <c r="BM23" s="252"/>
    </row>
    <row r="24" spans="1:65" s="304" customFormat="1" ht="18.75" customHeight="1" x14ac:dyDescent="0.3">
      <c r="A24" s="297"/>
      <c r="B24" s="297"/>
      <c r="C24" s="297"/>
      <c r="D24" s="348"/>
      <c r="E24" s="348"/>
      <c r="F24" s="348"/>
      <c r="G24" s="348"/>
      <c r="H24" s="348"/>
      <c r="I24" s="348"/>
      <c r="J24" s="298" t="s">
        <v>2038</v>
      </c>
      <c r="K24" s="348"/>
      <c r="L24" s="348"/>
      <c r="M24" s="348"/>
      <c r="N24" s="300"/>
      <c r="O24" s="301"/>
      <c r="P24" s="296"/>
      <c r="Q24" s="302">
        <f>SUM(Q22:Q23)</f>
        <v>20</v>
      </c>
      <c r="R24" s="302">
        <f>SUM(R22:R23)</f>
        <v>20</v>
      </c>
      <c r="S24" s="302">
        <f>SUM(S22:S23)</f>
        <v>0</v>
      </c>
      <c r="T24" s="302">
        <f t="shared" ref="T24:AI24" si="8">SUM(T22:T23)</f>
        <v>0</v>
      </c>
      <c r="U24" s="299" t="s">
        <v>2004</v>
      </c>
      <c r="V24" s="302">
        <f t="shared" si="8"/>
        <v>20</v>
      </c>
      <c r="W24" s="302">
        <f>SUM(W22:W23)</f>
        <v>18</v>
      </c>
      <c r="X24" s="302">
        <f>SUM(X22:X23)</f>
        <v>2</v>
      </c>
      <c r="Y24" s="302">
        <f t="shared" ref="Y24" si="9">SUM(Y22:Y23)</f>
        <v>0</v>
      </c>
      <c r="Z24" s="299" t="s">
        <v>2004</v>
      </c>
      <c r="AA24" s="302">
        <f t="shared" si="8"/>
        <v>20</v>
      </c>
      <c r="AB24" s="302">
        <f>SUM(AB22:AB23)</f>
        <v>18</v>
      </c>
      <c r="AC24" s="302">
        <f>SUM(AC22:AC23)</f>
        <v>2</v>
      </c>
      <c r="AD24" s="302">
        <f t="shared" si="8"/>
        <v>0</v>
      </c>
      <c r="AE24" s="299" t="s">
        <v>2004</v>
      </c>
      <c r="AF24" s="302">
        <f t="shared" si="8"/>
        <v>20</v>
      </c>
      <c r="AG24" s="302">
        <f>SUM(AG22:AG23)</f>
        <v>18</v>
      </c>
      <c r="AH24" s="302">
        <f>SUM(AH22:AH23)</f>
        <v>2</v>
      </c>
      <c r="AI24" s="302">
        <f t="shared" si="8"/>
        <v>0</v>
      </c>
      <c r="AJ24" s="299" t="s">
        <v>2004</v>
      </c>
      <c r="AK24" s="299" t="s">
        <v>2004</v>
      </c>
      <c r="AL24" s="299" t="s">
        <v>2004</v>
      </c>
      <c r="AM24" s="299" t="s">
        <v>2004</v>
      </c>
      <c r="AN24" s="322"/>
      <c r="AO24" s="322"/>
      <c r="AP24" s="322"/>
      <c r="AQ24" s="322"/>
      <c r="AR24" s="322"/>
      <c r="AS24" s="322"/>
      <c r="AT24" s="322"/>
      <c r="AU24" s="322"/>
      <c r="AV24" s="322"/>
      <c r="AW24" s="322"/>
      <c r="AX24" s="322"/>
      <c r="AY24" s="322"/>
      <c r="AZ24" s="322"/>
      <c r="BA24" s="322"/>
      <c r="BB24" s="322"/>
      <c r="BC24" s="322"/>
      <c r="BD24" s="322"/>
      <c r="BE24" s="322"/>
      <c r="BF24" s="322"/>
      <c r="BG24" s="322"/>
      <c r="BH24" s="322"/>
      <c r="BI24" s="303"/>
      <c r="BJ24" s="303"/>
    </row>
    <row r="25" spans="1:65" s="240" customFormat="1" ht="32.4" x14ac:dyDescent="0.3">
      <c r="A25" s="274">
        <v>27</v>
      </c>
      <c r="B25" s="274">
        <v>750</v>
      </c>
      <c r="C25" s="274">
        <v>75001</v>
      </c>
      <c r="D25" s="274">
        <v>411</v>
      </c>
      <c r="E25" s="274">
        <v>0</v>
      </c>
      <c r="F25" s="274" t="s">
        <v>2021</v>
      </c>
      <c r="G25" s="274" t="s">
        <v>2050</v>
      </c>
      <c r="H25" s="274" t="s">
        <v>2052</v>
      </c>
      <c r="I25" s="274" t="s">
        <v>245</v>
      </c>
      <c r="J25" s="275" t="s">
        <v>2039</v>
      </c>
      <c r="K25" s="274" t="s">
        <v>245</v>
      </c>
      <c r="L25" s="274" t="s">
        <v>1845</v>
      </c>
      <c r="M25" s="274" t="s">
        <v>1858</v>
      </c>
      <c r="N25" s="220" t="s">
        <v>1992</v>
      </c>
      <c r="O25" s="254" t="s">
        <v>1993</v>
      </c>
      <c r="P25" s="179" t="s">
        <v>831</v>
      </c>
      <c r="Q25" s="323">
        <v>180</v>
      </c>
      <c r="R25" s="323">
        <v>180</v>
      </c>
      <c r="S25" s="239">
        <f>Q25-R25</f>
        <v>0</v>
      </c>
      <c r="T25" s="323" t="s">
        <v>420</v>
      </c>
      <c r="U25" s="233" t="s">
        <v>245</v>
      </c>
      <c r="V25" s="323">
        <v>180</v>
      </c>
      <c r="W25" s="323">
        <v>180</v>
      </c>
      <c r="X25" s="239">
        <f>V25-W25</f>
        <v>0</v>
      </c>
      <c r="Y25" s="323" t="s">
        <v>420</v>
      </c>
      <c r="Z25" s="233" t="s">
        <v>245</v>
      </c>
      <c r="AA25" s="323">
        <v>180</v>
      </c>
      <c r="AB25" s="323">
        <v>180</v>
      </c>
      <c r="AC25" s="239">
        <f>AA25-AB25</f>
        <v>0</v>
      </c>
      <c r="AD25" s="323" t="s">
        <v>420</v>
      </c>
      <c r="AE25" s="233" t="s">
        <v>245</v>
      </c>
      <c r="AF25" s="323">
        <v>180</v>
      </c>
      <c r="AG25" s="323">
        <v>180</v>
      </c>
      <c r="AH25" s="239">
        <f>AF25-AG25</f>
        <v>0</v>
      </c>
      <c r="AI25" s="323" t="s">
        <v>420</v>
      </c>
      <c r="AJ25" s="233" t="s">
        <v>245</v>
      </c>
      <c r="AK25" s="233" t="s">
        <v>245</v>
      </c>
      <c r="AL25" s="220" t="s">
        <v>420</v>
      </c>
      <c r="AM25" s="220" t="s">
        <v>420</v>
      </c>
      <c r="AN25" s="251"/>
      <c r="AO25" s="251"/>
      <c r="AP25" s="251"/>
      <c r="AQ25" s="251"/>
      <c r="AR25" s="251"/>
      <c r="AS25" s="251"/>
      <c r="AT25" s="251"/>
      <c r="AU25" s="251"/>
      <c r="AV25" s="251"/>
      <c r="AW25" s="251"/>
      <c r="AX25" s="251"/>
      <c r="AY25" s="251"/>
      <c r="AZ25" s="251"/>
      <c r="BA25" s="251"/>
      <c r="BB25" s="251"/>
      <c r="BC25" s="251"/>
      <c r="BD25" s="251"/>
      <c r="BE25" s="251"/>
      <c r="BF25" s="251"/>
      <c r="BG25" s="251"/>
      <c r="BH25" s="251"/>
    </row>
    <row r="26" spans="1:65" s="240" customFormat="1" ht="32.4" x14ac:dyDescent="0.3">
      <c r="A26" s="274">
        <v>27</v>
      </c>
      <c r="B26" s="274">
        <v>750</v>
      </c>
      <c r="C26" s="274">
        <v>75001</v>
      </c>
      <c r="D26" s="274">
        <v>412</v>
      </c>
      <c r="E26" s="274">
        <v>0</v>
      </c>
      <c r="F26" s="274" t="s">
        <v>2021</v>
      </c>
      <c r="G26" s="274" t="s">
        <v>2050</v>
      </c>
      <c r="H26" s="274" t="s">
        <v>2052</v>
      </c>
      <c r="I26" s="274" t="s">
        <v>245</v>
      </c>
      <c r="J26" s="275" t="s">
        <v>2039</v>
      </c>
      <c r="K26" s="274" t="s">
        <v>245</v>
      </c>
      <c r="L26" s="274" t="s">
        <v>1845</v>
      </c>
      <c r="M26" s="274" t="s">
        <v>1858</v>
      </c>
      <c r="N26" s="220" t="s">
        <v>1992</v>
      </c>
      <c r="O26" s="254" t="s">
        <v>2017</v>
      </c>
      <c r="P26" s="179" t="s">
        <v>831</v>
      </c>
      <c r="Q26" s="323">
        <v>100</v>
      </c>
      <c r="R26" s="323">
        <v>100</v>
      </c>
      <c r="S26" s="239">
        <f>Q26-R26</f>
        <v>0</v>
      </c>
      <c r="T26" s="323" t="s">
        <v>420</v>
      </c>
      <c r="U26" s="233" t="s">
        <v>245</v>
      </c>
      <c r="V26" s="323">
        <v>100</v>
      </c>
      <c r="W26" s="323">
        <v>100</v>
      </c>
      <c r="X26" s="239">
        <f>V26-W26</f>
        <v>0</v>
      </c>
      <c r="Y26" s="323" t="s">
        <v>420</v>
      </c>
      <c r="Z26" s="233" t="s">
        <v>245</v>
      </c>
      <c r="AA26" s="323">
        <v>100</v>
      </c>
      <c r="AB26" s="323">
        <v>100</v>
      </c>
      <c r="AC26" s="239">
        <f>AA26-AB26</f>
        <v>0</v>
      </c>
      <c r="AD26" s="323" t="s">
        <v>420</v>
      </c>
      <c r="AE26" s="233" t="s">
        <v>245</v>
      </c>
      <c r="AF26" s="323">
        <v>100</v>
      </c>
      <c r="AG26" s="323">
        <v>100</v>
      </c>
      <c r="AH26" s="239">
        <f>AF26-AG26</f>
        <v>0</v>
      </c>
      <c r="AI26" s="323" t="s">
        <v>420</v>
      </c>
      <c r="AJ26" s="233" t="s">
        <v>245</v>
      </c>
      <c r="AK26" s="233" t="s">
        <v>245</v>
      </c>
      <c r="AL26" s="220" t="s">
        <v>420</v>
      </c>
      <c r="AM26" s="220" t="s">
        <v>420</v>
      </c>
      <c r="AN26" s="251"/>
      <c r="AO26" s="251"/>
      <c r="AP26" s="251"/>
      <c r="AQ26" s="251"/>
      <c r="AR26" s="251"/>
      <c r="AS26" s="251"/>
      <c r="AT26" s="251"/>
      <c r="AU26" s="251"/>
      <c r="AV26" s="251"/>
      <c r="AW26" s="251"/>
      <c r="AX26" s="251"/>
      <c r="AY26" s="251"/>
      <c r="AZ26" s="251"/>
      <c r="BA26" s="251"/>
      <c r="BB26" s="251"/>
      <c r="BC26" s="251"/>
      <c r="BD26" s="251"/>
      <c r="BE26" s="251"/>
      <c r="BF26" s="251"/>
      <c r="BG26" s="251"/>
      <c r="BH26" s="251"/>
    </row>
    <row r="27" spans="1:65" s="219" customFormat="1" ht="18.75" customHeight="1" x14ac:dyDescent="0.3">
      <c r="A27" s="214"/>
      <c r="B27" s="214"/>
      <c r="C27" s="214"/>
      <c r="D27" s="349"/>
      <c r="E27" s="349"/>
      <c r="F27" s="349"/>
      <c r="G27" s="349"/>
      <c r="H27" s="349"/>
      <c r="I27" s="349"/>
      <c r="J27" s="272" t="s">
        <v>2040</v>
      </c>
      <c r="K27" s="349"/>
      <c r="L27" s="349"/>
      <c r="M27" s="349"/>
      <c r="N27" s="216"/>
      <c r="O27" s="217"/>
      <c r="P27" s="262"/>
      <c r="Q27" s="230">
        <f>SUM(Q25:Q26)</f>
        <v>280</v>
      </c>
      <c r="R27" s="230">
        <f>SUM(R25:R26)</f>
        <v>280</v>
      </c>
      <c r="S27" s="230">
        <f>SUM(S25:S26)</f>
        <v>0</v>
      </c>
      <c r="T27" s="230">
        <f t="shared" ref="T27:AI27" si="10">SUM(T25:T26)</f>
        <v>0</v>
      </c>
      <c r="U27" s="215" t="s">
        <v>2004</v>
      </c>
      <c r="V27" s="230">
        <f t="shared" si="10"/>
        <v>280</v>
      </c>
      <c r="W27" s="230">
        <f>SUM(W25:W26)</f>
        <v>280</v>
      </c>
      <c r="X27" s="230">
        <f>SUM(X25:X26)</f>
        <v>0</v>
      </c>
      <c r="Y27" s="230">
        <f t="shared" ref="Y27" si="11">SUM(Y25:Y26)</f>
        <v>0</v>
      </c>
      <c r="Z27" s="215" t="s">
        <v>2004</v>
      </c>
      <c r="AA27" s="230">
        <f t="shared" si="10"/>
        <v>280</v>
      </c>
      <c r="AB27" s="230">
        <f>SUM(AB25:AB26)</f>
        <v>280</v>
      </c>
      <c r="AC27" s="230">
        <f>SUM(AC25:AC26)</f>
        <v>0</v>
      </c>
      <c r="AD27" s="230">
        <f t="shared" si="10"/>
        <v>0</v>
      </c>
      <c r="AE27" s="215" t="s">
        <v>2004</v>
      </c>
      <c r="AF27" s="230">
        <f t="shared" si="10"/>
        <v>280</v>
      </c>
      <c r="AG27" s="230">
        <f>SUM(AG25:AG26)</f>
        <v>280</v>
      </c>
      <c r="AH27" s="230">
        <f>SUM(AH25:AH26)</f>
        <v>0</v>
      </c>
      <c r="AI27" s="230">
        <f t="shared" si="10"/>
        <v>0</v>
      </c>
      <c r="AJ27" s="215" t="s">
        <v>2004</v>
      </c>
      <c r="AK27" s="215" t="s">
        <v>2004</v>
      </c>
      <c r="AL27" s="215" t="s">
        <v>2004</v>
      </c>
      <c r="AM27" s="215" t="s">
        <v>2004</v>
      </c>
      <c r="AN27" s="324"/>
      <c r="AO27" s="324"/>
      <c r="AP27" s="324"/>
      <c r="AQ27" s="324"/>
      <c r="AR27" s="324"/>
      <c r="AS27" s="324"/>
      <c r="AT27" s="324"/>
      <c r="AU27" s="324"/>
      <c r="AV27" s="324"/>
      <c r="AW27" s="324"/>
      <c r="AX27" s="324"/>
      <c r="AY27" s="324"/>
      <c r="AZ27" s="324"/>
      <c r="BA27" s="324"/>
      <c r="BB27" s="324"/>
      <c r="BC27" s="324"/>
      <c r="BD27" s="324"/>
      <c r="BE27" s="324"/>
      <c r="BF27" s="324"/>
      <c r="BG27" s="324"/>
      <c r="BH27" s="324"/>
      <c r="BI27" s="218"/>
      <c r="BJ27" s="218"/>
    </row>
    <row r="28" spans="1:65" s="225" customFormat="1" ht="9" customHeight="1" x14ac:dyDescent="0.3">
      <c r="A28" s="220"/>
      <c r="B28" s="220"/>
      <c r="C28" s="220"/>
      <c r="D28" s="350"/>
      <c r="E28" s="350"/>
      <c r="F28" s="350"/>
      <c r="G28" s="350"/>
      <c r="H28" s="350"/>
      <c r="I28" s="350"/>
      <c r="J28" s="182"/>
      <c r="K28" s="350"/>
      <c r="L28" s="350"/>
      <c r="M28" s="350"/>
      <c r="N28" s="222"/>
      <c r="O28" s="223"/>
      <c r="P28" s="263"/>
      <c r="Q28" s="232"/>
      <c r="R28" s="232"/>
      <c r="S28" s="232"/>
      <c r="T28" s="232"/>
      <c r="U28" s="221"/>
      <c r="V28" s="232"/>
      <c r="W28" s="232"/>
      <c r="X28" s="237"/>
      <c r="Y28" s="232"/>
      <c r="Z28" s="221"/>
      <c r="AA28" s="232"/>
      <c r="AB28" s="237"/>
      <c r="AC28" s="237"/>
      <c r="AD28" s="232"/>
      <c r="AE28" s="221"/>
      <c r="AF28" s="232"/>
      <c r="AG28" s="232"/>
      <c r="AH28" s="232"/>
      <c r="AI28" s="232"/>
      <c r="AJ28" s="221"/>
      <c r="AK28" s="221"/>
      <c r="AL28" s="221"/>
      <c r="AM28" s="221"/>
      <c r="AN28" s="325"/>
      <c r="AO28" s="325"/>
      <c r="AP28" s="325"/>
      <c r="AQ28" s="325"/>
      <c r="AR28" s="325"/>
      <c r="AS28" s="325"/>
      <c r="AT28" s="325"/>
      <c r="AU28" s="325"/>
      <c r="AV28" s="325"/>
      <c r="AW28" s="325"/>
      <c r="AX28" s="325"/>
      <c r="AY28" s="325"/>
      <c r="AZ28" s="325"/>
      <c r="BA28" s="325"/>
      <c r="BB28" s="325"/>
      <c r="BC28" s="325"/>
      <c r="BD28" s="325"/>
      <c r="BE28" s="325"/>
      <c r="BF28" s="325"/>
      <c r="BG28" s="325"/>
      <c r="BH28" s="325"/>
      <c r="BI28" s="224"/>
      <c r="BJ28" s="224"/>
    </row>
    <row r="29" spans="1:65" s="271" customFormat="1" ht="21" customHeight="1" x14ac:dyDescent="0.3">
      <c r="A29" s="264"/>
      <c r="B29" s="264"/>
      <c r="C29" s="264"/>
      <c r="D29" s="351"/>
      <c r="E29" s="351"/>
      <c r="F29" s="351"/>
      <c r="G29" s="351"/>
      <c r="H29" s="351"/>
      <c r="I29" s="351"/>
      <c r="J29" s="273"/>
      <c r="K29" s="351"/>
      <c r="L29" s="351"/>
      <c r="M29" s="351"/>
      <c r="N29" s="266"/>
      <c r="O29" s="268" t="s">
        <v>2019</v>
      </c>
      <c r="P29" s="267"/>
      <c r="Q29" s="269">
        <f>Q9+Q13+Q18+Q21+Q24+Q27</f>
        <v>1081</v>
      </c>
      <c r="R29" s="269">
        <f>R9+R13+R18+R21+R24+R27</f>
        <v>1050</v>
      </c>
      <c r="S29" s="269">
        <f>S9+S13+S18+S21+S24+S27</f>
        <v>31</v>
      </c>
      <c r="T29" s="269">
        <f t="shared" ref="T29:AI29" si="12">T9+T13+T18+T21+T24+T27</f>
        <v>11</v>
      </c>
      <c r="U29" s="265" t="s">
        <v>2004</v>
      </c>
      <c r="V29" s="269">
        <f t="shared" si="12"/>
        <v>1081</v>
      </c>
      <c r="W29" s="269">
        <f>W9+W13+W18+W21+W24+W27</f>
        <v>1053</v>
      </c>
      <c r="X29" s="269">
        <f>X9+X13+X18+X21+X24+X27</f>
        <v>28</v>
      </c>
      <c r="Y29" s="269">
        <f t="shared" ref="Y29" si="13">Y9+Y13+Y18+Y21+Y24+Y27</f>
        <v>11</v>
      </c>
      <c r="Z29" s="265" t="s">
        <v>2004</v>
      </c>
      <c r="AA29" s="269">
        <f t="shared" si="12"/>
        <v>1081</v>
      </c>
      <c r="AB29" s="269">
        <f>AB9+AB13+AB18+AB21+AB24+AB27</f>
        <v>1054</v>
      </c>
      <c r="AC29" s="269">
        <f>AC9+AC13+AC18+AC21+AC24+AC27</f>
        <v>27</v>
      </c>
      <c r="AD29" s="269">
        <f t="shared" si="12"/>
        <v>11</v>
      </c>
      <c r="AE29" s="265" t="s">
        <v>2004</v>
      </c>
      <c r="AF29" s="269">
        <f t="shared" si="12"/>
        <v>1081</v>
      </c>
      <c r="AG29" s="269">
        <f>AG9+AG13+AG18+AG21+AG24+AG27</f>
        <v>1052</v>
      </c>
      <c r="AH29" s="269">
        <f>AH9+AH13+AH18+AH21+AH24+AH27</f>
        <v>29</v>
      </c>
      <c r="AI29" s="269">
        <f t="shared" si="12"/>
        <v>11</v>
      </c>
      <c r="AJ29" s="265" t="s">
        <v>2004</v>
      </c>
      <c r="AK29" s="265" t="s">
        <v>2004</v>
      </c>
      <c r="AL29" s="265" t="s">
        <v>2004</v>
      </c>
      <c r="AM29" s="265" t="s">
        <v>2004</v>
      </c>
      <c r="AN29" s="326"/>
      <c r="AO29" s="326"/>
      <c r="AP29" s="326"/>
      <c r="AQ29" s="326"/>
      <c r="AR29" s="326"/>
      <c r="AS29" s="326"/>
      <c r="AT29" s="326"/>
      <c r="AU29" s="326"/>
      <c r="AV29" s="326"/>
      <c r="AW29" s="326"/>
      <c r="AX29" s="326"/>
      <c r="AY29" s="326"/>
      <c r="AZ29" s="326"/>
      <c r="BA29" s="326"/>
      <c r="BB29" s="326"/>
      <c r="BC29" s="326"/>
      <c r="BD29" s="326"/>
      <c r="BE29" s="326"/>
      <c r="BF29" s="326"/>
      <c r="BG29" s="326"/>
      <c r="BH29" s="326"/>
      <c r="BI29" s="270"/>
      <c r="BJ29" s="270"/>
    </row>
    <row r="30" spans="1:65" s="258" customFormat="1" x14ac:dyDescent="0.3">
      <c r="A30" s="256"/>
      <c r="B30" s="256"/>
      <c r="C30" s="256"/>
      <c r="D30" s="256"/>
      <c r="E30" s="256"/>
      <c r="F30" s="256"/>
      <c r="G30" s="256"/>
      <c r="H30" s="256"/>
      <c r="I30" s="256"/>
      <c r="J30" s="175"/>
      <c r="K30" s="256"/>
      <c r="L30" s="256"/>
      <c r="M30" s="256"/>
      <c r="N30" s="255"/>
      <c r="O30" s="257"/>
      <c r="P30" s="173"/>
      <c r="Q30" s="327"/>
      <c r="R30" s="362"/>
      <c r="S30" s="362"/>
      <c r="T30" s="327"/>
      <c r="U30" s="256"/>
      <c r="V30" s="327"/>
      <c r="W30" s="327"/>
      <c r="X30" s="234"/>
      <c r="Y30" s="327"/>
      <c r="Z30" s="256"/>
      <c r="AA30" s="327"/>
      <c r="AB30" s="234"/>
      <c r="AC30" s="234"/>
      <c r="AD30" s="327"/>
      <c r="AE30" s="256"/>
      <c r="AF30" s="313"/>
      <c r="AG30" s="313"/>
      <c r="AH30" s="313"/>
      <c r="AI30" s="313"/>
      <c r="AJ30" s="256"/>
      <c r="AK30" s="256"/>
      <c r="AL30" s="256"/>
      <c r="AM30" s="256"/>
      <c r="AN30" s="251"/>
      <c r="AO30" s="251"/>
      <c r="AP30" s="251"/>
      <c r="AQ30" s="251"/>
      <c r="AR30" s="251"/>
      <c r="AS30" s="251"/>
      <c r="AT30" s="252"/>
      <c r="AU30" s="252"/>
      <c r="AV30" s="252"/>
      <c r="AW30" s="252"/>
      <c r="AX30" s="252"/>
      <c r="AY30" s="252"/>
      <c r="AZ30" s="252"/>
      <c r="BA30" s="252"/>
      <c r="BB30" s="252"/>
      <c r="BC30" s="252"/>
      <c r="BD30" s="252"/>
      <c r="BE30" s="252"/>
      <c r="BF30" s="252"/>
      <c r="BG30" s="252"/>
      <c r="BH30" s="252"/>
      <c r="BI30" s="241"/>
      <c r="BJ30" s="241"/>
      <c r="BK30" s="241"/>
      <c r="BL30" s="241"/>
      <c r="BM30" s="241"/>
    </row>
    <row r="31" spans="1:65" s="258" customFormat="1" x14ac:dyDescent="0.3">
      <c r="A31" s="256"/>
      <c r="B31" s="256"/>
      <c r="C31" s="256"/>
      <c r="D31" s="256"/>
      <c r="E31" s="256"/>
      <c r="F31" s="256"/>
      <c r="G31" s="256"/>
      <c r="H31" s="256"/>
      <c r="I31" s="256"/>
      <c r="J31" s="175"/>
      <c r="K31" s="256"/>
      <c r="L31" s="256"/>
      <c r="M31" s="256"/>
      <c r="N31" s="255"/>
      <c r="O31" s="257"/>
      <c r="P31" s="173"/>
      <c r="Q31" s="312"/>
      <c r="R31" s="312"/>
      <c r="S31" s="312"/>
      <c r="T31" s="312"/>
      <c r="U31" s="256"/>
      <c r="V31" s="312"/>
      <c r="W31" s="312"/>
      <c r="X31" s="312"/>
      <c r="Y31" s="312"/>
      <c r="Z31" s="256"/>
      <c r="AA31" s="312"/>
      <c r="AB31" s="312"/>
      <c r="AC31" s="312"/>
      <c r="AD31" s="312"/>
      <c r="AE31" s="256"/>
      <c r="AF31" s="312"/>
      <c r="AG31" s="312"/>
      <c r="AH31" s="312"/>
      <c r="AI31" s="312"/>
      <c r="AJ31" s="256"/>
      <c r="AK31" s="256"/>
      <c r="AL31" s="256"/>
      <c r="AM31" s="256"/>
      <c r="AN31" s="251"/>
      <c r="AO31" s="251"/>
      <c r="AP31" s="251"/>
      <c r="AQ31" s="251"/>
      <c r="AR31" s="251"/>
      <c r="AS31" s="251"/>
      <c r="AT31" s="252"/>
      <c r="AU31" s="252"/>
      <c r="AV31" s="252"/>
      <c r="AW31" s="252"/>
      <c r="AX31" s="252"/>
      <c r="AY31" s="252"/>
      <c r="AZ31" s="252"/>
      <c r="BA31" s="252"/>
      <c r="BB31" s="252"/>
      <c r="BC31" s="252"/>
      <c r="BD31" s="252"/>
      <c r="BE31" s="252"/>
      <c r="BF31" s="252"/>
      <c r="BG31" s="252"/>
      <c r="BH31" s="252"/>
      <c r="BI31" s="241"/>
      <c r="BJ31" s="241"/>
      <c r="BK31" s="241"/>
      <c r="BL31" s="241"/>
      <c r="BM31" s="241"/>
    </row>
    <row r="32" spans="1:65" s="258" customFormat="1" x14ac:dyDescent="0.3">
      <c r="A32" s="256"/>
      <c r="B32" s="256"/>
      <c r="C32" s="256"/>
      <c r="D32" s="256"/>
      <c r="E32" s="256"/>
      <c r="F32" s="256"/>
      <c r="G32" s="256"/>
      <c r="H32" s="256"/>
      <c r="I32" s="256"/>
      <c r="J32" s="175"/>
      <c r="K32" s="256"/>
      <c r="L32" s="256"/>
      <c r="M32" s="256"/>
      <c r="N32" s="255"/>
      <c r="O32" s="257"/>
      <c r="P32" s="173"/>
      <c r="Q32" s="312"/>
      <c r="R32" s="312"/>
      <c r="S32" s="312"/>
      <c r="T32" s="312"/>
      <c r="U32" s="256"/>
      <c r="V32" s="312"/>
      <c r="W32" s="312"/>
      <c r="X32" s="312"/>
      <c r="Y32" s="312"/>
      <c r="Z32" s="256"/>
      <c r="AA32" s="312"/>
      <c r="AB32" s="312"/>
      <c r="AC32" s="312"/>
      <c r="AD32" s="312"/>
      <c r="AE32" s="256"/>
      <c r="AF32" s="312"/>
      <c r="AG32" s="312"/>
      <c r="AH32" s="312"/>
      <c r="AI32" s="312"/>
      <c r="AJ32" s="256"/>
      <c r="AK32" s="256"/>
      <c r="AL32" s="256"/>
      <c r="AM32" s="256"/>
      <c r="AN32" s="251"/>
      <c r="AO32" s="251"/>
      <c r="AP32" s="251"/>
      <c r="AQ32" s="251"/>
      <c r="AR32" s="251"/>
      <c r="AS32" s="251"/>
      <c r="AT32" s="252"/>
      <c r="AU32" s="252"/>
      <c r="AV32" s="252"/>
      <c r="AW32" s="252"/>
      <c r="AX32" s="252"/>
      <c r="AY32" s="252"/>
      <c r="AZ32" s="252"/>
      <c r="BA32" s="252"/>
      <c r="BB32" s="252"/>
      <c r="BC32" s="252"/>
      <c r="BD32" s="252"/>
      <c r="BE32" s="252"/>
      <c r="BF32" s="252"/>
      <c r="BG32" s="252"/>
      <c r="BH32" s="252"/>
      <c r="BI32" s="241"/>
      <c r="BJ32" s="241"/>
      <c r="BK32" s="241"/>
      <c r="BL32" s="241"/>
      <c r="BM32" s="241"/>
    </row>
  </sheetData>
  <autoFilter ref="A3:AM29" xr:uid="{6EEFBEEE-47BF-4792-9F2E-295321A7CECA}"/>
  <phoneticPr fontId="35" type="noConversion"/>
  <pageMargins left="0.23622047244094491" right="0.23622047244094491" top="0.27559055118110237" bottom="0.27559055118110237" header="0" footer="0"/>
  <pageSetup paperSize="8" scale="28"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B48EC9-83F3-4739-BA62-ADD1373EB22A}">
  <dimension ref="A1:AA29"/>
  <sheetViews>
    <sheetView tabSelected="1" view="pageBreakPreview" zoomScale="97" zoomScaleNormal="100" zoomScaleSheetLayoutView="97" workbookViewId="0">
      <selection activeCell="C10" sqref="C10"/>
    </sheetView>
  </sheetViews>
  <sheetFormatPr defaultColWidth="9.109375" defaultRowHeight="16.8" x14ac:dyDescent="0.3"/>
  <cols>
    <col min="1" max="1" width="17.109375" style="207" customWidth="1"/>
    <col min="2" max="2" width="37.109375" style="311" customWidth="1"/>
    <col min="3" max="3" width="202.5546875" style="207" customWidth="1"/>
    <col min="4" max="9" width="9.109375" style="207"/>
    <col min="10" max="10" width="2.6640625" style="207" customWidth="1"/>
    <col min="11" max="26" width="9.109375" style="207" hidden="1" customWidth="1"/>
    <col min="27" max="27" width="10.88671875" style="306" bestFit="1" customWidth="1"/>
    <col min="28" max="16384" width="9.109375" style="207"/>
  </cols>
  <sheetData>
    <row r="1" spans="1:3" x14ac:dyDescent="0.3">
      <c r="C1" s="360" t="s">
        <v>2063</v>
      </c>
    </row>
    <row r="2" spans="1:3" x14ac:dyDescent="0.3">
      <c r="C2" s="352" t="s">
        <v>2091</v>
      </c>
    </row>
    <row r="3" spans="1:3" x14ac:dyDescent="0.3">
      <c r="C3" s="352" t="s">
        <v>2092</v>
      </c>
    </row>
    <row r="4" spans="1:3" x14ac:dyDescent="0.3">
      <c r="C4" s="352" t="s">
        <v>2093</v>
      </c>
    </row>
    <row r="5" spans="1:3" ht="37.200000000000003" x14ac:dyDescent="0.3">
      <c r="A5" s="364" t="s">
        <v>2090</v>
      </c>
      <c r="B5" s="309"/>
    </row>
    <row r="6" spans="1:3" ht="33.6" x14ac:dyDescent="0.3">
      <c r="A6" s="307" t="s">
        <v>1954</v>
      </c>
      <c r="B6" s="310" t="s">
        <v>1969</v>
      </c>
      <c r="C6" s="308" t="s">
        <v>2045</v>
      </c>
    </row>
    <row r="7" spans="1:3" ht="50.4" x14ac:dyDescent="0.3">
      <c r="A7" s="307" t="s">
        <v>1955</v>
      </c>
      <c r="B7" s="310" t="s">
        <v>1952</v>
      </c>
      <c r="C7" s="308" t="s">
        <v>2046</v>
      </c>
    </row>
    <row r="8" spans="1:3" ht="85.8" customHeight="1" x14ac:dyDescent="0.3">
      <c r="A8" s="307" t="s">
        <v>1956</v>
      </c>
      <c r="B8" s="310" t="s">
        <v>1866</v>
      </c>
      <c r="C8" s="308" t="s">
        <v>2094</v>
      </c>
    </row>
    <row r="9" spans="1:3" ht="50.4" x14ac:dyDescent="0.3">
      <c r="A9" s="307" t="s">
        <v>1960</v>
      </c>
      <c r="B9" s="310" t="s">
        <v>1868</v>
      </c>
      <c r="C9" s="308" t="s">
        <v>2047</v>
      </c>
    </row>
    <row r="10" spans="1:3" ht="83.25" customHeight="1" x14ac:dyDescent="0.3">
      <c r="A10" s="307" t="s">
        <v>1957</v>
      </c>
      <c r="B10" s="310" t="s">
        <v>1970</v>
      </c>
      <c r="C10" s="308" t="s">
        <v>2049</v>
      </c>
    </row>
    <row r="11" spans="1:3" ht="84" x14ac:dyDescent="0.3">
      <c r="A11" s="307" t="s">
        <v>1958</v>
      </c>
      <c r="B11" s="310" t="s">
        <v>1869</v>
      </c>
      <c r="C11" s="343" t="s">
        <v>2095</v>
      </c>
    </row>
    <row r="12" spans="1:3" ht="84" x14ac:dyDescent="0.3">
      <c r="A12" s="307" t="s">
        <v>1959</v>
      </c>
      <c r="B12" s="310" t="s">
        <v>2041</v>
      </c>
      <c r="C12" s="307" t="s">
        <v>2096</v>
      </c>
    </row>
    <row r="13" spans="1:3" ht="50.4" x14ac:dyDescent="0.3">
      <c r="A13" s="307" t="s">
        <v>1961</v>
      </c>
      <c r="B13" s="310" t="s">
        <v>2043</v>
      </c>
      <c r="C13" s="307" t="s">
        <v>2097</v>
      </c>
    </row>
    <row r="14" spans="1:3" ht="50.4" x14ac:dyDescent="0.3">
      <c r="A14" s="307" t="s">
        <v>1962</v>
      </c>
      <c r="B14" s="310" t="s">
        <v>2048</v>
      </c>
      <c r="C14" s="307" t="s">
        <v>2098</v>
      </c>
    </row>
    <row r="15" spans="1:3" x14ac:dyDescent="0.3">
      <c r="A15" s="307" t="s">
        <v>1963</v>
      </c>
      <c r="B15" s="310" t="s">
        <v>2044</v>
      </c>
      <c r="C15" s="308" t="s">
        <v>2089</v>
      </c>
    </row>
    <row r="16" spans="1:3" ht="67.2" x14ac:dyDescent="0.3">
      <c r="A16" s="307" t="s">
        <v>1964</v>
      </c>
      <c r="B16" s="310" t="s">
        <v>2058</v>
      </c>
      <c r="C16" s="308" t="s">
        <v>2099</v>
      </c>
    </row>
    <row r="17" spans="1:3" ht="67.2" x14ac:dyDescent="0.3">
      <c r="A17" s="307" t="s">
        <v>1965</v>
      </c>
      <c r="B17" s="310" t="s">
        <v>2026</v>
      </c>
      <c r="C17" s="308" t="s">
        <v>2099</v>
      </c>
    </row>
    <row r="18" spans="1:3" ht="67.2" x14ac:dyDescent="0.3">
      <c r="A18" s="307" t="s">
        <v>1953</v>
      </c>
      <c r="B18" s="310" t="s">
        <v>1857</v>
      </c>
      <c r="C18" s="308" t="s">
        <v>2099</v>
      </c>
    </row>
    <row r="19" spans="1:3" x14ac:dyDescent="0.3">
      <c r="A19" s="307" t="s">
        <v>1966</v>
      </c>
      <c r="B19" s="310" t="s">
        <v>1971</v>
      </c>
      <c r="C19" s="307" t="s">
        <v>2015</v>
      </c>
    </row>
    <row r="20" spans="1:3" ht="33.6" x14ac:dyDescent="0.3">
      <c r="A20" s="307" t="s">
        <v>1967</v>
      </c>
      <c r="B20" s="310" t="s">
        <v>2060</v>
      </c>
      <c r="C20" s="307" t="s">
        <v>2059</v>
      </c>
    </row>
    <row r="21" spans="1:3" ht="90" customHeight="1" x14ac:dyDescent="0.3">
      <c r="A21" s="307" t="s">
        <v>1968</v>
      </c>
      <c r="B21" s="310" t="s">
        <v>2062</v>
      </c>
      <c r="C21" s="307" t="s">
        <v>2015</v>
      </c>
    </row>
    <row r="22" spans="1:3" ht="67.2" x14ac:dyDescent="0.3">
      <c r="A22" s="307" t="s">
        <v>2083</v>
      </c>
      <c r="B22" s="310" t="s">
        <v>2070</v>
      </c>
      <c r="C22" s="307" t="s">
        <v>2064</v>
      </c>
    </row>
    <row r="23" spans="1:3" ht="67.2" x14ac:dyDescent="0.3">
      <c r="A23" s="307" t="s">
        <v>2084</v>
      </c>
      <c r="B23" s="310" t="s">
        <v>2067</v>
      </c>
      <c r="C23" s="307" t="s">
        <v>2100</v>
      </c>
    </row>
    <row r="24" spans="1:3" ht="67.2" x14ac:dyDescent="0.3">
      <c r="A24" s="307" t="s">
        <v>2085</v>
      </c>
      <c r="B24" s="310" t="s">
        <v>2065</v>
      </c>
      <c r="C24" s="307" t="s">
        <v>2071</v>
      </c>
    </row>
    <row r="25" spans="1:3" ht="67.2" x14ac:dyDescent="0.3">
      <c r="A25" s="307" t="s">
        <v>2086</v>
      </c>
      <c r="B25" s="310" t="s">
        <v>2069</v>
      </c>
      <c r="C25" s="307" t="s">
        <v>2101</v>
      </c>
    </row>
    <row r="26" spans="1:3" ht="67.2" x14ac:dyDescent="0.3">
      <c r="A26" s="307" t="s">
        <v>2087</v>
      </c>
      <c r="B26" s="310" t="s">
        <v>1871</v>
      </c>
      <c r="C26" s="307" t="s">
        <v>2102</v>
      </c>
    </row>
    <row r="27" spans="1:3" ht="33.6" x14ac:dyDescent="0.3">
      <c r="A27" s="307" t="s">
        <v>2027</v>
      </c>
      <c r="B27" s="310" t="s">
        <v>2003</v>
      </c>
      <c r="C27" s="307" t="s">
        <v>2015</v>
      </c>
    </row>
    <row r="28" spans="1:3" x14ac:dyDescent="0.3">
      <c r="A28" s="307" t="s">
        <v>2013</v>
      </c>
      <c r="B28" s="310" t="s">
        <v>1876</v>
      </c>
      <c r="C28" s="307" t="s">
        <v>2015</v>
      </c>
    </row>
    <row r="29" spans="1:3" x14ac:dyDescent="0.3">
      <c r="A29" s="307" t="s">
        <v>2014</v>
      </c>
      <c r="B29" s="310" t="s">
        <v>2016</v>
      </c>
      <c r="C29" s="307" t="s">
        <v>2088</v>
      </c>
    </row>
  </sheetData>
  <phoneticPr fontId="35" type="noConversion"/>
  <pageMargins left="0.31496062992125984" right="0.31496062992125984" top="0.35433070866141736" bottom="0.35433070866141736" header="0" footer="0"/>
  <pageSetup paperSize="8" scale="75" orientation="landscape" r:id="rId1"/>
  <colBreaks count="1" manualBreakCount="1">
    <brk id="3" max="27" man="1"/>
  </colBreak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D86F4C-F8C8-4004-99E6-66753F2AEDCF}">
  <sheetPr codeName="Arkusz9">
    <tabColor rgb="FFFF0000"/>
  </sheetPr>
  <dimension ref="A1:Z1628"/>
  <sheetViews>
    <sheetView zoomScaleNormal="100" workbookViewId="0">
      <pane xSplit="2" ySplit="1" topLeftCell="C888" activePane="bottomRight" state="frozen"/>
      <selection pane="topRight" activeCell="C1" sqref="C1"/>
      <selection pane="bottomLeft" activeCell="A2" sqref="A2"/>
      <selection pane="bottomRight" activeCell="L915" sqref="L915"/>
    </sheetView>
  </sheetViews>
  <sheetFormatPr defaultColWidth="8.6640625" defaultRowHeight="15.6" x14ac:dyDescent="0.3"/>
  <cols>
    <col min="1" max="2" width="8.6640625" style="5" customWidth="1"/>
    <col min="3" max="3" width="17.6640625" style="5" bestFit="1" customWidth="1"/>
    <col min="4" max="6" width="12.6640625" style="5" bestFit="1" customWidth="1"/>
    <col min="7" max="8" width="11.6640625" style="5" bestFit="1" customWidth="1"/>
    <col min="9" max="9" width="20.33203125" style="5" customWidth="1"/>
    <col min="10" max="10" width="14" style="5" customWidth="1"/>
    <col min="11" max="11" width="8.6640625" style="5" customWidth="1"/>
    <col min="12" max="12" width="68.5546875" style="5" customWidth="1"/>
    <col min="13" max="13" width="109.6640625" style="5" customWidth="1"/>
    <col min="14" max="18" width="14.5546875" style="5" customWidth="1"/>
    <col min="19" max="19" width="23.33203125" style="5" customWidth="1"/>
    <col min="20" max="20" width="16.44140625" style="5" customWidth="1"/>
    <col min="21" max="21" width="12.33203125" style="5" customWidth="1"/>
    <col min="22" max="22" width="16.6640625" style="5" customWidth="1"/>
    <col min="23" max="23" width="63.6640625" style="5" customWidth="1"/>
    <col min="24" max="24" width="8.6640625" style="5" customWidth="1"/>
    <col min="25" max="25" width="11.33203125" style="5" customWidth="1"/>
    <col min="26" max="16384" width="8.6640625" style="5"/>
  </cols>
  <sheetData>
    <row r="1" spans="1:23" s="2" customFormat="1" ht="48.6"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x14ac:dyDescent="0.3">
      <c r="A2" s="3">
        <v>27</v>
      </c>
      <c r="B2" s="3" t="s">
        <v>23</v>
      </c>
      <c r="C2" s="3" t="s">
        <v>24</v>
      </c>
      <c r="D2" s="3" t="s">
        <v>25</v>
      </c>
      <c r="E2" s="3">
        <v>45323</v>
      </c>
      <c r="F2" s="3" t="s">
        <v>26</v>
      </c>
      <c r="G2" s="3" t="s">
        <v>27</v>
      </c>
      <c r="H2" s="3">
        <v>4000</v>
      </c>
      <c r="I2" s="3">
        <v>0</v>
      </c>
      <c r="J2" s="3" t="s">
        <v>28</v>
      </c>
      <c r="K2" s="3" t="s">
        <v>10</v>
      </c>
      <c r="L2" s="3" t="s">
        <v>29</v>
      </c>
      <c r="M2" s="3" t="s">
        <v>30</v>
      </c>
      <c r="N2" s="4">
        <v>350</v>
      </c>
      <c r="O2" s="4">
        <v>250</v>
      </c>
      <c r="P2" s="4">
        <v>350</v>
      </c>
      <c r="Q2" s="4">
        <v>350</v>
      </c>
      <c r="R2" s="4">
        <v>300</v>
      </c>
      <c r="S2" s="3" t="s">
        <v>24</v>
      </c>
      <c r="T2" s="3" t="s">
        <v>24</v>
      </c>
      <c r="U2" s="3" t="s">
        <v>31</v>
      </c>
      <c r="V2" s="3" t="s">
        <v>32</v>
      </c>
      <c r="W2" s="3"/>
    </row>
    <row r="3" spans="1:23" x14ac:dyDescent="0.3">
      <c r="A3" s="3">
        <v>27</v>
      </c>
      <c r="B3" s="3" t="s">
        <v>23</v>
      </c>
      <c r="C3" s="3" t="s">
        <v>33</v>
      </c>
      <c r="D3" s="3" t="s">
        <v>34</v>
      </c>
      <c r="E3" s="3">
        <v>45292</v>
      </c>
      <c r="F3" s="3" t="s">
        <v>26</v>
      </c>
      <c r="G3" s="3" t="s">
        <v>35</v>
      </c>
      <c r="H3" s="3">
        <v>4480</v>
      </c>
      <c r="I3" s="3">
        <v>0</v>
      </c>
      <c r="J3" s="3" t="s">
        <v>28</v>
      </c>
      <c r="K3" s="3" t="s">
        <v>10</v>
      </c>
      <c r="L3" s="3" t="s">
        <v>36</v>
      </c>
      <c r="M3" s="3" t="s">
        <v>37</v>
      </c>
      <c r="N3" s="4">
        <v>130</v>
      </c>
      <c r="O3" s="4">
        <v>130</v>
      </c>
      <c r="P3" s="4">
        <v>135</v>
      </c>
      <c r="Q3" s="4">
        <v>135</v>
      </c>
      <c r="R3" s="4">
        <v>135</v>
      </c>
      <c r="S3" s="3" t="s">
        <v>24</v>
      </c>
      <c r="T3" s="3" t="s">
        <v>38</v>
      </c>
      <c r="U3" s="3"/>
      <c r="V3" s="3" t="s">
        <v>39</v>
      </c>
      <c r="W3" s="3"/>
    </row>
    <row r="4" spans="1:23" x14ac:dyDescent="0.3">
      <c r="A4" s="3">
        <v>27</v>
      </c>
      <c r="B4" s="3" t="s">
        <v>23</v>
      </c>
      <c r="C4" s="3" t="s">
        <v>24</v>
      </c>
      <c r="D4" s="3" t="s">
        <v>40</v>
      </c>
      <c r="E4" s="3">
        <v>45261</v>
      </c>
      <c r="F4" s="3" t="s">
        <v>26</v>
      </c>
      <c r="G4" s="3" t="s">
        <v>41</v>
      </c>
      <c r="H4" s="3">
        <v>4480</v>
      </c>
      <c r="I4" s="3">
        <v>0</v>
      </c>
      <c r="J4" s="3" t="s">
        <v>28</v>
      </c>
      <c r="K4" s="3" t="s">
        <v>10</v>
      </c>
      <c r="L4" s="3" t="s">
        <v>36</v>
      </c>
      <c r="M4" s="3" t="s">
        <v>42</v>
      </c>
      <c r="N4" s="4">
        <v>0</v>
      </c>
      <c r="O4" s="4">
        <v>1</v>
      </c>
      <c r="P4" s="4">
        <v>0</v>
      </c>
      <c r="Q4" s="4">
        <v>0</v>
      </c>
      <c r="R4" s="4">
        <v>2</v>
      </c>
      <c r="S4" s="3" t="s">
        <v>24</v>
      </c>
      <c r="T4" s="3" t="s">
        <v>24</v>
      </c>
      <c r="U4" s="3" t="s">
        <v>43</v>
      </c>
      <c r="V4" s="3" t="s">
        <v>44</v>
      </c>
      <c r="W4" s="3"/>
    </row>
    <row r="5" spans="1:23" x14ac:dyDescent="0.3">
      <c r="A5" s="3">
        <v>27</v>
      </c>
      <c r="B5" s="3" t="s">
        <v>23</v>
      </c>
      <c r="C5" s="3" t="s">
        <v>45</v>
      </c>
      <c r="D5" s="3" t="s">
        <v>46</v>
      </c>
      <c r="E5" s="3">
        <v>45597</v>
      </c>
      <c r="F5" s="3" t="s">
        <v>26</v>
      </c>
      <c r="G5" s="3" t="s">
        <v>47</v>
      </c>
      <c r="H5" s="3">
        <v>4480</v>
      </c>
      <c r="I5" s="3">
        <v>0</v>
      </c>
      <c r="J5" s="3" t="s">
        <v>28</v>
      </c>
      <c r="K5" s="3" t="s">
        <v>10</v>
      </c>
      <c r="L5" s="3" t="s">
        <v>48</v>
      </c>
      <c r="M5" s="3" t="s">
        <v>49</v>
      </c>
      <c r="N5" s="4">
        <v>0</v>
      </c>
      <c r="O5" s="4">
        <v>0</v>
      </c>
      <c r="P5" s="4">
        <v>20</v>
      </c>
      <c r="Q5" s="4">
        <v>0</v>
      </c>
      <c r="R5" s="4">
        <v>0</v>
      </c>
      <c r="S5" s="3" t="s">
        <v>50</v>
      </c>
      <c r="T5" s="3" t="s">
        <v>45</v>
      </c>
      <c r="U5" s="3" t="s">
        <v>51</v>
      </c>
      <c r="V5" s="3" t="s">
        <v>52</v>
      </c>
      <c r="W5" s="3" t="s">
        <v>53</v>
      </c>
    </row>
    <row r="6" spans="1:23" x14ac:dyDescent="0.3">
      <c r="A6" s="3">
        <v>27</v>
      </c>
      <c r="B6" s="3" t="s">
        <v>23</v>
      </c>
      <c r="C6" s="3" t="s">
        <v>45</v>
      </c>
      <c r="D6" s="3" t="s">
        <v>46</v>
      </c>
      <c r="E6" s="3"/>
      <c r="F6" s="3" t="s">
        <v>26</v>
      </c>
      <c r="G6" s="3" t="s">
        <v>41</v>
      </c>
      <c r="H6" s="3">
        <v>4480</v>
      </c>
      <c r="I6" s="3">
        <v>0</v>
      </c>
      <c r="J6" s="3" t="s">
        <v>28</v>
      </c>
      <c r="K6" s="3" t="s">
        <v>10</v>
      </c>
      <c r="L6" s="3" t="s">
        <v>48</v>
      </c>
      <c r="M6" s="3" t="s">
        <v>54</v>
      </c>
      <c r="N6" s="4">
        <v>0</v>
      </c>
      <c r="O6" s="4">
        <v>0</v>
      </c>
      <c r="P6" s="4">
        <v>1</v>
      </c>
      <c r="Q6" s="4">
        <v>0</v>
      </c>
      <c r="R6" s="4">
        <v>0</v>
      </c>
      <c r="S6" s="3" t="s">
        <v>50</v>
      </c>
      <c r="T6" s="3" t="s">
        <v>45</v>
      </c>
      <c r="U6" s="3"/>
      <c r="V6" s="3" t="s">
        <v>52</v>
      </c>
      <c r="W6" s="3"/>
    </row>
    <row r="7" spans="1:23" x14ac:dyDescent="0.3">
      <c r="A7" s="3">
        <v>27</v>
      </c>
      <c r="B7" s="3" t="s">
        <v>23</v>
      </c>
      <c r="C7" s="3" t="s">
        <v>45</v>
      </c>
      <c r="D7" s="3" t="s">
        <v>46</v>
      </c>
      <c r="E7" s="3"/>
      <c r="F7" s="3" t="s">
        <v>26</v>
      </c>
      <c r="G7" s="3" t="s">
        <v>41</v>
      </c>
      <c r="H7" s="3">
        <v>4480</v>
      </c>
      <c r="I7" s="3">
        <v>0</v>
      </c>
      <c r="J7" s="3" t="s">
        <v>28</v>
      </c>
      <c r="K7" s="3" t="s">
        <v>10</v>
      </c>
      <c r="L7" s="3" t="s">
        <v>48</v>
      </c>
      <c r="M7" s="3" t="s">
        <v>55</v>
      </c>
      <c r="N7" s="4">
        <v>0</v>
      </c>
      <c r="O7" s="4">
        <v>0</v>
      </c>
      <c r="P7" s="4">
        <v>73</v>
      </c>
      <c r="Q7" s="4">
        <v>0</v>
      </c>
      <c r="R7" s="4">
        <v>0</v>
      </c>
      <c r="S7" s="3" t="s">
        <v>50</v>
      </c>
      <c r="T7" s="3" t="s">
        <v>45</v>
      </c>
      <c r="U7" s="3"/>
      <c r="V7" s="3" t="s">
        <v>56</v>
      </c>
      <c r="W7" s="3"/>
    </row>
    <row r="8" spans="1:23" x14ac:dyDescent="0.3">
      <c r="A8" s="3">
        <v>27</v>
      </c>
      <c r="B8" s="3" t="s">
        <v>23</v>
      </c>
      <c r="C8" s="3" t="s">
        <v>24</v>
      </c>
      <c r="D8" s="3" t="s">
        <v>57</v>
      </c>
      <c r="E8" s="3">
        <v>45474</v>
      </c>
      <c r="F8" s="3" t="s">
        <v>26</v>
      </c>
      <c r="G8" s="3" t="s">
        <v>58</v>
      </c>
      <c r="H8" s="3">
        <v>4000</v>
      </c>
      <c r="I8" s="3">
        <v>0</v>
      </c>
      <c r="J8" s="3" t="s">
        <v>28</v>
      </c>
      <c r="K8" s="3" t="s">
        <v>10</v>
      </c>
      <c r="L8" s="3" t="s">
        <v>59</v>
      </c>
      <c r="M8" s="3" t="s">
        <v>60</v>
      </c>
      <c r="N8" s="4">
        <v>0</v>
      </c>
      <c r="O8" s="4">
        <v>0</v>
      </c>
      <c r="P8" s="4">
        <v>0</v>
      </c>
      <c r="Q8" s="4">
        <v>0</v>
      </c>
      <c r="R8" s="4">
        <v>0</v>
      </c>
      <c r="S8" s="3" t="s">
        <v>24</v>
      </c>
      <c r="T8" s="3" t="s">
        <v>61</v>
      </c>
      <c r="U8" s="3" t="s">
        <v>62</v>
      </c>
      <c r="V8" s="3" t="s">
        <v>63</v>
      </c>
      <c r="W8" s="3" t="s">
        <v>64</v>
      </c>
    </row>
    <row r="9" spans="1:23" x14ac:dyDescent="0.3">
      <c r="A9" s="3">
        <v>27</v>
      </c>
      <c r="B9" s="3" t="s">
        <v>23</v>
      </c>
      <c r="C9" s="3" t="s">
        <v>24</v>
      </c>
      <c r="D9" s="3" t="s">
        <v>57</v>
      </c>
      <c r="E9" s="3"/>
      <c r="F9" s="3" t="s">
        <v>26</v>
      </c>
      <c r="G9" s="3" t="s">
        <v>58</v>
      </c>
      <c r="H9" s="3">
        <v>4000</v>
      </c>
      <c r="I9" s="3">
        <v>0</v>
      </c>
      <c r="J9" s="3" t="s">
        <v>28</v>
      </c>
      <c r="K9" s="3" t="s">
        <v>10</v>
      </c>
      <c r="L9" s="3" t="s">
        <v>65</v>
      </c>
      <c r="M9" s="3" t="s">
        <v>60</v>
      </c>
      <c r="N9" s="4">
        <v>42</v>
      </c>
      <c r="O9" s="4">
        <v>70</v>
      </c>
      <c r="P9" s="4">
        <v>70</v>
      </c>
      <c r="Q9" s="4">
        <v>70</v>
      </c>
      <c r="R9" s="4">
        <v>70</v>
      </c>
      <c r="S9" s="3" t="s">
        <v>24</v>
      </c>
      <c r="T9" s="3" t="s">
        <v>24</v>
      </c>
      <c r="U9" s="3" t="s">
        <v>66</v>
      </c>
      <c r="V9" s="3" t="s">
        <v>67</v>
      </c>
      <c r="W9" s="3" t="s">
        <v>68</v>
      </c>
    </row>
    <row r="10" spans="1:23" x14ac:dyDescent="0.3">
      <c r="A10" s="3">
        <v>27</v>
      </c>
      <c r="B10" s="3" t="s">
        <v>23</v>
      </c>
      <c r="C10" s="3" t="s">
        <v>69</v>
      </c>
      <c r="D10" s="3" t="s">
        <v>70</v>
      </c>
      <c r="E10" s="3">
        <v>44713</v>
      </c>
      <c r="F10" s="3" t="s">
        <v>26</v>
      </c>
      <c r="G10" s="3" t="s">
        <v>71</v>
      </c>
      <c r="H10" s="3">
        <v>4000</v>
      </c>
      <c r="I10" s="3">
        <v>0</v>
      </c>
      <c r="J10" s="3" t="s">
        <v>28</v>
      </c>
      <c r="K10" s="3" t="s">
        <v>10</v>
      </c>
      <c r="L10" s="3" t="s">
        <v>72</v>
      </c>
      <c r="M10" s="3" t="s">
        <v>73</v>
      </c>
      <c r="N10" s="4">
        <v>11</v>
      </c>
      <c r="O10" s="4">
        <v>15</v>
      </c>
      <c r="P10" s="4">
        <v>18</v>
      </c>
      <c r="Q10" s="4">
        <v>18</v>
      </c>
      <c r="R10" s="4">
        <v>20</v>
      </c>
      <c r="S10" s="3" t="s">
        <v>24</v>
      </c>
      <c r="T10" s="3" t="s">
        <v>24</v>
      </c>
      <c r="U10" s="3" t="s">
        <v>74</v>
      </c>
      <c r="V10" s="3" t="s">
        <v>75</v>
      </c>
      <c r="W10" s="3"/>
    </row>
    <row r="11" spans="1:23" x14ac:dyDescent="0.3">
      <c r="A11" s="3">
        <v>27</v>
      </c>
      <c r="B11" s="3" t="s">
        <v>23</v>
      </c>
      <c r="C11" s="3" t="s">
        <v>69</v>
      </c>
      <c r="D11" s="3" t="s">
        <v>70</v>
      </c>
      <c r="E11" s="3">
        <v>44713</v>
      </c>
      <c r="F11" s="3" t="s">
        <v>26</v>
      </c>
      <c r="G11" s="3" t="s">
        <v>71</v>
      </c>
      <c r="H11" s="3">
        <v>4000</v>
      </c>
      <c r="I11" s="3">
        <v>0</v>
      </c>
      <c r="J11" s="3" t="s">
        <v>28</v>
      </c>
      <c r="K11" s="3" t="s">
        <v>10</v>
      </c>
      <c r="L11" s="3" t="s">
        <v>76</v>
      </c>
      <c r="M11" s="3" t="s">
        <v>73</v>
      </c>
      <c r="N11" s="4">
        <v>20</v>
      </c>
      <c r="O11" s="4">
        <v>35</v>
      </c>
      <c r="P11" s="4">
        <v>37</v>
      </c>
      <c r="Q11" s="4">
        <v>37</v>
      </c>
      <c r="R11" s="4">
        <v>40</v>
      </c>
      <c r="S11" s="3" t="s">
        <v>24</v>
      </c>
      <c r="T11" s="3" t="s">
        <v>24</v>
      </c>
      <c r="U11" s="3" t="s">
        <v>77</v>
      </c>
      <c r="V11" s="3" t="s">
        <v>75</v>
      </c>
      <c r="W11" s="3"/>
    </row>
    <row r="12" spans="1:23" x14ac:dyDescent="0.3">
      <c r="A12" s="3">
        <v>27</v>
      </c>
      <c r="B12" s="3" t="s">
        <v>23</v>
      </c>
      <c r="C12" s="3" t="s">
        <v>24</v>
      </c>
      <c r="D12" s="3" t="s">
        <v>78</v>
      </c>
      <c r="E12" s="3">
        <v>46204</v>
      </c>
      <c r="F12" s="3" t="s">
        <v>26</v>
      </c>
      <c r="G12" s="3" t="s">
        <v>79</v>
      </c>
      <c r="H12" s="3">
        <v>4000</v>
      </c>
      <c r="I12" s="3">
        <v>0</v>
      </c>
      <c r="J12" s="3" t="s">
        <v>28</v>
      </c>
      <c r="K12" s="3" t="s">
        <v>10</v>
      </c>
      <c r="L12" s="3" t="s">
        <v>80</v>
      </c>
      <c r="M12" s="3" t="s">
        <v>81</v>
      </c>
      <c r="N12" s="4">
        <v>500</v>
      </c>
      <c r="O12" s="4">
        <v>510</v>
      </c>
      <c r="P12" s="4">
        <v>520</v>
      </c>
      <c r="Q12" s="4">
        <v>550</v>
      </c>
      <c r="R12" s="4">
        <v>600</v>
      </c>
      <c r="S12" s="3" t="s">
        <v>24</v>
      </c>
      <c r="T12" s="3" t="s">
        <v>24</v>
      </c>
      <c r="U12" s="3"/>
      <c r="V12" s="3" t="s">
        <v>82</v>
      </c>
      <c r="W12" s="3" t="s">
        <v>83</v>
      </c>
    </row>
    <row r="13" spans="1:23" x14ac:dyDescent="0.3">
      <c r="A13" s="3">
        <v>27</v>
      </c>
      <c r="B13" s="3" t="s">
        <v>23</v>
      </c>
      <c r="C13" s="3" t="s">
        <v>24</v>
      </c>
      <c r="D13" s="3" t="s">
        <v>78</v>
      </c>
      <c r="E13" s="3"/>
      <c r="F13" s="3" t="s">
        <v>26</v>
      </c>
      <c r="G13" s="3" t="s">
        <v>84</v>
      </c>
      <c r="H13" s="3">
        <v>4000</v>
      </c>
      <c r="I13" s="3">
        <v>0</v>
      </c>
      <c r="J13" s="3" t="s">
        <v>28</v>
      </c>
      <c r="K13" s="3" t="s">
        <v>10</v>
      </c>
      <c r="L13" s="3" t="s">
        <v>85</v>
      </c>
      <c r="M13" s="3" t="s">
        <v>86</v>
      </c>
      <c r="N13" s="4">
        <v>502</v>
      </c>
      <c r="O13" s="4">
        <v>502</v>
      </c>
      <c r="P13" s="4">
        <v>502</v>
      </c>
      <c r="Q13" s="4">
        <v>550</v>
      </c>
      <c r="R13" s="4">
        <v>550</v>
      </c>
      <c r="S13" s="3" t="s">
        <v>24</v>
      </c>
      <c r="T13" s="3" t="s">
        <v>69</v>
      </c>
      <c r="U13" s="3" t="s">
        <v>87</v>
      </c>
      <c r="V13" s="3" t="s">
        <v>88</v>
      </c>
      <c r="W13" s="3"/>
    </row>
    <row r="14" spans="1:23" x14ac:dyDescent="0.3">
      <c r="A14" s="3">
        <v>27</v>
      </c>
      <c r="B14" s="3" t="s">
        <v>23</v>
      </c>
      <c r="C14" s="3" t="s">
        <v>24</v>
      </c>
      <c r="D14" s="3" t="s">
        <v>89</v>
      </c>
      <c r="E14" s="3">
        <v>45474</v>
      </c>
      <c r="F14" s="3" t="s">
        <v>26</v>
      </c>
      <c r="G14" s="3" t="s">
        <v>90</v>
      </c>
      <c r="H14" s="3">
        <v>4000</v>
      </c>
      <c r="I14" s="3">
        <v>0</v>
      </c>
      <c r="J14" s="3" t="s">
        <v>28</v>
      </c>
      <c r="K14" s="3" t="s">
        <v>10</v>
      </c>
      <c r="L14" s="3" t="s">
        <v>91</v>
      </c>
      <c r="M14" s="3" t="s">
        <v>92</v>
      </c>
      <c r="N14" s="4">
        <v>2500</v>
      </c>
      <c r="O14" s="4">
        <v>2500</v>
      </c>
      <c r="P14" s="4">
        <v>2500</v>
      </c>
      <c r="Q14" s="4">
        <v>2500</v>
      </c>
      <c r="R14" s="4">
        <v>3000</v>
      </c>
      <c r="S14" s="3" t="s">
        <v>24</v>
      </c>
      <c r="T14" s="3" t="s">
        <v>24</v>
      </c>
      <c r="U14" s="3" t="s">
        <v>93</v>
      </c>
      <c r="V14" s="3" t="s">
        <v>94</v>
      </c>
      <c r="W14" s="3" t="s">
        <v>95</v>
      </c>
    </row>
    <row r="15" spans="1:23" x14ac:dyDescent="0.3">
      <c r="A15" s="3">
        <v>27</v>
      </c>
      <c r="B15" s="3" t="s">
        <v>23</v>
      </c>
      <c r="C15" s="3" t="s">
        <v>24</v>
      </c>
      <c r="D15" s="3" t="s">
        <v>96</v>
      </c>
      <c r="E15" s="3">
        <v>45474</v>
      </c>
      <c r="F15" s="3" t="s">
        <v>26</v>
      </c>
      <c r="G15" s="3" t="s">
        <v>97</v>
      </c>
      <c r="H15" s="3">
        <v>4000</v>
      </c>
      <c r="I15" s="3">
        <v>0</v>
      </c>
      <c r="J15" s="3" t="s">
        <v>28</v>
      </c>
      <c r="K15" s="3" t="s">
        <v>10</v>
      </c>
      <c r="L15" s="3" t="s">
        <v>98</v>
      </c>
      <c r="M15" s="3" t="s">
        <v>99</v>
      </c>
      <c r="N15" s="4">
        <v>600</v>
      </c>
      <c r="O15" s="4">
        <v>600</v>
      </c>
      <c r="P15" s="4">
        <v>650</v>
      </c>
      <c r="Q15" s="4">
        <v>700</v>
      </c>
      <c r="R15" s="4">
        <v>700</v>
      </c>
      <c r="S15" s="3" t="s">
        <v>24</v>
      </c>
      <c r="T15" s="3" t="s">
        <v>24</v>
      </c>
      <c r="U15" s="3" t="s">
        <v>100</v>
      </c>
      <c r="V15" s="3" t="s">
        <v>101</v>
      </c>
      <c r="W15" s="3"/>
    </row>
    <row r="16" spans="1:23" x14ac:dyDescent="0.3">
      <c r="A16" s="3">
        <v>27</v>
      </c>
      <c r="B16" s="3" t="s">
        <v>23</v>
      </c>
      <c r="C16" s="3" t="s">
        <v>69</v>
      </c>
      <c r="D16" s="3" t="s">
        <v>102</v>
      </c>
      <c r="E16" s="3">
        <v>45261</v>
      </c>
      <c r="F16" s="3" t="s">
        <v>26</v>
      </c>
      <c r="G16" s="3" t="s">
        <v>35</v>
      </c>
      <c r="H16" s="3">
        <v>4000</v>
      </c>
      <c r="I16" s="3">
        <v>0</v>
      </c>
      <c r="J16" s="3" t="s">
        <v>28</v>
      </c>
      <c r="K16" s="3" t="s">
        <v>10</v>
      </c>
      <c r="L16" s="3" t="s">
        <v>103</v>
      </c>
      <c r="M16" s="3" t="s">
        <v>104</v>
      </c>
      <c r="N16" s="4">
        <v>1500</v>
      </c>
      <c r="O16" s="4">
        <v>1500</v>
      </c>
      <c r="P16" s="4">
        <v>1500</v>
      </c>
      <c r="Q16" s="4">
        <v>1550</v>
      </c>
      <c r="R16" s="4">
        <v>1550</v>
      </c>
      <c r="S16" s="3" t="s">
        <v>24</v>
      </c>
      <c r="T16" s="3" t="s">
        <v>24</v>
      </c>
      <c r="U16" s="3" t="s">
        <v>105</v>
      </c>
      <c r="V16" s="3" t="s">
        <v>106</v>
      </c>
      <c r="W16" s="3" t="s">
        <v>107</v>
      </c>
    </row>
    <row r="17" spans="1:23" x14ac:dyDescent="0.3">
      <c r="A17" s="3">
        <v>27</v>
      </c>
      <c r="B17" s="3" t="s">
        <v>23</v>
      </c>
      <c r="C17" s="3" t="s">
        <v>24</v>
      </c>
      <c r="D17" s="3" t="s">
        <v>108</v>
      </c>
      <c r="E17" s="3">
        <v>45383</v>
      </c>
      <c r="F17" s="3" t="s">
        <v>26</v>
      </c>
      <c r="G17" s="3" t="s">
        <v>35</v>
      </c>
      <c r="H17" s="3">
        <v>4000</v>
      </c>
      <c r="I17" s="3">
        <v>0</v>
      </c>
      <c r="J17" s="3" t="s">
        <v>28</v>
      </c>
      <c r="K17" s="3" t="s">
        <v>10</v>
      </c>
      <c r="L17" s="3" t="s">
        <v>109</v>
      </c>
      <c r="M17" s="3" t="s">
        <v>110</v>
      </c>
      <c r="N17" s="4">
        <v>0</v>
      </c>
      <c r="O17" s="4">
        <v>0</v>
      </c>
      <c r="P17" s="4">
        <v>0</v>
      </c>
      <c r="Q17" s="4">
        <v>0</v>
      </c>
      <c r="R17" s="4">
        <v>0</v>
      </c>
      <c r="S17" s="3" t="s">
        <v>50</v>
      </c>
      <c r="T17" s="3" t="s">
        <v>24</v>
      </c>
      <c r="U17" s="3"/>
      <c r="V17" s="3" t="s">
        <v>111</v>
      </c>
      <c r="W17" s="3" t="s">
        <v>83</v>
      </c>
    </row>
    <row r="18" spans="1:23" x14ac:dyDescent="0.3">
      <c r="A18" s="3">
        <v>27</v>
      </c>
      <c r="B18" s="3" t="s">
        <v>23</v>
      </c>
      <c r="C18" s="3" t="s">
        <v>24</v>
      </c>
      <c r="D18" s="3" t="s">
        <v>112</v>
      </c>
      <c r="E18" s="3"/>
      <c r="F18" s="3" t="s">
        <v>26</v>
      </c>
      <c r="G18" s="3" t="s">
        <v>35</v>
      </c>
      <c r="H18" s="3">
        <v>4000</v>
      </c>
      <c r="I18" s="3">
        <v>0</v>
      </c>
      <c r="J18" s="3" t="s">
        <v>28</v>
      </c>
      <c r="K18" s="3" t="s">
        <v>10</v>
      </c>
      <c r="L18" s="3" t="s">
        <v>113</v>
      </c>
      <c r="M18" s="3" t="s">
        <v>110</v>
      </c>
      <c r="N18" s="4">
        <v>100</v>
      </c>
      <c r="O18" s="4">
        <v>120</v>
      </c>
      <c r="P18" s="4">
        <v>120</v>
      </c>
      <c r="Q18" s="4">
        <v>130</v>
      </c>
      <c r="R18" s="4">
        <v>130</v>
      </c>
      <c r="S18" s="3" t="s">
        <v>24</v>
      </c>
      <c r="T18" s="3" t="s">
        <v>24</v>
      </c>
      <c r="U18" s="3" t="s">
        <v>114</v>
      </c>
      <c r="V18" s="3" t="s">
        <v>111</v>
      </c>
      <c r="W18" s="3"/>
    </row>
    <row r="19" spans="1:23" x14ac:dyDescent="0.3">
      <c r="A19" s="3">
        <v>27</v>
      </c>
      <c r="B19" s="3" t="s">
        <v>23</v>
      </c>
      <c r="C19" s="3" t="s">
        <v>24</v>
      </c>
      <c r="D19" s="3" t="s">
        <v>115</v>
      </c>
      <c r="E19" s="3">
        <v>2022</v>
      </c>
      <c r="F19" s="3" t="s">
        <v>26</v>
      </c>
      <c r="G19" s="3" t="s">
        <v>35</v>
      </c>
      <c r="H19" s="3">
        <v>4000</v>
      </c>
      <c r="I19" s="3">
        <v>0</v>
      </c>
      <c r="J19" s="3" t="s">
        <v>28</v>
      </c>
      <c r="K19" s="3" t="s">
        <v>10</v>
      </c>
      <c r="L19" s="3" t="s">
        <v>116</v>
      </c>
      <c r="M19" s="3" t="s">
        <v>117</v>
      </c>
      <c r="N19" s="4">
        <v>48</v>
      </c>
      <c r="O19" s="4">
        <v>48</v>
      </c>
      <c r="P19" s="4">
        <v>48</v>
      </c>
      <c r="Q19" s="4">
        <v>48</v>
      </c>
      <c r="R19" s="4">
        <v>50</v>
      </c>
      <c r="S19" s="3" t="s">
        <v>50</v>
      </c>
      <c r="T19" s="3" t="s">
        <v>24</v>
      </c>
      <c r="U19" s="3"/>
      <c r="V19" s="3"/>
      <c r="W19" s="3"/>
    </row>
    <row r="20" spans="1:23" x14ac:dyDescent="0.3">
      <c r="A20" s="3">
        <v>27</v>
      </c>
      <c r="B20" s="3" t="s">
        <v>23</v>
      </c>
      <c r="C20" s="3" t="s">
        <v>24</v>
      </c>
      <c r="D20" s="3" t="s">
        <v>118</v>
      </c>
      <c r="E20" s="3">
        <v>45383</v>
      </c>
      <c r="F20" s="3" t="s">
        <v>26</v>
      </c>
      <c r="G20" s="3" t="s">
        <v>35</v>
      </c>
      <c r="H20" s="3">
        <v>4000</v>
      </c>
      <c r="I20" s="3">
        <v>0</v>
      </c>
      <c r="J20" s="3" t="s">
        <v>28</v>
      </c>
      <c r="K20" s="3" t="s">
        <v>10</v>
      </c>
      <c r="L20" s="3" t="s">
        <v>118</v>
      </c>
      <c r="M20" s="3" t="s">
        <v>119</v>
      </c>
      <c r="N20" s="4">
        <v>150</v>
      </c>
      <c r="O20" s="4">
        <v>150</v>
      </c>
      <c r="P20" s="4">
        <v>150</v>
      </c>
      <c r="Q20" s="4">
        <v>150</v>
      </c>
      <c r="R20" s="4">
        <v>150</v>
      </c>
      <c r="S20" s="3" t="s">
        <v>50</v>
      </c>
      <c r="T20" s="3" t="s">
        <v>120</v>
      </c>
      <c r="U20" s="3"/>
      <c r="V20" s="3"/>
      <c r="W20" s="3"/>
    </row>
    <row r="21" spans="1:23" x14ac:dyDescent="0.3">
      <c r="A21" s="3">
        <v>27</v>
      </c>
      <c r="B21" s="3" t="s">
        <v>23</v>
      </c>
      <c r="C21" s="3" t="s">
        <v>24</v>
      </c>
      <c r="D21" s="3" t="s">
        <v>121</v>
      </c>
      <c r="E21" s="3">
        <v>45292</v>
      </c>
      <c r="F21" s="3" t="s">
        <v>26</v>
      </c>
      <c r="G21" s="3" t="s">
        <v>35</v>
      </c>
      <c r="H21" s="3">
        <v>4000</v>
      </c>
      <c r="I21" s="3">
        <v>0</v>
      </c>
      <c r="J21" s="3" t="s">
        <v>28</v>
      </c>
      <c r="K21" s="3" t="s">
        <v>10</v>
      </c>
      <c r="L21" s="3" t="s">
        <v>121</v>
      </c>
      <c r="M21" s="3" t="s">
        <v>122</v>
      </c>
      <c r="N21" s="4">
        <v>65</v>
      </c>
      <c r="O21" s="4">
        <v>65</v>
      </c>
      <c r="P21" s="4">
        <v>65</v>
      </c>
      <c r="Q21" s="4">
        <v>65</v>
      </c>
      <c r="R21" s="4">
        <v>65</v>
      </c>
      <c r="S21" s="3" t="s">
        <v>50</v>
      </c>
      <c r="T21" s="3" t="s">
        <v>24</v>
      </c>
      <c r="U21" s="3" t="s">
        <v>123</v>
      </c>
      <c r="V21" s="3" t="s">
        <v>124</v>
      </c>
      <c r="W21" s="3"/>
    </row>
    <row r="22" spans="1:23" x14ac:dyDescent="0.3">
      <c r="A22" s="3">
        <v>27</v>
      </c>
      <c r="B22" s="3" t="s">
        <v>23</v>
      </c>
      <c r="C22" s="3" t="s">
        <v>24</v>
      </c>
      <c r="D22" s="3" t="s">
        <v>125</v>
      </c>
      <c r="E22" s="3">
        <v>45292</v>
      </c>
      <c r="F22" s="3" t="s">
        <v>26</v>
      </c>
      <c r="G22" s="3" t="s">
        <v>35</v>
      </c>
      <c r="H22" s="3">
        <v>4000</v>
      </c>
      <c r="I22" s="3">
        <v>0</v>
      </c>
      <c r="J22" s="3" t="s">
        <v>28</v>
      </c>
      <c r="K22" s="3" t="s">
        <v>10</v>
      </c>
      <c r="L22" s="3" t="s">
        <v>125</v>
      </c>
      <c r="M22" s="3" t="s">
        <v>126</v>
      </c>
      <c r="N22" s="4">
        <v>52</v>
      </c>
      <c r="O22" s="4">
        <v>52</v>
      </c>
      <c r="P22" s="4">
        <v>52</v>
      </c>
      <c r="Q22" s="4">
        <v>52</v>
      </c>
      <c r="R22" s="4">
        <v>52</v>
      </c>
      <c r="S22" s="3" t="s">
        <v>50</v>
      </c>
      <c r="T22" s="3" t="s">
        <v>24</v>
      </c>
      <c r="U22" s="3" t="s">
        <v>127</v>
      </c>
      <c r="V22" s="3" t="s">
        <v>124</v>
      </c>
      <c r="W22" s="3"/>
    </row>
    <row r="23" spans="1:23" x14ac:dyDescent="0.3">
      <c r="A23" s="3">
        <v>27</v>
      </c>
      <c r="B23" s="3" t="s">
        <v>23</v>
      </c>
      <c r="C23" s="3" t="s">
        <v>24</v>
      </c>
      <c r="D23" s="3" t="s">
        <v>128</v>
      </c>
      <c r="E23" s="3"/>
      <c r="F23" s="3" t="s">
        <v>26</v>
      </c>
      <c r="G23" s="3" t="s">
        <v>35</v>
      </c>
      <c r="H23" s="3">
        <v>4000</v>
      </c>
      <c r="I23" s="3">
        <v>0</v>
      </c>
      <c r="J23" s="3" t="s">
        <v>28</v>
      </c>
      <c r="K23" s="3" t="s">
        <v>10</v>
      </c>
      <c r="L23" s="3" t="s">
        <v>129</v>
      </c>
      <c r="M23" s="3" t="s">
        <v>130</v>
      </c>
      <c r="N23" s="4">
        <v>25</v>
      </c>
      <c r="O23" s="4">
        <v>25</v>
      </c>
      <c r="P23" s="4">
        <v>25</v>
      </c>
      <c r="Q23" s="4">
        <v>25</v>
      </c>
      <c r="R23" s="4">
        <v>25</v>
      </c>
      <c r="S23" s="3" t="s">
        <v>50</v>
      </c>
      <c r="T23" s="3" t="s">
        <v>24</v>
      </c>
      <c r="U23" s="3" t="s">
        <v>131</v>
      </c>
      <c r="V23" s="3" t="s">
        <v>132</v>
      </c>
      <c r="W23" s="3"/>
    </row>
    <row r="24" spans="1:23" x14ac:dyDescent="0.3">
      <c r="A24" s="3">
        <v>27</v>
      </c>
      <c r="B24" s="3" t="s">
        <v>23</v>
      </c>
      <c r="C24" s="3" t="s">
        <v>24</v>
      </c>
      <c r="D24" s="3" t="s">
        <v>133</v>
      </c>
      <c r="E24" s="3">
        <v>45323</v>
      </c>
      <c r="F24" s="3" t="s">
        <v>26</v>
      </c>
      <c r="G24" s="3" t="s">
        <v>41</v>
      </c>
      <c r="H24" s="3">
        <v>4000</v>
      </c>
      <c r="I24" s="3">
        <v>0</v>
      </c>
      <c r="J24" s="3" t="s">
        <v>28</v>
      </c>
      <c r="K24" s="3" t="s">
        <v>10</v>
      </c>
      <c r="L24" s="3" t="s">
        <v>134</v>
      </c>
      <c r="M24" s="3" t="s">
        <v>135</v>
      </c>
      <c r="N24" s="4">
        <v>0</v>
      </c>
      <c r="O24" s="4">
        <v>0</v>
      </c>
      <c r="P24" s="4">
        <v>35</v>
      </c>
      <c r="Q24" s="4">
        <v>0</v>
      </c>
      <c r="R24" s="4">
        <v>0</v>
      </c>
      <c r="S24" s="3" t="s">
        <v>50</v>
      </c>
      <c r="T24" s="3" t="s">
        <v>24</v>
      </c>
      <c r="U24" s="3"/>
      <c r="V24" s="3"/>
      <c r="W24" s="3" t="s">
        <v>136</v>
      </c>
    </row>
    <row r="25" spans="1:23" x14ac:dyDescent="0.3">
      <c r="A25" s="3">
        <v>27</v>
      </c>
      <c r="B25" s="3" t="s">
        <v>23</v>
      </c>
      <c r="C25" s="3" t="s">
        <v>24</v>
      </c>
      <c r="D25" s="3" t="s">
        <v>137</v>
      </c>
      <c r="E25" s="3">
        <v>45467</v>
      </c>
      <c r="F25" s="3" t="s">
        <v>26</v>
      </c>
      <c r="G25" s="3" t="s">
        <v>27</v>
      </c>
      <c r="H25" s="3">
        <v>4000</v>
      </c>
      <c r="I25" s="3">
        <v>0</v>
      </c>
      <c r="J25" s="3" t="s">
        <v>28</v>
      </c>
      <c r="K25" s="3" t="s">
        <v>10</v>
      </c>
      <c r="L25" s="3" t="s">
        <v>138</v>
      </c>
      <c r="M25" s="3" t="s">
        <v>139</v>
      </c>
      <c r="N25" s="4">
        <v>30</v>
      </c>
      <c r="O25" s="4">
        <v>35</v>
      </c>
      <c r="P25" s="4">
        <v>35</v>
      </c>
      <c r="Q25" s="4">
        <v>35</v>
      </c>
      <c r="R25" s="4">
        <v>35</v>
      </c>
      <c r="S25" s="3" t="s">
        <v>50</v>
      </c>
      <c r="T25" s="3" t="s">
        <v>24</v>
      </c>
      <c r="U25" s="3"/>
      <c r="V25" s="3"/>
      <c r="W25" s="3"/>
    </row>
    <row r="26" spans="1:23" x14ac:dyDescent="0.3">
      <c r="A26" s="3">
        <v>27</v>
      </c>
      <c r="B26" s="3" t="s">
        <v>23</v>
      </c>
      <c r="C26" s="3" t="s">
        <v>140</v>
      </c>
      <c r="D26" s="3" t="s">
        <v>141</v>
      </c>
      <c r="E26" s="3">
        <v>45292</v>
      </c>
      <c r="F26" s="3" t="s">
        <v>26</v>
      </c>
      <c r="G26" s="3" t="s">
        <v>142</v>
      </c>
      <c r="H26" s="3">
        <v>4000</v>
      </c>
      <c r="I26" s="3">
        <v>0</v>
      </c>
      <c r="J26" s="3" t="s">
        <v>28</v>
      </c>
      <c r="K26" s="3" t="s">
        <v>10</v>
      </c>
      <c r="L26" s="3" t="s">
        <v>143</v>
      </c>
      <c r="M26" s="3" t="s">
        <v>144</v>
      </c>
      <c r="N26" s="4">
        <v>150</v>
      </c>
      <c r="O26" s="4">
        <v>150</v>
      </c>
      <c r="P26" s="4">
        <v>160</v>
      </c>
      <c r="Q26" s="4">
        <v>160</v>
      </c>
      <c r="R26" s="4">
        <v>160</v>
      </c>
      <c r="S26" s="3" t="s">
        <v>50</v>
      </c>
      <c r="T26" s="3" t="s">
        <v>145</v>
      </c>
      <c r="U26" s="3"/>
      <c r="V26" s="3"/>
      <c r="W26" s="3"/>
    </row>
    <row r="27" spans="1:23" x14ac:dyDescent="0.3">
      <c r="A27" s="3">
        <v>27</v>
      </c>
      <c r="B27" s="3" t="s">
        <v>23</v>
      </c>
      <c r="C27" s="3" t="s">
        <v>140</v>
      </c>
      <c r="D27" s="3" t="s">
        <v>146</v>
      </c>
      <c r="E27" s="3">
        <v>45292</v>
      </c>
      <c r="F27" s="3" t="s">
        <v>26</v>
      </c>
      <c r="G27" s="3" t="s">
        <v>147</v>
      </c>
      <c r="H27" s="3">
        <v>4000</v>
      </c>
      <c r="I27" s="3">
        <v>0</v>
      </c>
      <c r="J27" s="3" t="s">
        <v>28</v>
      </c>
      <c r="K27" s="3" t="s">
        <v>10</v>
      </c>
      <c r="L27" s="3" t="s">
        <v>148</v>
      </c>
      <c r="M27" s="3" t="s">
        <v>149</v>
      </c>
      <c r="N27" s="4">
        <v>100</v>
      </c>
      <c r="O27" s="4">
        <v>100</v>
      </c>
      <c r="P27" s="4">
        <v>120</v>
      </c>
      <c r="Q27" s="4">
        <v>120</v>
      </c>
      <c r="R27" s="4">
        <v>130</v>
      </c>
      <c r="S27" s="3" t="s">
        <v>50</v>
      </c>
      <c r="T27" s="3" t="s">
        <v>145</v>
      </c>
      <c r="U27" s="3"/>
      <c r="V27" s="3"/>
      <c r="W27" s="3"/>
    </row>
    <row r="28" spans="1:23" x14ac:dyDescent="0.3">
      <c r="A28" s="3">
        <v>27</v>
      </c>
      <c r="B28" s="3" t="s">
        <v>23</v>
      </c>
      <c r="C28" s="3" t="s">
        <v>150</v>
      </c>
      <c r="D28" s="3" t="s">
        <v>151</v>
      </c>
      <c r="E28" s="3">
        <v>45444</v>
      </c>
      <c r="F28" s="3" t="s">
        <v>26</v>
      </c>
      <c r="G28" s="3" t="s">
        <v>152</v>
      </c>
      <c r="H28" s="3">
        <v>4000</v>
      </c>
      <c r="I28" s="3">
        <v>0</v>
      </c>
      <c r="J28" s="3" t="s">
        <v>28</v>
      </c>
      <c r="K28" s="3" t="s">
        <v>10</v>
      </c>
      <c r="L28" s="3" t="s">
        <v>151</v>
      </c>
      <c r="M28" s="3" t="s">
        <v>153</v>
      </c>
      <c r="N28" s="4">
        <v>6</v>
      </c>
      <c r="O28" s="4">
        <v>6</v>
      </c>
      <c r="P28" s="4">
        <v>7</v>
      </c>
      <c r="Q28" s="4">
        <v>7</v>
      </c>
      <c r="R28" s="4">
        <v>8</v>
      </c>
      <c r="S28" s="3" t="s">
        <v>50</v>
      </c>
      <c r="T28" s="3" t="s">
        <v>154</v>
      </c>
      <c r="U28" s="3"/>
      <c r="V28" s="3"/>
      <c r="W28" s="3"/>
    </row>
    <row r="29" spans="1:23" x14ac:dyDescent="0.3">
      <c r="A29" s="3">
        <v>27</v>
      </c>
      <c r="B29" s="3" t="s">
        <v>23</v>
      </c>
      <c r="C29" s="3"/>
      <c r="D29" s="3" t="s">
        <v>155</v>
      </c>
      <c r="E29" s="3">
        <v>45383</v>
      </c>
      <c r="F29" s="3" t="s">
        <v>26</v>
      </c>
      <c r="G29" s="3" t="s">
        <v>156</v>
      </c>
      <c r="H29" s="3">
        <v>4000</v>
      </c>
      <c r="I29" s="3">
        <v>0</v>
      </c>
      <c r="J29" s="3" t="s">
        <v>28</v>
      </c>
      <c r="K29" s="3" t="s">
        <v>10</v>
      </c>
      <c r="L29" s="3" t="s">
        <v>157</v>
      </c>
      <c r="M29" s="3" t="s">
        <v>158</v>
      </c>
      <c r="N29" s="4">
        <v>0</v>
      </c>
      <c r="O29" s="4">
        <v>0</v>
      </c>
      <c r="P29" s="4">
        <v>0</v>
      </c>
      <c r="Q29" s="4">
        <v>0</v>
      </c>
      <c r="R29" s="4">
        <v>0</v>
      </c>
      <c r="S29" s="3" t="s">
        <v>50</v>
      </c>
      <c r="T29" s="3" t="s">
        <v>24</v>
      </c>
      <c r="U29" s="3"/>
      <c r="V29" s="3"/>
      <c r="W29" s="3" t="s">
        <v>83</v>
      </c>
    </row>
    <row r="30" spans="1:23" x14ac:dyDescent="0.3">
      <c r="A30" s="3">
        <v>27</v>
      </c>
      <c r="B30" s="3" t="s">
        <v>23</v>
      </c>
      <c r="C30" s="3" t="s">
        <v>24</v>
      </c>
      <c r="D30" s="3" t="s">
        <v>155</v>
      </c>
      <c r="E30" s="3"/>
      <c r="F30" s="3" t="s">
        <v>26</v>
      </c>
      <c r="G30" s="3" t="s">
        <v>159</v>
      </c>
      <c r="H30" s="3">
        <v>4000</v>
      </c>
      <c r="I30" s="3">
        <v>0</v>
      </c>
      <c r="J30" s="3" t="s">
        <v>28</v>
      </c>
      <c r="K30" s="3" t="s">
        <v>10</v>
      </c>
      <c r="L30" s="3" t="s">
        <v>160</v>
      </c>
      <c r="M30" s="3" t="s">
        <v>161</v>
      </c>
      <c r="N30" s="4">
        <v>3192</v>
      </c>
      <c r="O30" s="4">
        <v>3192</v>
      </c>
      <c r="P30" s="4">
        <v>3200</v>
      </c>
      <c r="Q30" s="4">
        <v>3500</v>
      </c>
      <c r="R30" s="4">
        <v>3500</v>
      </c>
      <c r="S30" s="3" t="s">
        <v>162</v>
      </c>
      <c r="T30" s="3" t="s">
        <v>69</v>
      </c>
      <c r="U30" s="3" t="s">
        <v>163</v>
      </c>
      <c r="V30" s="3" t="s">
        <v>164</v>
      </c>
      <c r="W30" s="3"/>
    </row>
    <row r="31" spans="1:23" x14ac:dyDescent="0.3">
      <c r="A31" s="3">
        <v>27</v>
      </c>
      <c r="B31" s="3" t="s">
        <v>23</v>
      </c>
      <c r="C31" s="3" t="s">
        <v>24</v>
      </c>
      <c r="D31" s="3" t="s">
        <v>165</v>
      </c>
      <c r="E31" s="3">
        <v>45566</v>
      </c>
      <c r="F31" s="3" t="s">
        <v>26</v>
      </c>
      <c r="G31" s="3" t="s">
        <v>69</v>
      </c>
      <c r="H31" s="3">
        <v>4000</v>
      </c>
      <c r="I31" s="3">
        <v>0</v>
      </c>
      <c r="J31" s="3" t="s">
        <v>28</v>
      </c>
      <c r="K31" s="3" t="s">
        <v>10</v>
      </c>
      <c r="L31" s="3" t="s">
        <v>166</v>
      </c>
      <c r="M31" s="3" t="s">
        <v>167</v>
      </c>
      <c r="N31" s="4">
        <v>25</v>
      </c>
      <c r="O31" s="4">
        <v>25</v>
      </c>
      <c r="P31" s="4">
        <v>25</v>
      </c>
      <c r="Q31" s="4">
        <v>30</v>
      </c>
      <c r="R31" s="4">
        <v>30</v>
      </c>
      <c r="S31" s="3" t="s">
        <v>50</v>
      </c>
      <c r="T31" s="3" t="s">
        <v>168</v>
      </c>
      <c r="U31" s="3"/>
      <c r="V31" s="3" t="s">
        <v>169</v>
      </c>
      <c r="W31" s="3"/>
    </row>
    <row r="32" spans="1:23" x14ac:dyDescent="0.3">
      <c r="A32" s="3">
        <v>27</v>
      </c>
      <c r="B32" s="3" t="s">
        <v>23</v>
      </c>
      <c r="C32" s="3" t="s">
        <v>170</v>
      </c>
      <c r="D32" s="3" t="s">
        <v>171</v>
      </c>
      <c r="E32" s="3">
        <v>45292</v>
      </c>
      <c r="F32" s="3" t="s">
        <v>26</v>
      </c>
      <c r="G32" s="3" t="s">
        <v>172</v>
      </c>
      <c r="H32" s="3">
        <v>4000</v>
      </c>
      <c r="I32" s="3">
        <v>0</v>
      </c>
      <c r="J32" s="3" t="s">
        <v>28</v>
      </c>
      <c r="K32" s="3" t="s">
        <v>10</v>
      </c>
      <c r="L32" s="3" t="s">
        <v>173</v>
      </c>
      <c r="M32" s="3" t="s">
        <v>174</v>
      </c>
      <c r="N32" s="4">
        <v>120</v>
      </c>
      <c r="O32" s="4">
        <v>120</v>
      </c>
      <c r="P32" s="4">
        <v>120</v>
      </c>
      <c r="Q32" s="4">
        <v>120</v>
      </c>
      <c r="R32" s="4">
        <v>120</v>
      </c>
      <c r="S32" s="3" t="s">
        <v>50</v>
      </c>
      <c r="T32" s="3" t="s">
        <v>154</v>
      </c>
      <c r="U32" s="3"/>
      <c r="V32" s="3"/>
      <c r="W32" s="3"/>
    </row>
    <row r="33" spans="1:26" x14ac:dyDescent="0.3">
      <c r="A33" s="3">
        <v>27</v>
      </c>
      <c r="B33" s="3" t="s">
        <v>23</v>
      </c>
      <c r="C33" s="3" t="s">
        <v>24</v>
      </c>
      <c r="D33" s="3" t="s">
        <v>175</v>
      </c>
      <c r="E33" s="3"/>
      <c r="F33" s="3" t="s">
        <v>26</v>
      </c>
      <c r="G33" s="3" t="s">
        <v>24</v>
      </c>
      <c r="H33" s="3">
        <v>4000</v>
      </c>
      <c r="I33" s="3">
        <v>0</v>
      </c>
      <c r="J33" s="3" t="s">
        <v>28</v>
      </c>
      <c r="K33" s="3" t="s">
        <v>10</v>
      </c>
      <c r="L33" s="3" t="s">
        <v>176</v>
      </c>
      <c r="M33" s="3" t="s">
        <v>177</v>
      </c>
      <c r="N33" s="4">
        <v>907</v>
      </c>
      <c r="O33" s="4">
        <v>907</v>
      </c>
      <c r="P33" s="4">
        <v>0</v>
      </c>
      <c r="Q33" s="4">
        <v>0</v>
      </c>
      <c r="R33" s="4">
        <v>0</v>
      </c>
      <c r="S33" s="3" t="s">
        <v>50</v>
      </c>
      <c r="T33" s="3" t="s">
        <v>24</v>
      </c>
      <c r="U33" s="3"/>
      <c r="V33" s="3"/>
      <c r="W33" s="3" t="s">
        <v>178</v>
      </c>
    </row>
    <row r="34" spans="1:26" x14ac:dyDescent="0.3">
      <c r="A34" s="3">
        <v>27</v>
      </c>
      <c r="B34" s="3" t="s">
        <v>23</v>
      </c>
      <c r="C34" s="3"/>
      <c r="D34" s="3" t="s">
        <v>179</v>
      </c>
      <c r="E34" s="3"/>
      <c r="F34" s="3" t="s">
        <v>26</v>
      </c>
      <c r="G34" s="3"/>
      <c r="H34" s="3">
        <v>4000</v>
      </c>
      <c r="I34" s="3">
        <v>0</v>
      </c>
      <c r="J34" s="3" t="s">
        <v>28</v>
      </c>
      <c r="K34" s="3"/>
      <c r="L34" s="3" t="s">
        <v>180</v>
      </c>
      <c r="M34" s="3" t="s">
        <v>181</v>
      </c>
      <c r="N34" s="4"/>
      <c r="O34" s="4"/>
      <c r="P34" s="4"/>
      <c r="Q34" s="4"/>
      <c r="R34" s="4"/>
      <c r="S34" s="3" t="s">
        <v>50</v>
      </c>
      <c r="T34" s="3"/>
      <c r="U34" s="3"/>
      <c r="V34" s="3"/>
      <c r="W34" s="6" t="s">
        <v>182</v>
      </c>
    </row>
    <row r="35" spans="1:26" x14ac:dyDescent="0.3">
      <c r="A35" s="3">
        <v>27</v>
      </c>
      <c r="B35" s="3" t="s">
        <v>23</v>
      </c>
      <c r="C35" s="3"/>
      <c r="D35" s="3" t="s">
        <v>183</v>
      </c>
      <c r="E35" s="3"/>
      <c r="F35" s="3" t="s">
        <v>26</v>
      </c>
      <c r="G35" s="3"/>
      <c r="H35" s="3">
        <v>4000</v>
      </c>
      <c r="I35" s="3">
        <v>0</v>
      </c>
      <c r="J35" s="3" t="s">
        <v>28</v>
      </c>
      <c r="K35" s="3"/>
      <c r="L35" s="3" t="s">
        <v>184</v>
      </c>
      <c r="M35" s="3" t="s">
        <v>181</v>
      </c>
      <c r="N35" s="4"/>
      <c r="O35" s="4"/>
      <c r="P35" s="4"/>
      <c r="Q35" s="4"/>
      <c r="R35" s="4"/>
      <c r="S35" s="3" t="s">
        <v>50</v>
      </c>
      <c r="T35" s="3"/>
      <c r="U35" s="3"/>
      <c r="V35" s="3"/>
      <c r="W35" s="6" t="s">
        <v>185</v>
      </c>
    </row>
    <row r="36" spans="1:26" x14ac:dyDescent="0.3">
      <c r="A36" s="3">
        <v>27</v>
      </c>
      <c r="B36" s="3" t="s">
        <v>23</v>
      </c>
      <c r="C36" s="3"/>
      <c r="D36" s="3" t="s">
        <v>186</v>
      </c>
      <c r="E36" s="3"/>
      <c r="F36" s="3" t="s">
        <v>26</v>
      </c>
      <c r="G36" s="3"/>
      <c r="H36" s="3">
        <v>4000</v>
      </c>
      <c r="I36" s="3">
        <v>0</v>
      </c>
      <c r="J36" s="3" t="s">
        <v>28</v>
      </c>
      <c r="K36" s="3" t="s">
        <v>187</v>
      </c>
      <c r="L36" s="3" t="s">
        <v>188</v>
      </c>
      <c r="M36" s="3" t="s">
        <v>189</v>
      </c>
      <c r="N36" s="4">
        <v>50</v>
      </c>
      <c r="O36" s="4">
        <v>55</v>
      </c>
      <c r="P36" s="4">
        <v>60</v>
      </c>
      <c r="Q36" s="4">
        <v>65</v>
      </c>
      <c r="R36" s="4">
        <v>70</v>
      </c>
      <c r="S36" s="3" t="s">
        <v>190</v>
      </c>
      <c r="T36" s="3"/>
      <c r="U36" s="3"/>
      <c r="V36" s="3"/>
      <c r="W36" s="3"/>
    </row>
    <row r="37" spans="1:26" s="7" customFormat="1" x14ac:dyDescent="0.3">
      <c r="A37" s="3">
        <v>27</v>
      </c>
      <c r="B37" s="3" t="s">
        <v>23</v>
      </c>
      <c r="C37" s="3" t="s">
        <v>24</v>
      </c>
      <c r="D37" s="3" t="s">
        <v>191</v>
      </c>
      <c r="E37" s="3" t="s">
        <v>192</v>
      </c>
      <c r="F37" s="3" t="s">
        <v>26</v>
      </c>
      <c r="G37" s="3" t="s">
        <v>193</v>
      </c>
      <c r="H37" s="3">
        <v>4000</v>
      </c>
      <c r="I37" s="3">
        <v>0</v>
      </c>
      <c r="J37" s="3" t="s">
        <v>28</v>
      </c>
      <c r="K37" s="3" t="s">
        <v>10</v>
      </c>
      <c r="L37" s="3" t="s">
        <v>191</v>
      </c>
      <c r="M37" s="3" t="s">
        <v>194</v>
      </c>
      <c r="N37" s="4">
        <v>110</v>
      </c>
      <c r="O37" s="4">
        <v>120</v>
      </c>
      <c r="P37" s="4">
        <v>129</v>
      </c>
      <c r="Q37" s="4">
        <v>129</v>
      </c>
      <c r="R37" s="4">
        <v>129</v>
      </c>
      <c r="S37" s="3" t="s">
        <v>24</v>
      </c>
      <c r="T37" s="3" t="s">
        <v>24</v>
      </c>
      <c r="U37" s="3" t="s">
        <v>195</v>
      </c>
      <c r="V37" s="3" t="s">
        <v>196</v>
      </c>
      <c r="W37" s="3"/>
      <c r="X37" s="5"/>
      <c r="Y37" s="5"/>
      <c r="Z37" s="5"/>
    </row>
    <row r="38" spans="1:26" s="7" customFormat="1" x14ac:dyDescent="0.3">
      <c r="A38" s="3">
        <v>27</v>
      </c>
      <c r="B38" s="3" t="s">
        <v>23</v>
      </c>
      <c r="C38" s="3" t="s">
        <v>197</v>
      </c>
      <c r="D38" s="3" t="s">
        <v>198</v>
      </c>
      <c r="E38" s="3" t="s">
        <v>199</v>
      </c>
      <c r="F38" s="3" t="s">
        <v>26</v>
      </c>
      <c r="G38" s="3" t="s">
        <v>200</v>
      </c>
      <c r="H38" s="3">
        <v>4000</v>
      </c>
      <c r="I38" s="3">
        <v>0</v>
      </c>
      <c r="J38" s="3" t="s">
        <v>28</v>
      </c>
      <c r="K38" s="3" t="s">
        <v>10</v>
      </c>
      <c r="L38" s="3" t="s">
        <v>198</v>
      </c>
      <c r="M38" s="3" t="s">
        <v>201</v>
      </c>
      <c r="N38" s="4">
        <v>147</v>
      </c>
      <c r="O38" s="4">
        <v>146</v>
      </c>
      <c r="P38" s="4">
        <v>146</v>
      </c>
      <c r="Q38" s="4">
        <v>145</v>
      </c>
      <c r="R38" s="4">
        <v>145</v>
      </c>
      <c r="S38" s="3" t="s">
        <v>202</v>
      </c>
      <c r="T38" s="3" t="s">
        <v>203</v>
      </c>
      <c r="U38" s="3" t="s">
        <v>204</v>
      </c>
      <c r="V38" s="3" t="s">
        <v>205</v>
      </c>
      <c r="W38" s="3" t="s">
        <v>206</v>
      </c>
      <c r="X38" s="5"/>
      <c r="Y38" s="5"/>
      <c r="Z38" s="5"/>
    </row>
    <row r="39" spans="1:26" s="7" customFormat="1" x14ac:dyDescent="0.3">
      <c r="A39" s="3">
        <v>27</v>
      </c>
      <c r="B39" s="3" t="s">
        <v>23</v>
      </c>
      <c r="C39" s="3" t="s">
        <v>197</v>
      </c>
      <c r="D39" s="3" t="s">
        <v>198</v>
      </c>
      <c r="E39" s="3" t="s">
        <v>199</v>
      </c>
      <c r="F39" s="3" t="s">
        <v>26</v>
      </c>
      <c r="G39" s="3" t="s">
        <v>200</v>
      </c>
      <c r="H39" s="3">
        <v>4000</v>
      </c>
      <c r="I39" s="3">
        <v>0</v>
      </c>
      <c r="J39" s="3" t="s">
        <v>28</v>
      </c>
      <c r="K39" s="3" t="s">
        <v>10</v>
      </c>
      <c r="L39" s="3" t="s">
        <v>198</v>
      </c>
      <c r="M39" s="3" t="s">
        <v>207</v>
      </c>
      <c r="N39" s="4">
        <v>12</v>
      </c>
      <c r="O39" s="4">
        <v>13</v>
      </c>
      <c r="P39" s="4">
        <v>13</v>
      </c>
      <c r="Q39" s="4">
        <v>14</v>
      </c>
      <c r="R39" s="4">
        <v>14</v>
      </c>
      <c r="S39" s="3" t="s">
        <v>202</v>
      </c>
      <c r="T39" s="3" t="s">
        <v>203</v>
      </c>
      <c r="U39" s="3" t="s">
        <v>208</v>
      </c>
      <c r="V39" s="3" t="s">
        <v>209</v>
      </c>
      <c r="W39" s="3" t="s">
        <v>206</v>
      </c>
      <c r="X39" s="5"/>
      <c r="Y39" s="5"/>
      <c r="Z39" s="5"/>
    </row>
    <row r="40" spans="1:26" s="7" customFormat="1" x14ac:dyDescent="0.3">
      <c r="A40" s="3">
        <v>27</v>
      </c>
      <c r="B40" s="3" t="s">
        <v>23</v>
      </c>
      <c r="C40" s="3" t="s">
        <v>197</v>
      </c>
      <c r="D40" s="3" t="s">
        <v>210</v>
      </c>
      <c r="E40" s="3" t="s">
        <v>211</v>
      </c>
      <c r="F40" s="3" t="s">
        <v>26</v>
      </c>
      <c r="G40" s="3" t="s">
        <v>200</v>
      </c>
      <c r="H40" s="3">
        <v>4000</v>
      </c>
      <c r="I40" s="3">
        <v>0</v>
      </c>
      <c r="J40" s="3" t="s">
        <v>28</v>
      </c>
      <c r="K40" s="3" t="s">
        <v>10</v>
      </c>
      <c r="L40" s="3" t="s">
        <v>210</v>
      </c>
      <c r="M40" s="3" t="s">
        <v>212</v>
      </c>
      <c r="N40" s="4">
        <v>75</v>
      </c>
      <c r="O40" s="4">
        <v>80</v>
      </c>
      <c r="P40" s="4">
        <v>85</v>
      </c>
      <c r="Q40" s="4">
        <v>90</v>
      </c>
      <c r="R40" s="4">
        <v>95</v>
      </c>
      <c r="S40" s="3" t="s">
        <v>213</v>
      </c>
      <c r="T40" s="3" t="s">
        <v>145</v>
      </c>
      <c r="U40" s="3"/>
      <c r="V40" s="3"/>
      <c r="W40" s="3" t="s">
        <v>214</v>
      </c>
      <c r="X40" s="5"/>
      <c r="Y40" s="5"/>
      <c r="Z40" s="5"/>
    </row>
    <row r="41" spans="1:26" s="7" customFormat="1" x14ac:dyDescent="0.3">
      <c r="A41" s="3">
        <v>27</v>
      </c>
      <c r="B41" s="3" t="s">
        <v>23</v>
      </c>
      <c r="C41" s="3" t="s">
        <v>197</v>
      </c>
      <c r="D41" s="3" t="s">
        <v>210</v>
      </c>
      <c r="E41" s="3" t="s">
        <v>211</v>
      </c>
      <c r="F41" s="3" t="s">
        <v>26</v>
      </c>
      <c r="G41" s="3" t="s">
        <v>200</v>
      </c>
      <c r="H41" s="3">
        <v>4000</v>
      </c>
      <c r="I41" s="3">
        <v>0</v>
      </c>
      <c r="J41" s="3" t="s">
        <v>28</v>
      </c>
      <c r="K41" s="3" t="s">
        <v>10</v>
      </c>
      <c r="L41" s="3" t="s">
        <v>210</v>
      </c>
      <c r="M41" s="3" t="s">
        <v>215</v>
      </c>
      <c r="N41" s="4">
        <v>2</v>
      </c>
      <c r="O41" s="4">
        <v>2</v>
      </c>
      <c r="P41" s="4">
        <v>3</v>
      </c>
      <c r="Q41" s="4">
        <v>3</v>
      </c>
      <c r="R41" s="4">
        <v>3</v>
      </c>
      <c r="S41" s="3" t="s">
        <v>213</v>
      </c>
      <c r="T41" s="3" t="s">
        <v>145</v>
      </c>
      <c r="U41" s="3"/>
      <c r="V41" s="3"/>
      <c r="W41" s="3" t="s">
        <v>214</v>
      </c>
      <c r="X41" s="5"/>
      <c r="Y41" s="5"/>
      <c r="Z41" s="5"/>
    </row>
    <row r="42" spans="1:26" s="7" customFormat="1" x14ac:dyDescent="0.3">
      <c r="A42" s="3">
        <v>27</v>
      </c>
      <c r="B42" s="3" t="s">
        <v>23</v>
      </c>
      <c r="C42" s="3" t="s">
        <v>216</v>
      </c>
      <c r="D42" s="3" t="s">
        <v>217</v>
      </c>
      <c r="E42" s="3" t="s">
        <v>218</v>
      </c>
      <c r="F42" s="3" t="s">
        <v>26</v>
      </c>
      <c r="G42" s="3" t="s">
        <v>200</v>
      </c>
      <c r="H42" s="3">
        <v>4000</v>
      </c>
      <c r="I42" s="3">
        <v>0</v>
      </c>
      <c r="J42" s="3" t="s">
        <v>28</v>
      </c>
      <c r="K42" s="3" t="s">
        <v>10</v>
      </c>
      <c r="L42" s="3" t="s">
        <v>217</v>
      </c>
      <c r="M42" s="3" t="s">
        <v>217</v>
      </c>
      <c r="N42" s="4">
        <v>15</v>
      </c>
      <c r="O42" s="4">
        <v>15</v>
      </c>
      <c r="P42" s="4">
        <v>17</v>
      </c>
      <c r="Q42" s="4">
        <v>17</v>
      </c>
      <c r="R42" s="4">
        <v>17</v>
      </c>
      <c r="S42" s="3" t="s">
        <v>50</v>
      </c>
      <c r="T42" s="3"/>
      <c r="U42" s="3"/>
      <c r="V42" s="3"/>
      <c r="W42" s="3"/>
      <c r="X42" s="5"/>
      <c r="Y42" s="5"/>
      <c r="Z42" s="5"/>
    </row>
    <row r="43" spans="1:26" s="7" customFormat="1" x14ac:dyDescent="0.3">
      <c r="A43" s="3">
        <v>27</v>
      </c>
      <c r="B43" s="3" t="s">
        <v>23</v>
      </c>
      <c r="C43" s="3" t="s">
        <v>24</v>
      </c>
      <c r="D43" s="3" t="s">
        <v>219</v>
      </c>
      <c r="E43" s="3" t="s">
        <v>220</v>
      </c>
      <c r="F43" s="3" t="s">
        <v>26</v>
      </c>
      <c r="G43" s="3" t="s">
        <v>221</v>
      </c>
      <c r="H43" s="3">
        <v>4430</v>
      </c>
      <c r="I43" s="3">
        <v>0</v>
      </c>
      <c r="J43" s="3" t="s">
        <v>28</v>
      </c>
      <c r="K43" s="3" t="s">
        <v>10</v>
      </c>
      <c r="L43" s="3" t="s">
        <v>219</v>
      </c>
      <c r="M43" s="3" t="s">
        <v>219</v>
      </c>
      <c r="N43" s="4">
        <v>230</v>
      </c>
      <c r="O43" s="4">
        <v>230</v>
      </c>
      <c r="P43" s="4">
        <v>276</v>
      </c>
      <c r="Q43" s="4">
        <v>276</v>
      </c>
      <c r="R43" s="4">
        <v>276</v>
      </c>
      <c r="S43" s="3" t="s">
        <v>24</v>
      </c>
      <c r="T43" s="3" t="s">
        <v>24</v>
      </c>
      <c r="U43" s="3" t="s">
        <v>222</v>
      </c>
      <c r="V43" s="3" t="s">
        <v>223</v>
      </c>
      <c r="W43" s="3" t="s">
        <v>224</v>
      </c>
      <c r="X43" s="5"/>
      <c r="Y43" s="5"/>
      <c r="Z43" s="5"/>
    </row>
    <row r="44" spans="1:26" s="7" customFormat="1" x14ac:dyDescent="0.3">
      <c r="A44" s="3">
        <v>27</v>
      </c>
      <c r="B44" s="3" t="s">
        <v>23</v>
      </c>
      <c r="C44" s="3" t="s">
        <v>225</v>
      </c>
      <c r="D44" s="3" t="s">
        <v>226</v>
      </c>
      <c r="E44" s="3" t="s">
        <v>227</v>
      </c>
      <c r="F44" s="3" t="s">
        <v>26</v>
      </c>
      <c r="G44" s="3" t="s">
        <v>228</v>
      </c>
      <c r="H44" s="3">
        <v>4430</v>
      </c>
      <c r="I44" s="3">
        <v>0</v>
      </c>
      <c r="J44" s="3" t="s">
        <v>28</v>
      </c>
      <c r="K44" s="3" t="s">
        <v>10</v>
      </c>
      <c r="L44" s="3" t="s">
        <v>226</v>
      </c>
      <c r="M44" s="3" t="s">
        <v>226</v>
      </c>
      <c r="N44" s="4">
        <v>4</v>
      </c>
      <c r="O44" s="4">
        <v>0</v>
      </c>
      <c r="P44" s="4">
        <v>0</v>
      </c>
      <c r="Q44" s="4">
        <v>0</v>
      </c>
      <c r="R44" s="4">
        <v>0</v>
      </c>
      <c r="S44" s="3" t="s">
        <v>229</v>
      </c>
      <c r="T44" s="3" t="s">
        <v>229</v>
      </c>
      <c r="U44" s="3" t="s">
        <v>230</v>
      </c>
      <c r="V44" s="3" t="s">
        <v>231</v>
      </c>
      <c r="W44" s="3" t="s">
        <v>232</v>
      </c>
      <c r="X44" s="5"/>
      <c r="Y44" s="5"/>
      <c r="Z44" s="5"/>
    </row>
    <row r="45" spans="1:26" s="7" customFormat="1" x14ac:dyDescent="0.3">
      <c r="A45" s="3">
        <v>27</v>
      </c>
      <c r="B45" s="3" t="s">
        <v>23</v>
      </c>
      <c r="C45" s="3" t="s">
        <v>24</v>
      </c>
      <c r="D45" s="3" t="s">
        <v>233</v>
      </c>
      <c r="E45" s="3" t="s">
        <v>234</v>
      </c>
      <c r="F45" s="3" t="s">
        <v>26</v>
      </c>
      <c r="G45" s="3" t="s">
        <v>235</v>
      </c>
      <c r="H45" s="3">
        <v>4000</v>
      </c>
      <c r="I45" s="3">
        <v>0</v>
      </c>
      <c r="J45" s="3" t="s">
        <v>28</v>
      </c>
      <c r="K45" s="3" t="s">
        <v>10</v>
      </c>
      <c r="L45" s="3" t="s">
        <v>233</v>
      </c>
      <c r="M45" s="3" t="s">
        <v>233</v>
      </c>
      <c r="N45" s="4">
        <v>300</v>
      </c>
      <c r="O45" s="4">
        <v>300</v>
      </c>
      <c r="P45" s="4">
        <v>300</v>
      </c>
      <c r="Q45" s="4">
        <v>300</v>
      </c>
      <c r="R45" s="4">
        <v>300</v>
      </c>
      <c r="S45" s="3" t="s">
        <v>236</v>
      </c>
      <c r="T45" s="3" t="s">
        <v>24</v>
      </c>
      <c r="U45" s="3" t="s">
        <v>237</v>
      </c>
      <c r="V45" s="3" t="s">
        <v>237</v>
      </c>
      <c r="W45" s="3"/>
      <c r="X45" s="5"/>
      <c r="Y45" s="5"/>
      <c r="Z45" s="5"/>
    </row>
    <row r="46" spans="1:26" s="8" customFormat="1" x14ac:dyDescent="0.3">
      <c r="A46" s="3">
        <v>27</v>
      </c>
      <c r="B46" s="3" t="s">
        <v>23</v>
      </c>
      <c r="C46" s="3" t="s">
        <v>216</v>
      </c>
      <c r="D46" s="3" t="s">
        <v>238</v>
      </c>
      <c r="E46" s="3" t="s">
        <v>239</v>
      </c>
      <c r="F46" s="3" t="s">
        <v>26</v>
      </c>
      <c r="G46" s="3" t="s">
        <v>240</v>
      </c>
      <c r="H46" s="3">
        <v>4000</v>
      </c>
      <c r="I46" s="3">
        <v>0</v>
      </c>
      <c r="J46" s="3" t="s">
        <v>28</v>
      </c>
      <c r="K46" s="3" t="s">
        <v>10</v>
      </c>
      <c r="L46" s="3" t="s">
        <v>238</v>
      </c>
      <c r="M46" s="3" t="s">
        <v>238</v>
      </c>
      <c r="N46" s="4">
        <v>0</v>
      </c>
      <c r="O46" s="4">
        <v>0</v>
      </c>
      <c r="P46" s="4">
        <v>0</v>
      </c>
      <c r="Q46" s="4">
        <v>0</v>
      </c>
      <c r="R46" s="4">
        <v>0</v>
      </c>
      <c r="S46" s="3" t="s">
        <v>216</v>
      </c>
      <c r="T46" s="3" t="s">
        <v>216</v>
      </c>
      <c r="U46" s="3"/>
      <c r="V46" s="3"/>
      <c r="W46" s="3" t="s">
        <v>241</v>
      </c>
      <c r="X46" s="5"/>
      <c r="Y46" s="5"/>
      <c r="Z46" s="5"/>
    </row>
    <row r="47" spans="1:26" s="8" customFormat="1" x14ac:dyDescent="0.3">
      <c r="A47" s="3">
        <v>27</v>
      </c>
      <c r="B47" s="3" t="s">
        <v>23</v>
      </c>
      <c r="C47" s="3" t="s">
        <v>26</v>
      </c>
      <c r="D47" s="3" t="s">
        <v>242</v>
      </c>
      <c r="E47" s="3" t="s">
        <v>26</v>
      </c>
      <c r="F47" s="3" t="s">
        <v>26</v>
      </c>
      <c r="G47" s="3" t="s">
        <v>26</v>
      </c>
      <c r="H47" s="3">
        <v>4000</v>
      </c>
      <c r="I47" s="3">
        <v>0</v>
      </c>
      <c r="J47" s="3" t="s">
        <v>28</v>
      </c>
      <c r="K47" s="3" t="s">
        <v>243</v>
      </c>
      <c r="L47" s="3" t="s">
        <v>242</v>
      </c>
      <c r="M47" s="3" t="s">
        <v>244</v>
      </c>
      <c r="N47" s="4">
        <v>0</v>
      </c>
      <c r="O47" s="4">
        <v>0</v>
      </c>
      <c r="P47" s="4">
        <v>0</v>
      </c>
      <c r="Q47" s="4">
        <v>0</v>
      </c>
      <c r="R47" s="4">
        <v>0</v>
      </c>
      <c r="S47" s="3" t="s">
        <v>50</v>
      </c>
      <c r="T47" s="3" t="s">
        <v>245</v>
      </c>
      <c r="U47" s="3"/>
      <c r="V47" s="3" t="s">
        <v>26</v>
      </c>
      <c r="W47" s="3"/>
      <c r="X47" s="5"/>
      <c r="Y47" s="5"/>
      <c r="Z47" s="5"/>
    </row>
    <row r="48" spans="1:26" s="8" customFormat="1" x14ac:dyDescent="0.3">
      <c r="A48" s="3">
        <v>27</v>
      </c>
      <c r="B48" s="3" t="s">
        <v>23</v>
      </c>
      <c r="C48" s="3" t="s">
        <v>26</v>
      </c>
      <c r="D48" s="3" t="s">
        <v>246</v>
      </c>
      <c r="E48" s="3" t="s">
        <v>26</v>
      </c>
      <c r="F48" s="3" t="s">
        <v>26</v>
      </c>
      <c r="G48" s="3" t="s">
        <v>26</v>
      </c>
      <c r="H48" s="3">
        <v>6060</v>
      </c>
      <c r="I48" s="3">
        <v>0</v>
      </c>
      <c r="J48" s="3" t="s">
        <v>28</v>
      </c>
      <c r="K48" s="3" t="s">
        <v>243</v>
      </c>
      <c r="L48" s="3" t="s">
        <v>246</v>
      </c>
      <c r="M48" s="3" t="s">
        <v>247</v>
      </c>
      <c r="N48" s="4">
        <v>16000</v>
      </c>
      <c r="O48" s="4">
        <v>0</v>
      </c>
      <c r="P48" s="4">
        <v>0</v>
      </c>
      <c r="Q48" s="4">
        <v>0</v>
      </c>
      <c r="R48" s="4">
        <v>0</v>
      </c>
      <c r="S48" s="3" t="s">
        <v>50</v>
      </c>
      <c r="T48" s="3" t="s">
        <v>245</v>
      </c>
      <c r="U48" s="3"/>
      <c r="V48" s="3" t="s">
        <v>26</v>
      </c>
      <c r="W48" s="3"/>
      <c r="X48" s="5"/>
      <c r="Y48" s="5"/>
      <c r="Z48" s="5"/>
    </row>
    <row r="49" spans="1:26" s="8" customFormat="1" x14ac:dyDescent="0.3">
      <c r="A49" s="3">
        <v>27</v>
      </c>
      <c r="B49" s="3" t="s">
        <v>23</v>
      </c>
      <c r="C49" s="3" t="s">
        <v>26</v>
      </c>
      <c r="D49" s="3" t="s">
        <v>248</v>
      </c>
      <c r="E49" s="3" t="s">
        <v>26</v>
      </c>
      <c r="F49" s="3"/>
      <c r="G49" s="3" t="s">
        <v>26</v>
      </c>
      <c r="H49" s="3">
        <v>6060</v>
      </c>
      <c r="I49" s="3">
        <v>0</v>
      </c>
      <c r="J49" s="3" t="s">
        <v>28</v>
      </c>
      <c r="K49" s="3"/>
      <c r="L49" s="3" t="s">
        <v>248</v>
      </c>
      <c r="M49" s="3" t="s">
        <v>249</v>
      </c>
      <c r="N49" s="4">
        <v>0</v>
      </c>
      <c r="O49" s="4">
        <v>0</v>
      </c>
      <c r="P49" s="4">
        <v>0</v>
      </c>
      <c r="Q49" s="4">
        <v>0</v>
      </c>
      <c r="R49" s="4">
        <v>0</v>
      </c>
      <c r="S49" s="3" t="s">
        <v>50</v>
      </c>
      <c r="T49" s="3" t="s">
        <v>245</v>
      </c>
      <c r="U49" s="3"/>
      <c r="V49" s="3" t="s">
        <v>26</v>
      </c>
      <c r="W49" s="3"/>
      <c r="X49" s="5"/>
      <c r="Y49" s="5"/>
      <c r="Z49" s="5"/>
    </row>
    <row r="50" spans="1:26" s="8" customFormat="1" x14ac:dyDescent="0.3">
      <c r="A50" s="3">
        <v>27</v>
      </c>
      <c r="B50" s="3" t="s">
        <v>23</v>
      </c>
      <c r="C50" s="3" t="s">
        <v>26</v>
      </c>
      <c r="D50" s="3" t="s">
        <v>250</v>
      </c>
      <c r="E50" s="3" t="s">
        <v>26</v>
      </c>
      <c r="F50" s="3" t="s">
        <v>26</v>
      </c>
      <c r="G50" s="3" t="s">
        <v>26</v>
      </c>
      <c r="H50" s="3">
        <v>4000</v>
      </c>
      <c r="I50" s="3">
        <v>0</v>
      </c>
      <c r="J50" s="3" t="s">
        <v>28</v>
      </c>
      <c r="K50" s="3" t="s">
        <v>243</v>
      </c>
      <c r="L50" s="3" t="s">
        <v>251</v>
      </c>
      <c r="M50" s="3" t="s">
        <v>252</v>
      </c>
      <c r="N50" s="4">
        <v>0</v>
      </c>
      <c r="O50" s="4">
        <v>0</v>
      </c>
      <c r="P50" s="4">
        <v>0</v>
      </c>
      <c r="Q50" s="4">
        <v>0</v>
      </c>
      <c r="R50" s="4">
        <v>0</v>
      </c>
      <c r="S50" s="3" t="s">
        <v>50</v>
      </c>
      <c r="T50" s="3" t="s">
        <v>245</v>
      </c>
      <c r="U50" s="3"/>
      <c r="V50" s="3" t="s">
        <v>26</v>
      </c>
      <c r="W50" s="3"/>
      <c r="X50" s="5"/>
      <c r="Y50" s="5"/>
      <c r="Z50" s="5"/>
    </row>
    <row r="51" spans="1:26" s="8" customFormat="1" x14ac:dyDescent="0.3">
      <c r="A51" s="3">
        <v>27</v>
      </c>
      <c r="B51" s="3" t="s">
        <v>23</v>
      </c>
      <c r="C51" s="3" t="s">
        <v>26</v>
      </c>
      <c r="D51" s="3" t="s">
        <v>253</v>
      </c>
      <c r="E51" s="3" t="s">
        <v>26</v>
      </c>
      <c r="F51" s="3" t="s">
        <v>26</v>
      </c>
      <c r="G51" s="3" t="s">
        <v>26</v>
      </c>
      <c r="H51" s="3">
        <v>4000</v>
      </c>
      <c r="I51" s="3">
        <v>0</v>
      </c>
      <c r="J51" s="3" t="s">
        <v>28</v>
      </c>
      <c r="K51" s="3" t="s">
        <v>243</v>
      </c>
      <c r="L51" s="3" t="s">
        <v>253</v>
      </c>
      <c r="M51" s="3" t="s">
        <v>254</v>
      </c>
      <c r="N51" s="4">
        <v>0</v>
      </c>
      <c r="O51" s="4">
        <v>0</v>
      </c>
      <c r="P51" s="4">
        <v>0</v>
      </c>
      <c r="Q51" s="4">
        <v>0</v>
      </c>
      <c r="R51" s="4">
        <v>0</v>
      </c>
      <c r="S51" s="3" t="s">
        <v>50</v>
      </c>
      <c r="T51" s="3" t="s">
        <v>245</v>
      </c>
      <c r="U51" s="3"/>
      <c r="V51" s="3" t="s">
        <v>26</v>
      </c>
      <c r="W51" s="3"/>
      <c r="X51" s="5"/>
      <c r="Y51" s="5"/>
      <c r="Z51" s="5"/>
    </row>
    <row r="52" spans="1:26" s="8" customFormat="1" x14ac:dyDescent="0.3">
      <c r="A52" s="3">
        <v>27</v>
      </c>
      <c r="B52" s="3" t="s">
        <v>23</v>
      </c>
      <c r="C52" s="3" t="s">
        <v>26</v>
      </c>
      <c r="D52" s="3" t="s">
        <v>255</v>
      </c>
      <c r="E52" s="3" t="s">
        <v>26</v>
      </c>
      <c r="F52" s="3" t="s">
        <v>26</v>
      </c>
      <c r="G52" s="3" t="s">
        <v>26</v>
      </c>
      <c r="H52" s="3">
        <v>4000</v>
      </c>
      <c r="I52" s="3">
        <v>0</v>
      </c>
      <c r="J52" s="3" t="s">
        <v>28</v>
      </c>
      <c r="K52" s="3" t="s">
        <v>243</v>
      </c>
      <c r="L52" s="3" t="s">
        <v>255</v>
      </c>
      <c r="M52" s="3" t="s">
        <v>256</v>
      </c>
      <c r="N52" s="4">
        <v>0</v>
      </c>
      <c r="O52" s="4">
        <v>0</v>
      </c>
      <c r="P52" s="4">
        <v>0</v>
      </c>
      <c r="Q52" s="4">
        <v>0</v>
      </c>
      <c r="R52" s="4">
        <v>0</v>
      </c>
      <c r="S52" s="3" t="s">
        <v>50</v>
      </c>
      <c r="T52" s="3" t="s">
        <v>69</v>
      </c>
      <c r="U52" s="3" t="s">
        <v>257</v>
      </c>
      <c r="V52" s="3" t="s">
        <v>258</v>
      </c>
      <c r="W52" s="3"/>
      <c r="X52" s="5"/>
      <c r="Y52" s="5"/>
      <c r="Z52" s="5"/>
    </row>
    <row r="53" spans="1:26" s="8" customFormat="1" x14ac:dyDescent="0.3">
      <c r="A53" s="3">
        <v>27</v>
      </c>
      <c r="B53" s="3" t="s">
        <v>23</v>
      </c>
      <c r="C53" s="3" t="s">
        <v>26</v>
      </c>
      <c r="D53" s="3" t="s">
        <v>259</v>
      </c>
      <c r="E53" s="3" t="s">
        <v>26</v>
      </c>
      <c r="F53" s="3" t="s">
        <v>26</v>
      </c>
      <c r="G53" s="3" t="s">
        <v>26</v>
      </c>
      <c r="H53" s="3">
        <v>4000</v>
      </c>
      <c r="I53" s="3">
        <v>0</v>
      </c>
      <c r="J53" s="3" t="s">
        <v>28</v>
      </c>
      <c r="K53" s="3" t="s">
        <v>243</v>
      </c>
      <c r="L53" s="3" t="s">
        <v>259</v>
      </c>
      <c r="M53" s="3" t="s">
        <v>260</v>
      </c>
      <c r="N53" s="4">
        <v>0</v>
      </c>
      <c r="O53" s="4">
        <v>0</v>
      </c>
      <c r="P53" s="4">
        <v>0</v>
      </c>
      <c r="Q53" s="4">
        <v>0</v>
      </c>
      <c r="R53" s="4">
        <v>0</v>
      </c>
      <c r="S53" s="3" t="s">
        <v>50</v>
      </c>
      <c r="T53" s="3" t="s">
        <v>24</v>
      </c>
      <c r="U53" s="3" t="s">
        <v>261</v>
      </c>
      <c r="V53" s="3" t="s">
        <v>262</v>
      </c>
      <c r="W53" s="3"/>
      <c r="X53" s="5"/>
      <c r="Y53" s="5"/>
      <c r="Z53" s="5"/>
    </row>
    <row r="54" spans="1:26" s="8" customFormat="1" x14ac:dyDescent="0.3">
      <c r="A54" s="3">
        <v>27</v>
      </c>
      <c r="B54" s="3" t="s">
        <v>23</v>
      </c>
      <c r="C54" s="3" t="s">
        <v>26</v>
      </c>
      <c r="D54" s="3" t="s">
        <v>263</v>
      </c>
      <c r="E54" s="3" t="s">
        <v>26</v>
      </c>
      <c r="F54" s="3" t="s">
        <v>26</v>
      </c>
      <c r="G54" s="3" t="s">
        <v>26</v>
      </c>
      <c r="H54" s="3">
        <v>4000</v>
      </c>
      <c r="I54" s="3">
        <v>0</v>
      </c>
      <c r="J54" s="3" t="s">
        <v>28</v>
      </c>
      <c r="K54" s="3" t="s">
        <v>243</v>
      </c>
      <c r="L54" s="3" t="s">
        <v>263</v>
      </c>
      <c r="M54" s="3" t="s">
        <v>264</v>
      </c>
      <c r="N54" s="4">
        <v>0</v>
      </c>
      <c r="O54" s="4">
        <v>0</v>
      </c>
      <c r="P54" s="4">
        <v>0</v>
      </c>
      <c r="Q54" s="4">
        <v>0</v>
      </c>
      <c r="R54" s="4">
        <v>0</v>
      </c>
      <c r="S54" s="3" t="s">
        <v>50</v>
      </c>
      <c r="T54" s="3" t="s">
        <v>245</v>
      </c>
      <c r="U54" s="3"/>
      <c r="V54" s="3" t="s">
        <v>26</v>
      </c>
      <c r="W54" s="3"/>
      <c r="X54" s="5"/>
      <c r="Y54" s="5"/>
      <c r="Z54" s="5"/>
    </row>
    <row r="55" spans="1:26" s="8" customFormat="1" x14ac:dyDescent="0.3">
      <c r="A55" s="3">
        <v>27</v>
      </c>
      <c r="B55" s="3" t="s">
        <v>23</v>
      </c>
      <c r="C55" s="3" t="s">
        <v>26</v>
      </c>
      <c r="D55" s="3" t="s">
        <v>265</v>
      </c>
      <c r="E55" s="3" t="s">
        <v>26</v>
      </c>
      <c r="F55" s="3" t="s">
        <v>26</v>
      </c>
      <c r="G55" s="3" t="s">
        <v>26</v>
      </c>
      <c r="H55" s="3">
        <v>4000</v>
      </c>
      <c r="I55" s="3">
        <v>0</v>
      </c>
      <c r="J55" s="3" t="s">
        <v>28</v>
      </c>
      <c r="K55" s="3" t="s">
        <v>10</v>
      </c>
      <c r="L55" s="3" t="s">
        <v>265</v>
      </c>
      <c r="M55" s="3" t="s">
        <v>266</v>
      </c>
      <c r="N55" s="4">
        <v>0</v>
      </c>
      <c r="O55" s="4">
        <v>0</v>
      </c>
      <c r="P55" s="4">
        <v>0</v>
      </c>
      <c r="Q55" s="4">
        <v>0</v>
      </c>
      <c r="R55" s="4">
        <v>0</v>
      </c>
      <c r="S55" s="3" t="s">
        <v>267</v>
      </c>
      <c r="T55" s="3" t="s">
        <v>268</v>
      </c>
      <c r="U55" s="3"/>
      <c r="V55" s="3" t="s">
        <v>269</v>
      </c>
      <c r="W55" s="3"/>
      <c r="X55" s="5"/>
      <c r="Y55" s="5"/>
      <c r="Z55" s="5"/>
    </row>
    <row r="56" spans="1:26" s="8" customFormat="1" x14ac:dyDescent="0.3">
      <c r="A56" s="3">
        <v>27</v>
      </c>
      <c r="B56" s="3" t="s">
        <v>23</v>
      </c>
      <c r="C56" s="3" t="s">
        <v>270</v>
      </c>
      <c r="D56" s="3" t="s">
        <v>271</v>
      </c>
      <c r="E56" s="3">
        <v>45352</v>
      </c>
      <c r="F56" s="3" t="s">
        <v>26</v>
      </c>
      <c r="G56" s="3" t="s">
        <v>35</v>
      </c>
      <c r="H56" s="3">
        <v>4000</v>
      </c>
      <c r="I56" s="3">
        <v>0</v>
      </c>
      <c r="J56" s="3" t="s">
        <v>28</v>
      </c>
      <c r="K56" s="3" t="s">
        <v>10</v>
      </c>
      <c r="L56" s="3" t="s">
        <v>272</v>
      </c>
      <c r="M56" s="3" t="s">
        <v>273</v>
      </c>
      <c r="N56" s="4">
        <v>6</v>
      </c>
      <c r="O56" s="4">
        <v>6</v>
      </c>
      <c r="P56" s="4">
        <v>6</v>
      </c>
      <c r="Q56" s="4">
        <v>6</v>
      </c>
      <c r="R56" s="4">
        <v>7</v>
      </c>
      <c r="S56" s="3" t="s">
        <v>50</v>
      </c>
      <c r="T56" s="3" t="s">
        <v>216</v>
      </c>
      <c r="U56" s="3"/>
      <c r="V56" s="3" t="s">
        <v>274</v>
      </c>
      <c r="W56" s="3"/>
      <c r="X56" s="5"/>
      <c r="Y56" s="5"/>
      <c r="Z56" s="5"/>
    </row>
    <row r="57" spans="1:26" s="8" customFormat="1" x14ac:dyDescent="0.3">
      <c r="A57" s="3">
        <v>27</v>
      </c>
      <c r="B57" s="3" t="s">
        <v>23</v>
      </c>
      <c r="C57" s="3" t="s">
        <v>270</v>
      </c>
      <c r="D57" s="3" t="s">
        <v>275</v>
      </c>
      <c r="E57" s="3" t="s">
        <v>276</v>
      </c>
      <c r="F57" s="3" t="s">
        <v>26</v>
      </c>
      <c r="G57" s="3" t="s">
        <v>35</v>
      </c>
      <c r="H57" s="3">
        <v>4000</v>
      </c>
      <c r="I57" s="3">
        <v>0</v>
      </c>
      <c r="J57" s="3" t="s">
        <v>28</v>
      </c>
      <c r="K57" s="3" t="s">
        <v>10</v>
      </c>
      <c r="L57" s="3" t="s">
        <v>277</v>
      </c>
      <c r="M57" s="3" t="s">
        <v>278</v>
      </c>
      <c r="N57" s="4">
        <v>2</v>
      </c>
      <c r="O57" s="4">
        <v>3</v>
      </c>
      <c r="P57" s="4">
        <v>3</v>
      </c>
      <c r="Q57" s="4">
        <v>3</v>
      </c>
      <c r="R57" s="4">
        <v>4</v>
      </c>
      <c r="S57" s="3" t="s">
        <v>50</v>
      </c>
      <c r="T57" s="3" t="s">
        <v>216</v>
      </c>
      <c r="U57" s="3"/>
      <c r="V57" s="3" t="s">
        <v>279</v>
      </c>
      <c r="W57" s="3"/>
      <c r="X57" s="5"/>
      <c r="Y57" s="5"/>
      <c r="Z57" s="5"/>
    </row>
    <row r="58" spans="1:26" s="8" customFormat="1" x14ac:dyDescent="0.3">
      <c r="A58" s="3">
        <v>27</v>
      </c>
      <c r="B58" s="3" t="s">
        <v>23</v>
      </c>
      <c r="C58" s="3" t="s">
        <v>280</v>
      </c>
      <c r="D58" s="3" t="s">
        <v>281</v>
      </c>
      <c r="E58" s="3">
        <v>45352</v>
      </c>
      <c r="F58" s="3" t="s">
        <v>26</v>
      </c>
      <c r="G58" s="3" t="s">
        <v>27</v>
      </c>
      <c r="H58" s="3">
        <v>4000</v>
      </c>
      <c r="I58" s="3">
        <v>0</v>
      </c>
      <c r="J58" s="3" t="s">
        <v>28</v>
      </c>
      <c r="K58" s="3" t="s">
        <v>10</v>
      </c>
      <c r="L58" s="3" t="s">
        <v>282</v>
      </c>
      <c r="M58" s="3" t="s">
        <v>283</v>
      </c>
      <c r="N58" s="4">
        <v>60</v>
      </c>
      <c r="O58" s="4">
        <v>65</v>
      </c>
      <c r="P58" s="4">
        <v>65</v>
      </c>
      <c r="Q58" s="4">
        <v>70</v>
      </c>
      <c r="R58" s="4">
        <v>70</v>
      </c>
      <c r="S58" s="3" t="s">
        <v>50</v>
      </c>
      <c r="T58" s="3" t="s">
        <v>24</v>
      </c>
      <c r="U58" s="3"/>
      <c r="V58" s="3" t="s">
        <v>274</v>
      </c>
      <c r="W58" s="3"/>
      <c r="X58" s="5"/>
      <c r="Y58" s="5"/>
      <c r="Z58" s="5"/>
    </row>
    <row r="59" spans="1:26" s="8" customFormat="1" x14ac:dyDescent="0.3">
      <c r="A59" s="3">
        <v>27</v>
      </c>
      <c r="B59" s="3" t="s">
        <v>23</v>
      </c>
      <c r="C59" s="3" t="s">
        <v>280</v>
      </c>
      <c r="D59" s="3" t="s">
        <v>284</v>
      </c>
      <c r="E59" s="3">
        <v>45352</v>
      </c>
      <c r="F59" s="3" t="s">
        <v>26</v>
      </c>
      <c r="G59" s="3" t="s">
        <v>35</v>
      </c>
      <c r="H59" s="3">
        <v>4000</v>
      </c>
      <c r="I59" s="3">
        <v>0</v>
      </c>
      <c r="J59" s="3" t="s">
        <v>28</v>
      </c>
      <c r="K59" s="3" t="s">
        <v>10</v>
      </c>
      <c r="L59" s="3" t="s">
        <v>285</v>
      </c>
      <c r="M59" s="3" t="s">
        <v>286</v>
      </c>
      <c r="N59" s="4">
        <v>20</v>
      </c>
      <c r="O59" s="4">
        <v>20</v>
      </c>
      <c r="P59" s="4">
        <v>25</v>
      </c>
      <c r="Q59" s="4">
        <v>25</v>
      </c>
      <c r="R59" s="4">
        <v>30</v>
      </c>
      <c r="S59" s="3" t="s">
        <v>24</v>
      </c>
      <c r="T59" s="3" t="s">
        <v>24</v>
      </c>
      <c r="U59" s="3" t="s">
        <v>287</v>
      </c>
      <c r="V59" s="3" t="s">
        <v>288</v>
      </c>
      <c r="W59" s="3"/>
      <c r="X59" s="5"/>
      <c r="Y59" s="5"/>
      <c r="Z59" s="5"/>
    </row>
    <row r="60" spans="1:26" s="8" customFormat="1" x14ac:dyDescent="0.3">
      <c r="A60" s="3">
        <v>27</v>
      </c>
      <c r="B60" s="3" t="s">
        <v>23</v>
      </c>
      <c r="C60" s="3" t="s">
        <v>150</v>
      </c>
      <c r="D60" s="3" t="s">
        <v>289</v>
      </c>
      <c r="E60" s="3" t="s">
        <v>290</v>
      </c>
      <c r="F60" s="3" t="s">
        <v>26</v>
      </c>
      <c r="G60" s="3" t="s">
        <v>291</v>
      </c>
      <c r="H60" s="9">
        <v>4000</v>
      </c>
      <c r="I60" s="9">
        <v>0</v>
      </c>
      <c r="J60" s="9" t="s">
        <v>28</v>
      </c>
      <c r="K60" s="3" t="s">
        <v>10</v>
      </c>
      <c r="L60" s="9" t="s">
        <v>289</v>
      </c>
      <c r="M60" s="9" t="s">
        <v>292</v>
      </c>
      <c r="N60" s="10">
        <v>80</v>
      </c>
      <c r="O60" s="10">
        <v>80</v>
      </c>
      <c r="P60" s="10">
        <v>80</v>
      </c>
      <c r="Q60" s="10">
        <v>80</v>
      </c>
      <c r="R60" s="10">
        <v>50</v>
      </c>
      <c r="S60" s="3" t="s">
        <v>293</v>
      </c>
      <c r="T60" s="3" t="s">
        <v>294</v>
      </c>
      <c r="U60" s="3"/>
      <c r="V60" s="3"/>
      <c r="W60" s="9" t="s">
        <v>295</v>
      </c>
      <c r="X60" s="5"/>
      <c r="Y60" s="5"/>
      <c r="Z60" s="5"/>
    </row>
    <row r="61" spans="1:26" s="8" customFormat="1" x14ac:dyDescent="0.3">
      <c r="A61" s="3">
        <v>27</v>
      </c>
      <c r="B61" s="3" t="s">
        <v>23</v>
      </c>
      <c r="C61" s="3" t="s">
        <v>150</v>
      </c>
      <c r="D61" s="3" t="s">
        <v>289</v>
      </c>
      <c r="E61" s="3" t="s">
        <v>290</v>
      </c>
      <c r="F61" s="3" t="s">
        <v>26</v>
      </c>
      <c r="G61" s="3" t="s">
        <v>291</v>
      </c>
      <c r="H61" s="3">
        <v>4270</v>
      </c>
      <c r="I61" s="3">
        <v>0</v>
      </c>
      <c r="J61" s="3" t="s">
        <v>28</v>
      </c>
      <c r="K61" s="3" t="s">
        <v>10</v>
      </c>
      <c r="L61" s="3" t="s">
        <v>289</v>
      </c>
      <c r="M61" s="3" t="s">
        <v>292</v>
      </c>
      <c r="N61" s="4">
        <v>39</v>
      </c>
      <c r="O61" s="4">
        <v>39</v>
      </c>
      <c r="P61" s="4">
        <v>39</v>
      </c>
      <c r="Q61" s="4">
        <v>39</v>
      </c>
      <c r="R61" s="4">
        <v>25</v>
      </c>
      <c r="S61" s="3" t="s">
        <v>293</v>
      </c>
      <c r="T61" s="3" t="s">
        <v>294</v>
      </c>
      <c r="U61" s="3"/>
      <c r="V61" s="3"/>
      <c r="W61" s="3"/>
      <c r="X61" s="5"/>
      <c r="Y61" s="5"/>
      <c r="Z61" s="5"/>
    </row>
    <row r="62" spans="1:26" s="8" customFormat="1" x14ac:dyDescent="0.3">
      <c r="A62" s="3">
        <v>27</v>
      </c>
      <c r="B62" s="3" t="s">
        <v>23</v>
      </c>
      <c r="C62" s="3" t="s">
        <v>150</v>
      </c>
      <c r="D62" s="3" t="s">
        <v>289</v>
      </c>
      <c r="E62" s="3" t="s">
        <v>290</v>
      </c>
      <c r="F62" s="3" t="s">
        <v>26</v>
      </c>
      <c r="G62" s="3" t="s">
        <v>291</v>
      </c>
      <c r="H62" s="9">
        <v>4000</v>
      </c>
      <c r="I62" s="9">
        <v>0</v>
      </c>
      <c r="J62" s="9" t="s">
        <v>28</v>
      </c>
      <c r="K62" s="3" t="s">
        <v>10</v>
      </c>
      <c r="L62" s="9" t="s">
        <v>289</v>
      </c>
      <c r="M62" s="9" t="s">
        <v>292</v>
      </c>
      <c r="N62" s="10">
        <v>20</v>
      </c>
      <c r="O62" s="10">
        <v>20</v>
      </c>
      <c r="P62" s="10">
        <v>20</v>
      </c>
      <c r="Q62" s="10">
        <v>20</v>
      </c>
      <c r="R62" s="10">
        <v>15</v>
      </c>
      <c r="S62" s="3" t="s">
        <v>293</v>
      </c>
      <c r="T62" s="3" t="s">
        <v>294</v>
      </c>
      <c r="U62" s="3"/>
      <c r="V62" s="3"/>
      <c r="W62" s="3"/>
      <c r="X62" s="5"/>
      <c r="Y62" s="5"/>
      <c r="Z62" s="5"/>
    </row>
    <row r="63" spans="1:26" x14ac:dyDescent="0.3">
      <c r="A63" s="3">
        <v>27</v>
      </c>
      <c r="B63" s="3" t="s">
        <v>23</v>
      </c>
      <c r="C63" s="3" t="s">
        <v>150</v>
      </c>
      <c r="D63" s="3" t="s">
        <v>296</v>
      </c>
      <c r="E63" s="3" t="s">
        <v>297</v>
      </c>
      <c r="F63" s="3" t="s">
        <v>26</v>
      </c>
      <c r="G63" s="3" t="s">
        <v>291</v>
      </c>
      <c r="H63" s="3">
        <v>4000</v>
      </c>
      <c r="I63" s="3">
        <v>0</v>
      </c>
      <c r="J63" s="3" t="s">
        <v>28</v>
      </c>
      <c r="K63" s="3" t="s">
        <v>10</v>
      </c>
      <c r="L63" s="3" t="s">
        <v>296</v>
      </c>
      <c r="M63" s="3" t="s">
        <v>298</v>
      </c>
      <c r="N63" s="4">
        <v>5</v>
      </c>
      <c r="O63" s="4">
        <v>6</v>
      </c>
      <c r="P63" s="4">
        <v>7</v>
      </c>
      <c r="Q63" s="4">
        <v>8</v>
      </c>
      <c r="R63" s="4">
        <v>9</v>
      </c>
      <c r="S63" s="3" t="s">
        <v>50</v>
      </c>
      <c r="T63" s="3"/>
      <c r="U63" s="3"/>
      <c r="V63" s="3"/>
      <c r="W63" s="3" t="s">
        <v>299</v>
      </c>
    </row>
    <row r="64" spans="1:26" x14ac:dyDescent="0.3">
      <c r="A64" s="3">
        <v>27</v>
      </c>
      <c r="B64" s="3" t="s">
        <v>23</v>
      </c>
      <c r="C64" s="3" t="s">
        <v>26</v>
      </c>
      <c r="D64" s="3" t="s">
        <v>300</v>
      </c>
      <c r="E64" s="3" t="s">
        <v>301</v>
      </c>
      <c r="F64" s="3" t="s">
        <v>26</v>
      </c>
      <c r="G64" s="3" t="s">
        <v>302</v>
      </c>
      <c r="H64" s="3">
        <v>4000</v>
      </c>
      <c r="I64" s="3">
        <v>0</v>
      </c>
      <c r="J64" s="3" t="s">
        <v>28</v>
      </c>
      <c r="K64" s="3" t="s">
        <v>10</v>
      </c>
      <c r="L64" s="3" t="s">
        <v>300</v>
      </c>
      <c r="M64" s="3" t="s">
        <v>303</v>
      </c>
      <c r="N64" s="4">
        <v>2130</v>
      </c>
      <c r="O64" s="4">
        <v>1953</v>
      </c>
      <c r="P64" s="4">
        <v>3000</v>
      </c>
      <c r="Q64" s="4">
        <v>3000</v>
      </c>
      <c r="R64" s="4">
        <v>3500</v>
      </c>
      <c r="S64" s="3" t="s">
        <v>24</v>
      </c>
      <c r="T64" s="3" t="s">
        <v>69</v>
      </c>
      <c r="U64" s="3" t="s">
        <v>304</v>
      </c>
      <c r="V64" s="3"/>
      <c r="W64" s="3" t="s">
        <v>305</v>
      </c>
    </row>
    <row r="65" spans="1:23" x14ac:dyDescent="0.3">
      <c r="A65" s="3">
        <v>27</v>
      </c>
      <c r="B65" s="3" t="s">
        <v>23</v>
      </c>
      <c r="C65" s="3" t="s">
        <v>306</v>
      </c>
      <c r="D65" s="3" t="s">
        <v>307</v>
      </c>
      <c r="E65" s="3" t="s">
        <v>297</v>
      </c>
      <c r="F65" s="3" t="s">
        <v>26</v>
      </c>
      <c r="G65" s="3" t="s">
        <v>291</v>
      </c>
      <c r="H65" s="9">
        <v>4000</v>
      </c>
      <c r="I65" s="9">
        <v>0</v>
      </c>
      <c r="J65" s="9" t="s">
        <v>28</v>
      </c>
      <c r="K65" s="3" t="s">
        <v>10</v>
      </c>
      <c r="L65" s="9" t="s">
        <v>307</v>
      </c>
      <c r="M65" s="9" t="s">
        <v>308</v>
      </c>
      <c r="N65" s="10">
        <v>30</v>
      </c>
      <c r="O65" s="10">
        <v>35</v>
      </c>
      <c r="P65" s="10">
        <v>40</v>
      </c>
      <c r="Q65" s="10">
        <v>45</v>
      </c>
      <c r="R65" s="10">
        <v>50</v>
      </c>
      <c r="S65" s="3" t="s">
        <v>50</v>
      </c>
      <c r="T65" s="3" t="s">
        <v>245</v>
      </c>
      <c r="U65" s="3"/>
      <c r="V65" s="3"/>
      <c r="W65" s="9" t="s">
        <v>309</v>
      </c>
    </row>
    <row r="66" spans="1:23" x14ac:dyDescent="0.3">
      <c r="A66" s="3">
        <v>27</v>
      </c>
      <c r="B66" s="3" t="s">
        <v>23</v>
      </c>
      <c r="C66" s="3" t="s">
        <v>306</v>
      </c>
      <c r="D66" s="3" t="s">
        <v>307</v>
      </c>
      <c r="E66" s="3" t="s">
        <v>297</v>
      </c>
      <c r="F66" s="3" t="s">
        <v>26</v>
      </c>
      <c r="G66" s="3" t="s">
        <v>291</v>
      </c>
      <c r="H66" s="3">
        <v>4270</v>
      </c>
      <c r="I66" s="3">
        <v>0</v>
      </c>
      <c r="J66" s="3" t="s">
        <v>28</v>
      </c>
      <c r="K66" s="3" t="s">
        <v>10</v>
      </c>
      <c r="L66" s="3" t="s">
        <v>307</v>
      </c>
      <c r="M66" s="3" t="s">
        <v>308</v>
      </c>
      <c r="N66" s="4">
        <v>15</v>
      </c>
      <c r="O66" s="4">
        <v>15</v>
      </c>
      <c r="P66" s="4">
        <v>20</v>
      </c>
      <c r="Q66" s="4">
        <v>25</v>
      </c>
      <c r="R66" s="4">
        <v>25</v>
      </c>
      <c r="S66" s="3" t="s">
        <v>50</v>
      </c>
      <c r="T66" s="3" t="s">
        <v>245</v>
      </c>
      <c r="U66" s="3"/>
      <c r="V66" s="3"/>
      <c r="W66" s="3"/>
    </row>
    <row r="67" spans="1:23" x14ac:dyDescent="0.3">
      <c r="A67" s="3">
        <v>27</v>
      </c>
      <c r="B67" s="3" t="s">
        <v>23</v>
      </c>
      <c r="C67" s="3" t="s">
        <v>306</v>
      </c>
      <c r="D67" s="3" t="s">
        <v>307</v>
      </c>
      <c r="E67" s="3" t="s">
        <v>297</v>
      </c>
      <c r="F67" s="3" t="s">
        <v>26</v>
      </c>
      <c r="G67" s="3" t="s">
        <v>291</v>
      </c>
      <c r="H67" s="9">
        <v>4000</v>
      </c>
      <c r="I67" s="9">
        <v>0</v>
      </c>
      <c r="J67" s="9" t="s">
        <v>28</v>
      </c>
      <c r="K67" s="3" t="s">
        <v>10</v>
      </c>
      <c r="L67" s="9" t="s">
        <v>307</v>
      </c>
      <c r="M67" s="9" t="s">
        <v>308</v>
      </c>
      <c r="N67" s="10">
        <v>5</v>
      </c>
      <c r="O67" s="10">
        <v>10</v>
      </c>
      <c r="P67" s="10">
        <v>10</v>
      </c>
      <c r="Q67" s="10">
        <v>10</v>
      </c>
      <c r="R67" s="10">
        <v>15</v>
      </c>
      <c r="S67" s="3" t="s">
        <v>50</v>
      </c>
      <c r="T67" s="3" t="s">
        <v>245</v>
      </c>
      <c r="U67" s="3"/>
      <c r="V67" s="3"/>
      <c r="W67" s="3"/>
    </row>
    <row r="68" spans="1:23" x14ac:dyDescent="0.3">
      <c r="A68" s="3">
        <v>27</v>
      </c>
      <c r="B68" s="3" t="s">
        <v>23</v>
      </c>
      <c r="C68" s="3" t="s">
        <v>306</v>
      </c>
      <c r="D68" s="3" t="s">
        <v>310</v>
      </c>
      <c r="E68" s="3" t="s">
        <v>311</v>
      </c>
      <c r="F68" s="3" t="s">
        <v>26</v>
      </c>
      <c r="G68" s="3" t="s">
        <v>312</v>
      </c>
      <c r="H68" s="3">
        <v>4000</v>
      </c>
      <c r="I68" s="3">
        <v>0</v>
      </c>
      <c r="J68" s="3" t="s">
        <v>313</v>
      </c>
      <c r="K68" s="3" t="s">
        <v>10</v>
      </c>
      <c r="L68" s="3" t="s">
        <v>314</v>
      </c>
      <c r="M68" s="3" t="s">
        <v>303</v>
      </c>
      <c r="N68" s="4">
        <v>139</v>
      </c>
      <c r="O68" s="4">
        <v>139</v>
      </c>
      <c r="P68" s="4">
        <v>139</v>
      </c>
      <c r="Q68" s="4">
        <v>50</v>
      </c>
      <c r="R68" s="4">
        <v>50</v>
      </c>
      <c r="S68" s="3" t="s">
        <v>50</v>
      </c>
      <c r="T68" s="3"/>
      <c r="U68" s="3"/>
      <c r="V68" s="3"/>
      <c r="W68" s="3"/>
    </row>
    <row r="69" spans="1:23" x14ac:dyDescent="0.3">
      <c r="A69" s="3">
        <v>27</v>
      </c>
      <c r="B69" s="3" t="s">
        <v>23</v>
      </c>
      <c r="C69" s="3" t="s">
        <v>315</v>
      </c>
      <c r="D69" s="3" t="s">
        <v>316</v>
      </c>
      <c r="E69" s="3" t="s">
        <v>317</v>
      </c>
      <c r="F69" s="3" t="s">
        <v>26</v>
      </c>
      <c r="G69" s="3" t="s">
        <v>318</v>
      </c>
      <c r="H69" s="3">
        <v>4000</v>
      </c>
      <c r="I69" s="3">
        <v>0</v>
      </c>
      <c r="J69" s="3" t="s">
        <v>313</v>
      </c>
      <c r="K69" s="3" t="s">
        <v>10</v>
      </c>
      <c r="L69" s="3" t="s">
        <v>319</v>
      </c>
      <c r="M69" s="3" t="s">
        <v>303</v>
      </c>
      <c r="N69" s="4">
        <v>0</v>
      </c>
      <c r="O69" s="4">
        <v>30</v>
      </c>
      <c r="P69" s="4">
        <v>30</v>
      </c>
      <c r="Q69" s="4">
        <v>40</v>
      </c>
      <c r="R69" s="4">
        <v>40</v>
      </c>
      <c r="S69" s="3" t="s">
        <v>50</v>
      </c>
      <c r="T69" s="3"/>
      <c r="U69" s="3"/>
      <c r="V69" s="3"/>
      <c r="W69" s="3"/>
    </row>
    <row r="70" spans="1:23" x14ac:dyDescent="0.3">
      <c r="A70" s="3">
        <v>27</v>
      </c>
      <c r="B70" s="3" t="s">
        <v>23</v>
      </c>
      <c r="C70" s="3" t="s">
        <v>315</v>
      </c>
      <c r="D70" s="3" t="s">
        <v>320</v>
      </c>
      <c r="E70" s="3" t="s">
        <v>321</v>
      </c>
      <c r="F70" s="3" t="s">
        <v>26</v>
      </c>
      <c r="G70" s="3" t="s">
        <v>322</v>
      </c>
      <c r="H70" s="3">
        <v>4000</v>
      </c>
      <c r="I70" s="3">
        <v>0</v>
      </c>
      <c r="J70" s="3" t="s">
        <v>313</v>
      </c>
      <c r="K70" s="3" t="s">
        <v>10</v>
      </c>
      <c r="L70" s="3" t="s">
        <v>323</v>
      </c>
      <c r="M70" s="3" t="s">
        <v>303</v>
      </c>
      <c r="N70" s="4">
        <v>1</v>
      </c>
      <c r="O70" s="4">
        <v>1</v>
      </c>
      <c r="P70" s="4">
        <v>2</v>
      </c>
      <c r="Q70" s="4">
        <v>2</v>
      </c>
      <c r="R70" s="4">
        <v>2</v>
      </c>
      <c r="S70" s="3" t="s">
        <v>324</v>
      </c>
      <c r="T70" s="3" t="s">
        <v>325</v>
      </c>
      <c r="U70" s="3"/>
      <c r="V70" s="3"/>
      <c r="W70" s="3"/>
    </row>
    <row r="71" spans="1:23" x14ac:dyDescent="0.3">
      <c r="A71" s="3">
        <v>27</v>
      </c>
      <c r="B71" s="3" t="s">
        <v>23</v>
      </c>
      <c r="C71" s="3" t="s">
        <v>315</v>
      </c>
      <c r="D71" s="3" t="s">
        <v>326</v>
      </c>
      <c r="E71" s="3" t="s">
        <v>327</v>
      </c>
      <c r="F71" s="3" t="s">
        <v>26</v>
      </c>
      <c r="G71" s="3" t="s">
        <v>328</v>
      </c>
      <c r="H71" s="3">
        <v>4000</v>
      </c>
      <c r="I71" s="3">
        <v>0</v>
      </c>
      <c r="J71" s="3" t="s">
        <v>313</v>
      </c>
      <c r="K71" s="3" t="s">
        <v>10</v>
      </c>
      <c r="L71" s="3" t="s">
        <v>329</v>
      </c>
      <c r="M71" s="3" t="s">
        <v>326</v>
      </c>
      <c r="N71" s="4">
        <v>2</v>
      </c>
      <c r="O71" s="4">
        <v>5</v>
      </c>
      <c r="P71" s="4">
        <v>5</v>
      </c>
      <c r="Q71" s="4">
        <v>6</v>
      </c>
      <c r="R71" s="4">
        <v>6</v>
      </c>
      <c r="S71" s="3" t="s">
        <v>24</v>
      </c>
      <c r="T71" s="3"/>
      <c r="U71" s="3" t="s">
        <v>330</v>
      </c>
      <c r="V71" s="3" t="s">
        <v>331</v>
      </c>
      <c r="W71" s="3"/>
    </row>
    <row r="72" spans="1:23" x14ac:dyDescent="0.3">
      <c r="A72" s="3">
        <v>27</v>
      </c>
      <c r="B72" s="3" t="s">
        <v>23</v>
      </c>
      <c r="C72" s="3" t="s">
        <v>315</v>
      </c>
      <c r="D72" s="3" t="s">
        <v>332</v>
      </c>
      <c r="E72" s="3" t="s">
        <v>327</v>
      </c>
      <c r="F72" s="3" t="s">
        <v>26</v>
      </c>
      <c r="G72" s="3" t="s">
        <v>328</v>
      </c>
      <c r="H72" s="3">
        <v>4000</v>
      </c>
      <c r="I72" s="3">
        <v>0</v>
      </c>
      <c r="J72" s="3" t="s">
        <v>313</v>
      </c>
      <c r="K72" s="3" t="s">
        <v>10</v>
      </c>
      <c r="L72" s="3" t="s">
        <v>333</v>
      </c>
      <c r="M72" s="3" t="s">
        <v>334</v>
      </c>
      <c r="N72" s="4">
        <v>50</v>
      </c>
      <c r="O72" s="4">
        <v>15</v>
      </c>
      <c r="P72" s="4">
        <v>15</v>
      </c>
      <c r="Q72" s="4">
        <v>15</v>
      </c>
      <c r="R72" s="4">
        <v>15</v>
      </c>
      <c r="S72" s="3" t="s">
        <v>280</v>
      </c>
      <c r="T72" s="3"/>
      <c r="U72" s="3"/>
      <c r="V72" s="3"/>
      <c r="W72" s="3"/>
    </row>
    <row r="73" spans="1:23" x14ac:dyDescent="0.3">
      <c r="A73" s="3">
        <v>27</v>
      </c>
      <c r="B73" s="3" t="s">
        <v>23</v>
      </c>
      <c r="C73" s="3" t="s">
        <v>306</v>
      </c>
      <c r="D73" s="3" t="s">
        <v>335</v>
      </c>
      <c r="E73" s="3">
        <v>45566</v>
      </c>
      <c r="F73" s="3" t="s">
        <v>26</v>
      </c>
      <c r="G73" s="3" t="s">
        <v>336</v>
      </c>
      <c r="H73" s="3">
        <v>4000</v>
      </c>
      <c r="I73" s="3">
        <v>0</v>
      </c>
      <c r="J73" s="3" t="s">
        <v>28</v>
      </c>
      <c r="K73" s="3" t="s">
        <v>10</v>
      </c>
      <c r="L73" s="3" t="s">
        <v>337</v>
      </c>
      <c r="M73" s="3" t="s">
        <v>338</v>
      </c>
      <c r="N73" s="4">
        <v>0</v>
      </c>
      <c r="O73" s="4">
        <v>20</v>
      </c>
      <c r="P73" s="4">
        <v>20</v>
      </c>
      <c r="Q73" s="4">
        <v>20</v>
      </c>
      <c r="R73" s="4">
        <v>20</v>
      </c>
      <c r="S73" s="3" t="s">
        <v>50</v>
      </c>
      <c r="T73" s="3" t="s">
        <v>154</v>
      </c>
      <c r="U73" s="3" t="s">
        <v>339</v>
      </c>
      <c r="V73" s="3" t="s">
        <v>339</v>
      </c>
      <c r="W73" s="3" t="s">
        <v>339</v>
      </c>
    </row>
    <row r="74" spans="1:23" x14ac:dyDescent="0.3">
      <c r="A74" s="3">
        <v>27</v>
      </c>
      <c r="B74" s="3" t="s">
        <v>23</v>
      </c>
      <c r="C74" s="3" t="s">
        <v>24</v>
      </c>
      <c r="D74" s="3" t="s">
        <v>340</v>
      </c>
      <c r="E74" s="3">
        <v>45352</v>
      </c>
      <c r="F74" s="3" t="s">
        <v>26</v>
      </c>
      <c r="G74" s="3" t="s">
        <v>341</v>
      </c>
      <c r="H74" s="3">
        <v>4270</v>
      </c>
      <c r="I74" s="3">
        <v>0</v>
      </c>
      <c r="J74" s="3" t="s">
        <v>28</v>
      </c>
      <c r="K74" s="3" t="s">
        <v>10</v>
      </c>
      <c r="L74" s="3" t="s">
        <v>337</v>
      </c>
      <c r="M74" s="3" t="s">
        <v>342</v>
      </c>
      <c r="N74" s="4">
        <v>2500</v>
      </c>
      <c r="O74" s="4">
        <v>2500</v>
      </c>
      <c r="P74" s="4">
        <v>2500</v>
      </c>
      <c r="Q74" s="4">
        <v>2500</v>
      </c>
      <c r="R74" s="4">
        <v>2500</v>
      </c>
      <c r="S74" s="3" t="s">
        <v>343</v>
      </c>
      <c r="T74" s="3" t="s">
        <v>339</v>
      </c>
      <c r="U74" s="3" t="s">
        <v>339</v>
      </c>
      <c r="V74" s="3" t="s">
        <v>344</v>
      </c>
      <c r="W74" s="3" t="s">
        <v>339</v>
      </c>
    </row>
    <row r="75" spans="1:23" x14ac:dyDescent="0.3">
      <c r="A75" s="3">
        <v>27</v>
      </c>
      <c r="B75" s="3" t="s">
        <v>23</v>
      </c>
      <c r="C75" s="3" t="s">
        <v>306</v>
      </c>
      <c r="D75" s="3" t="s">
        <v>345</v>
      </c>
      <c r="E75" s="3">
        <v>45323</v>
      </c>
      <c r="F75" s="3" t="s">
        <v>26</v>
      </c>
      <c r="G75" s="3" t="s">
        <v>346</v>
      </c>
      <c r="H75" s="3">
        <v>6050</v>
      </c>
      <c r="I75" s="3">
        <v>0</v>
      </c>
      <c r="J75" s="3" t="s">
        <v>28</v>
      </c>
      <c r="K75" s="3" t="s">
        <v>10</v>
      </c>
      <c r="L75" s="3" t="s">
        <v>337</v>
      </c>
      <c r="M75" s="3" t="s">
        <v>347</v>
      </c>
      <c r="N75" s="4">
        <v>1500</v>
      </c>
      <c r="O75" s="4">
        <v>0</v>
      </c>
      <c r="P75" s="4">
        <v>0</v>
      </c>
      <c r="Q75" s="4">
        <v>0</v>
      </c>
      <c r="R75" s="4">
        <v>0</v>
      </c>
      <c r="S75" s="3" t="s">
        <v>343</v>
      </c>
      <c r="T75" s="3" t="s">
        <v>339</v>
      </c>
      <c r="U75" s="3" t="s">
        <v>339</v>
      </c>
      <c r="V75" s="3" t="s">
        <v>339</v>
      </c>
      <c r="W75" s="3" t="s">
        <v>339</v>
      </c>
    </row>
    <row r="76" spans="1:23" x14ac:dyDescent="0.3">
      <c r="A76" s="3">
        <v>27</v>
      </c>
      <c r="B76" s="3" t="s">
        <v>23</v>
      </c>
      <c r="C76" s="3" t="s">
        <v>24</v>
      </c>
      <c r="D76" s="3" t="s">
        <v>348</v>
      </c>
      <c r="E76" s="3" t="s">
        <v>349</v>
      </c>
      <c r="F76" s="3" t="s">
        <v>26</v>
      </c>
      <c r="G76" s="3" t="s">
        <v>350</v>
      </c>
      <c r="H76" s="3">
        <v>4270</v>
      </c>
      <c r="I76" s="3">
        <v>0</v>
      </c>
      <c r="J76" s="3" t="s">
        <v>28</v>
      </c>
      <c r="K76" s="3" t="s">
        <v>10</v>
      </c>
      <c r="L76" s="3" t="s">
        <v>337</v>
      </c>
      <c r="M76" s="3" t="s">
        <v>351</v>
      </c>
      <c r="N76" s="4">
        <v>160</v>
      </c>
      <c r="O76" s="4">
        <v>160</v>
      </c>
      <c r="P76" s="4">
        <v>160</v>
      </c>
      <c r="Q76" s="4">
        <v>160</v>
      </c>
      <c r="R76" s="4">
        <v>160</v>
      </c>
      <c r="S76" s="3" t="s">
        <v>352</v>
      </c>
      <c r="T76" s="3" t="s">
        <v>353</v>
      </c>
      <c r="U76" s="3" t="s">
        <v>354</v>
      </c>
      <c r="V76" s="3" t="s">
        <v>355</v>
      </c>
      <c r="W76" s="3" t="s">
        <v>339</v>
      </c>
    </row>
    <row r="77" spans="1:23" x14ac:dyDescent="0.3">
      <c r="A77" s="3">
        <v>27</v>
      </c>
      <c r="B77" s="3" t="s">
        <v>23</v>
      </c>
      <c r="C77" s="3" t="s">
        <v>24</v>
      </c>
      <c r="D77" s="3" t="s">
        <v>356</v>
      </c>
      <c r="E77" s="3">
        <v>45261</v>
      </c>
      <c r="F77" s="3" t="s">
        <v>26</v>
      </c>
      <c r="G77" s="3" t="s">
        <v>35</v>
      </c>
      <c r="H77" s="3">
        <v>4270</v>
      </c>
      <c r="I77" s="3">
        <v>0</v>
      </c>
      <c r="J77" s="3" t="s">
        <v>28</v>
      </c>
      <c r="K77" s="3" t="s">
        <v>10</v>
      </c>
      <c r="L77" s="3" t="s">
        <v>337</v>
      </c>
      <c r="M77" s="3" t="s">
        <v>338</v>
      </c>
      <c r="N77" s="4">
        <v>120</v>
      </c>
      <c r="O77" s="4">
        <v>200</v>
      </c>
      <c r="P77" s="4">
        <v>200</v>
      </c>
      <c r="Q77" s="4">
        <v>200</v>
      </c>
      <c r="R77" s="4">
        <v>200</v>
      </c>
      <c r="S77" s="3" t="s">
        <v>352</v>
      </c>
      <c r="T77" s="3" t="s">
        <v>24</v>
      </c>
      <c r="U77" s="3" t="s">
        <v>357</v>
      </c>
      <c r="V77" s="3" t="s">
        <v>339</v>
      </c>
      <c r="W77" s="3" t="s">
        <v>339</v>
      </c>
    </row>
    <row r="78" spans="1:23" x14ac:dyDescent="0.3">
      <c r="A78" s="3">
        <v>27</v>
      </c>
      <c r="B78" s="3" t="s">
        <v>23</v>
      </c>
      <c r="C78" s="3" t="s">
        <v>24</v>
      </c>
      <c r="D78" s="3" t="s">
        <v>358</v>
      </c>
      <c r="E78" s="3" t="s">
        <v>359</v>
      </c>
      <c r="F78" s="3" t="s">
        <v>26</v>
      </c>
      <c r="G78" s="3" t="s">
        <v>360</v>
      </c>
      <c r="H78" s="3">
        <v>4270</v>
      </c>
      <c r="I78" s="3">
        <v>0</v>
      </c>
      <c r="J78" s="3" t="s">
        <v>28</v>
      </c>
      <c r="K78" s="3" t="s">
        <v>10</v>
      </c>
      <c r="L78" s="3" t="s">
        <v>337</v>
      </c>
      <c r="M78" s="3" t="s">
        <v>338</v>
      </c>
      <c r="N78" s="4">
        <v>150</v>
      </c>
      <c r="O78" s="4">
        <v>150</v>
      </c>
      <c r="P78" s="4">
        <v>200</v>
      </c>
      <c r="Q78" s="4">
        <v>150</v>
      </c>
      <c r="R78" s="4">
        <v>200</v>
      </c>
      <c r="S78" s="3" t="s">
        <v>352</v>
      </c>
      <c r="T78" s="3" t="s">
        <v>24</v>
      </c>
      <c r="U78" s="3" t="s">
        <v>361</v>
      </c>
      <c r="V78" s="3" t="s">
        <v>339</v>
      </c>
      <c r="W78" s="3" t="s">
        <v>339</v>
      </c>
    </row>
    <row r="79" spans="1:23" x14ac:dyDescent="0.3">
      <c r="A79" s="3">
        <v>27</v>
      </c>
      <c r="B79" s="3" t="s">
        <v>23</v>
      </c>
      <c r="C79" s="3" t="s">
        <v>306</v>
      </c>
      <c r="D79" s="3" t="s">
        <v>362</v>
      </c>
      <c r="E79" s="3" t="s">
        <v>363</v>
      </c>
      <c r="F79" s="3" t="s">
        <v>26</v>
      </c>
      <c r="G79" s="3" t="s">
        <v>364</v>
      </c>
      <c r="H79" s="3">
        <v>4270</v>
      </c>
      <c r="I79" s="3">
        <v>0</v>
      </c>
      <c r="J79" s="3" t="s">
        <v>28</v>
      </c>
      <c r="K79" s="3" t="s">
        <v>10</v>
      </c>
      <c r="L79" s="3" t="s">
        <v>337</v>
      </c>
      <c r="M79" s="3" t="s">
        <v>338</v>
      </c>
      <c r="N79" s="4">
        <v>50</v>
      </c>
      <c r="O79" s="4">
        <v>50</v>
      </c>
      <c r="P79" s="4">
        <v>50</v>
      </c>
      <c r="Q79" s="4">
        <v>50</v>
      </c>
      <c r="R79" s="4">
        <v>50</v>
      </c>
      <c r="S79" s="3" t="s">
        <v>352</v>
      </c>
      <c r="T79" s="3" t="s">
        <v>69</v>
      </c>
      <c r="U79" s="3" t="s">
        <v>365</v>
      </c>
      <c r="V79" s="3" t="s">
        <v>339</v>
      </c>
      <c r="W79" s="3" t="s">
        <v>339</v>
      </c>
    </row>
    <row r="80" spans="1:23" x14ac:dyDescent="0.3">
      <c r="A80" s="3">
        <v>27</v>
      </c>
      <c r="B80" s="3" t="s">
        <v>23</v>
      </c>
      <c r="C80" s="3" t="s">
        <v>306</v>
      </c>
      <c r="D80" s="3" t="s">
        <v>366</v>
      </c>
      <c r="E80" s="3">
        <v>45323</v>
      </c>
      <c r="F80" s="3" t="s">
        <v>26</v>
      </c>
      <c r="G80" s="3" t="s">
        <v>367</v>
      </c>
      <c r="H80" s="3">
        <v>6050</v>
      </c>
      <c r="I80" s="3">
        <v>0</v>
      </c>
      <c r="J80" s="3" t="s">
        <v>28</v>
      </c>
      <c r="K80" s="3" t="s">
        <v>10</v>
      </c>
      <c r="L80" s="3" t="s">
        <v>337</v>
      </c>
      <c r="M80" s="3" t="s">
        <v>368</v>
      </c>
      <c r="N80" s="4">
        <v>6000</v>
      </c>
      <c r="O80" s="4">
        <v>484</v>
      </c>
      <c r="P80" s="4">
        <v>0</v>
      </c>
      <c r="Q80" s="4">
        <v>0</v>
      </c>
      <c r="R80" s="4">
        <v>0</v>
      </c>
      <c r="S80" s="3" t="s">
        <v>50</v>
      </c>
      <c r="T80" s="3" t="s">
        <v>339</v>
      </c>
      <c r="U80" s="3" t="s">
        <v>339</v>
      </c>
      <c r="V80" s="3" t="s">
        <v>339</v>
      </c>
      <c r="W80" s="3" t="s">
        <v>339</v>
      </c>
    </row>
    <row r="81" spans="1:26" x14ac:dyDescent="0.3">
      <c r="A81" s="3">
        <v>27</v>
      </c>
      <c r="B81" s="3" t="s">
        <v>23</v>
      </c>
      <c r="C81" s="3" t="s">
        <v>306</v>
      </c>
      <c r="D81" s="3" t="s">
        <v>369</v>
      </c>
      <c r="E81" s="3">
        <v>45352</v>
      </c>
      <c r="F81" s="3" t="s">
        <v>26</v>
      </c>
      <c r="G81" s="3" t="s">
        <v>370</v>
      </c>
      <c r="H81" s="3">
        <v>6050</v>
      </c>
      <c r="I81" s="3">
        <v>0</v>
      </c>
      <c r="J81" s="3" t="s">
        <v>28</v>
      </c>
      <c r="K81" s="3" t="s">
        <v>10</v>
      </c>
      <c r="L81" s="3" t="s">
        <v>337</v>
      </c>
      <c r="M81" s="3" t="s">
        <v>371</v>
      </c>
      <c r="N81" s="4">
        <v>6000</v>
      </c>
      <c r="O81" s="4">
        <v>764</v>
      </c>
      <c r="P81" s="4">
        <v>0</v>
      </c>
      <c r="Q81" s="4">
        <v>0</v>
      </c>
      <c r="R81" s="4">
        <v>0</v>
      </c>
      <c r="S81" s="3" t="s">
        <v>50</v>
      </c>
      <c r="T81" s="3" t="s">
        <v>339</v>
      </c>
      <c r="U81" s="3" t="s">
        <v>339</v>
      </c>
      <c r="V81" s="3" t="s">
        <v>339</v>
      </c>
      <c r="W81" s="3" t="s">
        <v>339</v>
      </c>
    </row>
    <row r="82" spans="1:26" x14ac:dyDescent="0.3">
      <c r="A82" s="3">
        <v>27</v>
      </c>
      <c r="B82" s="3" t="s">
        <v>23</v>
      </c>
      <c r="C82" s="3" t="s">
        <v>306</v>
      </c>
      <c r="D82" s="3" t="s">
        <v>372</v>
      </c>
      <c r="E82" s="3">
        <v>45992</v>
      </c>
      <c r="F82" s="3" t="s">
        <v>26</v>
      </c>
      <c r="G82" s="3" t="s">
        <v>364</v>
      </c>
      <c r="H82" s="3">
        <v>4270</v>
      </c>
      <c r="I82" s="3">
        <v>0</v>
      </c>
      <c r="J82" s="3" t="s">
        <v>28</v>
      </c>
      <c r="K82" s="3" t="s">
        <v>10</v>
      </c>
      <c r="L82" s="3" t="s">
        <v>337</v>
      </c>
      <c r="M82" s="3" t="s">
        <v>338</v>
      </c>
      <c r="N82" s="4">
        <v>0</v>
      </c>
      <c r="O82" s="4">
        <v>200</v>
      </c>
      <c r="P82" s="4">
        <v>200</v>
      </c>
      <c r="Q82" s="4">
        <v>200</v>
      </c>
      <c r="R82" s="4">
        <v>200</v>
      </c>
      <c r="S82" s="3" t="s">
        <v>50</v>
      </c>
      <c r="T82" s="3" t="s">
        <v>339</v>
      </c>
      <c r="U82" s="3" t="s">
        <v>339</v>
      </c>
      <c r="V82" s="3" t="s">
        <v>339</v>
      </c>
      <c r="W82" s="3" t="s">
        <v>339</v>
      </c>
    </row>
    <row r="83" spans="1:26" x14ac:dyDescent="0.3">
      <c r="A83" s="3">
        <v>27</v>
      </c>
      <c r="B83" s="3" t="s">
        <v>23</v>
      </c>
      <c r="C83" s="3" t="s">
        <v>24</v>
      </c>
      <c r="D83" s="3" t="s">
        <v>373</v>
      </c>
      <c r="E83" s="3" t="s">
        <v>349</v>
      </c>
      <c r="F83" s="3" t="s">
        <v>26</v>
      </c>
      <c r="G83" s="3" t="s">
        <v>350</v>
      </c>
      <c r="H83" s="3">
        <v>4270</v>
      </c>
      <c r="I83" s="3">
        <v>0</v>
      </c>
      <c r="J83" s="3" t="s">
        <v>28</v>
      </c>
      <c r="K83" s="3" t="s">
        <v>10</v>
      </c>
      <c r="L83" s="3" t="s">
        <v>337</v>
      </c>
      <c r="M83" s="3" t="s">
        <v>374</v>
      </c>
      <c r="N83" s="4">
        <v>250</v>
      </c>
      <c r="O83" s="4">
        <v>250</v>
      </c>
      <c r="P83" s="4">
        <v>300</v>
      </c>
      <c r="Q83" s="4">
        <v>350</v>
      </c>
      <c r="R83" s="4">
        <v>400</v>
      </c>
      <c r="S83" s="3" t="s">
        <v>50</v>
      </c>
      <c r="T83" s="3" t="s">
        <v>339</v>
      </c>
      <c r="U83" s="3" t="s">
        <v>339</v>
      </c>
      <c r="V83" s="3" t="s">
        <v>339</v>
      </c>
      <c r="W83" s="3" t="s">
        <v>339</v>
      </c>
    </row>
    <row r="84" spans="1:26" x14ac:dyDescent="0.3">
      <c r="A84" s="3">
        <v>27</v>
      </c>
      <c r="B84" s="3" t="s">
        <v>23</v>
      </c>
      <c r="C84" s="3" t="s">
        <v>306</v>
      </c>
      <c r="D84" s="3" t="s">
        <v>375</v>
      </c>
      <c r="E84" s="3" t="s">
        <v>376</v>
      </c>
      <c r="F84" s="3" t="s">
        <v>26</v>
      </c>
      <c r="G84" s="3" t="s">
        <v>377</v>
      </c>
      <c r="H84" s="3">
        <v>6050</v>
      </c>
      <c r="I84" s="3">
        <v>0</v>
      </c>
      <c r="J84" s="3" t="s">
        <v>28</v>
      </c>
      <c r="K84" s="3" t="s">
        <v>10</v>
      </c>
      <c r="L84" s="3" t="s">
        <v>337</v>
      </c>
      <c r="M84" s="3" t="s">
        <v>378</v>
      </c>
      <c r="N84" s="4">
        <v>400</v>
      </c>
      <c r="O84" s="4">
        <v>50</v>
      </c>
      <c r="P84" s="4">
        <v>0</v>
      </c>
      <c r="Q84" s="4">
        <v>0</v>
      </c>
      <c r="R84" s="4">
        <v>0</v>
      </c>
      <c r="S84" s="3" t="s">
        <v>50</v>
      </c>
      <c r="T84" s="3" t="s">
        <v>339</v>
      </c>
      <c r="U84" s="3" t="s">
        <v>339</v>
      </c>
      <c r="V84" s="3" t="s">
        <v>339</v>
      </c>
      <c r="W84" s="3" t="s">
        <v>339</v>
      </c>
    </row>
    <row r="85" spans="1:26" x14ac:dyDescent="0.3">
      <c r="A85" s="3">
        <v>27</v>
      </c>
      <c r="B85" s="3" t="s">
        <v>23</v>
      </c>
      <c r="C85" s="3" t="s">
        <v>306</v>
      </c>
      <c r="D85" s="3" t="s">
        <v>379</v>
      </c>
      <c r="E85" s="3">
        <v>45566</v>
      </c>
      <c r="F85" s="3" t="s">
        <v>26</v>
      </c>
      <c r="G85" s="3" t="s">
        <v>380</v>
      </c>
      <c r="H85" s="3">
        <v>6050</v>
      </c>
      <c r="I85" s="3">
        <v>0</v>
      </c>
      <c r="J85" s="3" t="s">
        <v>28</v>
      </c>
      <c r="K85" s="3" t="s">
        <v>10</v>
      </c>
      <c r="L85" s="3" t="s">
        <v>337</v>
      </c>
      <c r="M85" s="3" t="s">
        <v>378</v>
      </c>
      <c r="N85" s="4">
        <v>400</v>
      </c>
      <c r="O85" s="4">
        <v>50</v>
      </c>
      <c r="P85" s="4">
        <v>0</v>
      </c>
      <c r="Q85" s="4">
        <v>0</v>
      </c>
      <c r="R85" s="4">
        <v>0</v>
      </c>
      <c r="S85" s="3" t="s">
        <v>343</v>
      </c>
      <c r="T85" s="3" t="s">
        <v>339</v>
      </c>
      <c r="U85" s="3" t="s">
        <v>339</v>
      </c>
      <c r="V85" s="3" t="s">
        <v>339</v>
      </c>
      <c r="W85" s="3" t="s">
        <v>339</v>
      </c>
    </row>
    <row r="86" spans="1:26" x14ac:dyDescent="0.3">
      <c r="A86" s="3">
        <v>27</v>
      </c>
      <c r="B86" s="3" t="s">
        <v>23</v>
      </c>
      <c r="C86" s="3" t="s">
        <v>24</v>
      </c>
      <c r="D86" s="3" t="s">
        <v>381</v>
      </c>
      <c r="E86" s="3" t="s">
        <v>382</v>
      </c>
      <c r="F86" s="3" t="s">
        <v>26</v>
      </c>
      <c r="G86" s="3" t="s">
        <v>383</v>
      </c>
      <c r="H86" s="3">
        <v>4000</v>
      </c>
      <c r="I86" s="3">
        <v>0</v>
      </c>
      <c r="J86" s="3" t="s">
        <v>28</v>
      </c>
      <c r="K86" s="3" t="s">
        <v>10</v>
      </c>
      <c r="L86" s="3" t="s">
        <v>337</v>
      </c>
      <c r="M86" s="3" t="s">
        <v>384</v>
      </c>
      <c r="N86" s="4">
        <v>5</v>
      </c>
      <c r="O86" s="4">
        <v>10</v>
      </c>
      <c r="P86" s="4">
        <v>10</v>
      </c>
      <c r="Q86" s="4">
        <v>35</v>
      </c>
      <c r="R86" s="4">
        <v>15</v>
      </c>
      <c r="S86" s="3" t="s">
        <v>352</v>
      </c>
      <c r="T86" s="3" t="s">
        <v>24</v>
      </c>
      <c r="U86" s="3" t="s">
        <v>385</v>
      </c>
      <c r="V86" s="3" t="s">
        <v>339</v>
      </c>
      <c r="W86" s="3" t="s">
        <v>339</v>
      </c>
    </row>
    <row r="87" spans="1:26" x14ac:dyDescent="0.3">
      <c r="A87" s="3">
        <v>27</v>
      </c>
      <c r="B87" s="3" t="s">
        <v>23</v>
      </c>
      <c r="C87" s="3" t="s">
        <v>24</v>
      </c>
      <c r="D87" s="3" t="s">
        <v>386</v>
      </c>
      <c r="E87" s="3">
        <v>45323</v>
      </c>
      <c r="F87" s="3" t="s">
        <v>26</v>
      </c>
      <c r="G87" s="3" t="s">
        <v>35</v>
      </c>
      <c r="H87" s="3">
        <v>4000</v>
      </c>
      <c r="I87" s="3">
        <v>0</v>
      </c>
      <c r="J87" s="3" t="s">
        <v>28</v>
      </c>
      <c r="K87" s="3" t="s">
        <v>10</v>
      </c>
      <c r="L87" s="3" t="s">
        <v>337</v>
      </c>
      <c r="M87" s="3" t="s">
        <v>338</v>
      </c>
      <c r="N87" s="4">
        <v>20</v>
      </c>
      <c r="O87" s="4">
        <v>25</v>
      </c>
      <c r="P87" s="4">
        <v>50</v>
      </c>
      <c r="Q87" s="4">
        <v>50</v>
      </c>
      <c r="R87" s="4">
        <v>50</v>
      </c>
      <c r="S87" s="3" t="s">
        <v>387</v>
      </c>
      <c r="T87" s="3" t="s">
        <v>24</v>
      </c>
      <c r="U87" s="3" t="s">
        <v>388</v>
      </c>
      <c r="V87" s="3" t="s">
        <v>339</v>
      </c>
      <c r="W87" s="3" t="s">
        <v>339</v>
      </c>
    </row>
    <row r="88" spans="1:26" x14ac:dyDescent="0.3">
      <c r="A88" s="3">
        <v>27</v>
      </c>
      <c r="B88" s="3" t="s">
        <v>23</v>
      </c>
      <c r="C88" s="3" t="s">
        <v>24</v>
      </c>
      <c r="D88" s="3" t="s">
        <v>389</v>
      </c>
      <c r="E88" s="3" t="s">
        <v>390</v>
      </c>
      <c r="F88" s="3" t="s">
        <v>26</v>
      </c>
      <c r="G88" s="3" t="s">
        <v>383</v>
      </c>
      <c r="H88" s="3">
        <v>4000</v>
      </c>
      <c r="I88" s="3">
        <v>0</v>
      </c>
      <c r="J88" s="3" t="s">
        <v>28</v>
      </c>
      <c r="K88" s="3" t="s">
        <v>10</v>
      </c>
      <c r="L88" s="3" t="s">
        <v>337</v>
      </c>
      <c r="M88" s="3" t="s">
        <v>391</v>
      </c>
      <c r="N88" s="4">
        <v>24</v>
      </c>
      <c r="O88" s="4">
        <v>65</v>
      </c>
      <c r="P88" s="4">
        <v>70</v>
      </c>
      <c r="Q88" s="4">
        <v>75</v>
      </c>
      <c r="R88" s="4">
        <v>80</v>
      </c>
      <c r="S88" s="3" t="s">
        <v>352</v>
      </c>
      <c r="T88" s="3" t="s">
        <v>24</v>
      </c>
      <c r="U88" s="3" t="s">
        <v>392</v>
      </c>
      <c r="V88" s="3" t="s">
        <v>339</v>
      </c>
      <c r="W88" s="3" t="s">
        <v>339</v>
      </c>
    </row>
    <row r="89" spans="1:26" x14ac:dyDescent="0.3">
      <c r="A89" s="3">
        <v>27</v>
      </c>
      <c r="B89" s="3" t="s">
        <v>23</v>
      </c>
      <c r="C89" s="3"/>
      <c r="D89" s="3" t="s">
        <v>393</v>
      </c>
      <c r="E89" s="3"/>
      <c r="F89" s="3" t="s">
        <v>26</v>
      </c>
      <c r="G89" s="3" t="s">
        <v>394</v>
      </c>
      <c r="H89" s="3">
        <v>4000</v>
      </c>
      <c r="I89" s="3">
        <v>0</v>
      </c>
      <c r="J89" s="3" t="s">
        <v>28</v>
      </c>
      <c r="K89" s="3" t="s">
        <v>10</v>
      </c>
      <c r="L89" s="3" t="s">
        <v>337</v>
      </c>
      <c r="M89" s="3" t="s">
        <v>395</v>
      </c>
      <c r="N89" s="4">
        <v>15</v>
      </c>
      <c r="O89" s="4">
        <v>15</v>
      </c>
      <c r="P89" s="4">
        <v>20</v>
      </c>
      <c r="Q89" s="4">
        <v>20</v>
      </c>
      <c r="R89" s="4">
        <v>20</v>
      </c>
      <c r="S89" s="3"/>
      <c r="T89" s="3"/>
      <c r="U89" s="3"/>
      <c r="V89" s="3"/>
      <c r="W89" s="3"/>
    </row>
    <row r="90" spans="1:26" x14ac:dyDescent="0.3">
      <c r="A90" s="3">
        <v>27</v>
      </c>
      <c r="B90" s="3" t="s">
        <v>23</v>
      </c>
      <c r="C90" s="3"/>
      <c r="D90" s="3" t="s">
        <v>396</v>
      </c>
      <c r="E90" s="3"/>
      <c r="F90" s="3" t="s">
        <v>26</v>
      </c>
      <c r="G90" s="3" t="s">
        <v>394</v>
      </c>
      <c r="H90" s="3">
        <v>4000</v>
      </c>
      <c r="I90" s="3">
        <v>0</v>
      </c>
      <c r="J90" s="3" t="s">
        <v>28</v>
      </c>
      <c r="K90" s="3" t="s">
        <v>10</v>
      </c>
      <c r="L90" s="3" t="s">
        <v>337</v>
      </c>
      <c r="M90" s="3" t="s">
        <v>397</v>
      </c>
      <c r="N90" s="4">
        <v>5</v>
      </c>
      <c r="O90" s="4">
        <v>5</v>
      </c>
      <c r="P90" s="4">
        <v>5</v>
      </c>
      <c r="Q90" s="4">
        <v>5</v>
      </c>
      <c r="R90" s="4">
        <v>0</v>
      </c>
      <c r="S90" s="3"/>
      <c r="T90" s="3"/>
      <c r="U90" s="3"/>
      <c r="V90" s="3"/>
      <c r="W90" s="3"/>
    </row>
    <row r="91" spans="1:26" x14ac:dyDescent="0.3">
      <c r="A91" s="3">
        <v>27</v>
      </c>
      <c r="B91" s="3" t="s">
        <v>23</v>
      </c>
      <c r="C91" s="3" t="s">
        <v>398</v>
      </c>
      <c r="D91" s="3" t="s">
        <v>399</v>
      </c>
      <c r="E91" s="3" t="s">
        <v>400</v>
      </c>
      <c r="F91" s="3" t="s">
        <v>26</v>
      </c>
      <c r="G91" s="3" t="s">
        <v>35</v>
      </c>
      <c r="H91" s="3">
        <v>4000</v>
      </c>
      <c r="I91" s="3">
        <v>0</v>
      </c>
      <c r="J91" s="3" t="s">
        <v>28</v>
      </c>
      <c r="K91" s="3" t="s">
        <v>10</v>
      </c>
      <c r="L91" s="3" t="s">
        <v>401</v>
      </c>
      <c r="M91" s="3" t="s">
        <v>402</v>
      </c>
      <c r="N91" s="11">
        <v>15</v>
      </c>
      <c r="O91" s="11">
        <v>15</v>
      </c>
      <c r="P91" s="11">
        <v>15</v>
      </c>
      <c r="Q91" s="11">
        <v>15</v>
      </c>
      <c r="R91" s="11">
        <v>15</v>
      </c>
      <c r="S91" s="3" t="s">
        <v>50</v>
      </c>
      <c r="T91" s="3" t="s">
        <v>216</v>
      </c>
      <c r="U91" s="3" t="s">
        <v>154</v>
      </c>
      <c r="V91" s="3"/>
      <c r="W91" s="3"/>
    </row>
    <row r="92" spans="1:26" x14ac:dyDescent="0.3">
      <c r="A92" s="3">
        <v>27</v>
      </c>
      <c r="B92" s="3" t="s">
        <v>23</v>
      </c>
      <c r="C92" s="3" t="s">
        <v>398</v>
      </c>
      <c r="D92" s="3" t="s">
        <v>403</v>
      </c>
      <c r="E92" s="3">
        <v>45323</v>
      </c>
      <c r="F92" s="3" t="s">
        <v>26</v>
      </c>
      <c r="G92" s="3" t="s">
        <v>35</v>
      </c>
      <c r="H92" s="3">
        <v>4000</v>
      </c>
      <c r="I92" s="3">
        <v>0</v>
      </c>
      <c r="J92" s="3" t="s">
        <v>28</v>
      </c>
      <c r="K92" s="3" t="s">
        <v>10</v>
      </c>
      <c r="L92" s="3" t="s">
        <v>404</v>
      </c>
      <c r="M92" s="3" t="s">
        <v>402</v>
      </c>
      <c r="N92" s="4">
        <v>20</v>
      </c>
      <c r="O92" s="4">
        <v>20</v>
      </c>
      <c r="P92" s="4">
        <v>20</v>
      </c>
      <c r="Q92" s="4">
        <v>20</v>
      </c>
      <c r="R92" s="4">
        <v>20</v>
      </c>
      <c r="S92" s="3" t="s">
        <v>50</v>
      </c>
      <c r="T92" s="3" t="s">
        <v>216</v>
      </c>
      <c r="U92" s="3" t="s">
        <v>306</v>
      </c>
      <c r="V92" s="3"/>
      <c r="W92" s="3"/>
    </row>
    <row r="93" spans="1:26" x14ac:dyDescent="0.3">
      <c r="A93" s="3">
        <v>27</v>
      </c>
      <c r="B93" s="3" t="s">
        <v>23</v>
      </c>
      <c r="C93" s="3" t="s">
        <v>280</v>
      </c>
      <c r="D93" s="3" t="s">
        <v>405</v>
      </c>
      <c r="E93" s="3" t="s">
        <v>406</v>
      </c>
      <c r="F93" s="3" t="s">
        <v>26</v>
      </c>
      <c r="G93" s="3" t="s">
        <v>27</v>
      </c>
      <c r="H93" s="3">
        <v>4000</v>
      </c>
      <c r="I93" s="3">
        <v>0</v>
      </c>
      <c r="J93" s="3" t="s">
        <v>28</v>
      </c>
      <c r="K93" s="3" t="s">
        <v>10</v>
      </c>
      <c r="L93" s="3" t="s">
        <v>407</v>
      </c>
      <c r="M93" s="3" t="s">
        <v>402</v>
      </c>
      <c r="N93" s="4">
        <v>37</v>
      </c>
      <c r="O93" s="4">
        <v>37</v>
      </c>
      <c r="P93" s="4">
        <v>37</v>
      </c>
      <c r="Q93" s="4">
        <v>37</v>
      </c>
      <c r="R93" s="4">
        <v>37</v>
      </c>
      <c r="S93" s="3" t="s">
        <v>387</v>
      </c>
      <c r="T93" s="3" t="s">
        <v>24</v>
      </c>
      <c r="U93" s="3" t="s">
        <v>408</v>
      </c>
      <c r="V93" s="3" t="s">
        <v>409</v>
      </c>
      <c r="W93" s="3" t="s">
        <v>410</v>
      </c>
    </row>
    <row r="94" spans="1:26" x14ac:dyDescent="0.3">
      <c r="A94" s="3">
        <v>27</v>
      </c>
      <c r="B94" s="3" t="s">
        <v>23</v>
      </c>
      <c r="C94" s="3" t="s">
        <v>26</v>
      </c>
      <c r="D94" s="3" t="s">
        <v>411</v>
      </c>
      <c r="E94" s="3" t="s">
        <v>412</v>
      </c>
      <c r="F94" s="3" t="s">
        <v>26</v>
      </c>
      <c r="G94" s="3" t="s">
        <v>291</v>
      </c>
      <c r="H94" s="3">
        <v>4000</v>
      </c>
      <c r="I94" s="3">
        <v>0</v>
      </c>
      <c r="J94" s="3" t="s">
        <v>28</v>
      </c>
      <c r="K94" s="3" t="s">
        <v>10</v>
      </c>
      <c r="L94" s="3" t="s">
        <v>413</v>
      </c>
      <c r="M94" s="3" t="s">
        <v>414</v>
      </c>
      <c r="N94" s="4">
        <v>65</v>
      </c>
      <c r="O94" s="4">
        <v>65</v>
      </c>
      <c r="P94" s="4">
        <v>70</v>
      </c>
      <c r="Q94" s="4">
        <v>70</v>
      </c>
      <c r="R94" s="4">
        <v>70</v>
      </c>
      <c r="S94" s="3" t="s">
        <v>50</v>
      </c>
      <c r="T94" s="3" t="s">
        <v>415</v>
      </c>
      <c r="U94" s="3"/>
      <c r="V94" s="3" t="s">
        <v>274</v>
      </c>
      <c r="W94" s="3"/>
    </row>
    <row r="95" spans="1:26" x14ac:dyDescent="0.3">
      <c r="A95" s="3">
        <v>27</v>
      </c>
      <c r="B95" s="3" t="s">
        <v>23</v>
      </c>
      <c r="C95" s="3" t="s">
        <v>280</v>
      </c>
      <c r="D95" s="3" t="s">
        <v>416</v>
      </c>
      <c r="E95" s="3" t="s">
        <v>417</v>
      </c>
      <c r="F95" s="3"/>
      <c r="G95" s="3"/>
      <c r="H95" s="3">
        <v>4000</v>
      </c>
      <c r="I95" s="3">
        <v>0</v>
      </c>
      <c r="J95" s="3" t="s">
        <v>28</v>
      </c>
      <c r="K95" s="3" t="s">
        <v>10</v>
      </c>
      <c r="L95" s="3" t="s">
        <v>416</v>
      </c>
      <c r="M95" s="3" t="s">
        <v>418</v>
      </c>
      <c r="N95" s="4">
        <v>120</v>
      </c>
      <c r="O95" s="4">
        <v>60</v>
      </c>
      <c r="P95" s="4">
        <v>0</v>
      </c>
      <c r="Q95" s="4">
        <v>0</v>
      </c>
      <c r="R95" s="4">
        <v>0</v>
      </c>
      <c r="S95" s="3" t="s">
        <v>50</v>
      </c>
      <c r="T95" s="3" t="s">
        <v>24</v>
      </c>
      <c r="U95" s="3"/>
      <c r="V95" s="3"/>
      <c r="W95" s="3"/>
    </row>
    <row r="96" spans="1:26" x14ac:dyDescent="0.3">
      <c r="A96" s="12">
        <v>27</v>
      </c>
      <c r="B96" s="12" t="s">
        <v>419</v>
      </c>
      <c r="C96" s="12" t="s">
        <v>420</v>
      </c>
      <c r="D96" s="12" t="s">
        <v>420</v>
      </c>
      <c r="E96" s="12" t="s">
        <v>420</v>
      </c>
      <c r="F96" s="13" t="s">
        <v>420</v>
      </c>
      <c r="G96" s="12" t="s">
        <v>420</v>
      </c>
      <c r="H96" s="12">
        <v>4010</v>
      </c>
      <c r="I96" s="12">
        <v>0</v>
      </c>
      <c r="J96" s="13" t="s">
        <v>28</v>
      </c>
      <c r="K96" s="13" t="s">
        <v>243</v>
      </c>
      <c r="L96" s="12" t="s">
        <v>421</v>
      </c>
      <c r="M96" s="12" t="s">
        <v>422</v>
      </c>
      <c r="N96" s="14">
        <v>6993</v>
      </c>
      <c r="O96" s="14">
        <v>6993</v>
      </c>
      <c r="P96" s="14">
        <v>6993</v>
      </c>
      <c r="Q96" s="14">
        <v>6993</v>
      </c>
      <c r="R96" s="13">
        <v>0</v>
      </c>
      <c r="S96" s="12" t="s">
        <v>50</v>
      </c>
      <c r="T96" s="12"/>
      <c r="U96" s="12"/>
      <c r="V96" s="12"/>
      <c r="W96" s="12"/>
      <c r="X96" s="7"/>
      <c r="Y96" s="7"/>
      <c r="Z96" s="7"/>
    </row>
    <row r="97" spans="1:26" x14ac:dyDescent="0.3">
      <c r="A97" s="12">
        <v>27</v>
      </c>
      <c r="B97" s="12" t="s">
        <v>419</v>
      </c>
      <c r="C97" s="12" t="s">
        <v>420</v>
      </c>
      <c r="D97" s="12" t="s">
        <v>420</v>
      </c>
      <c r="E97" s="12" t="s">
        <v>420</v>
      </c>
      <c r="F97" s="13" t="s">
        <v>420</v>
      </c>
      <c r="G97" s="12" t="s">
        <v>420</v>
      </c>
      <c r="H97" s="12">
        <v>4010</v>
      </c>
      <c r="I97" s="12">
        <v>0</v>
      </c>
      <c r="J97" s="13" t="s">
        <v>28</v>
      </c>
      <c r="K97" s="13" t="s">
        <v>243</v>
      </c>
      <c r="L97" s="12" t="s">
        <v>421</v>
      </c>
      <c r="M97" s="12" t="s">
        <v>423</v>
      </c>
      <c r="N97" s="14"/>
      <c r="O97" s="14"/>
      <c r="P97" s="14"/>
      <c r="Q97" s="14"/>
      <c r="R97" s="13">
        <v>0</v>
      </c>
      <c r="S97" s="12" t="s">
        <v>50</v>
      </c>
      <c r="T97" s="12"/>
      <c r="U97" s="12"/>
      <c r="V97" s="12"/>
      <c r="W97" s="12"/>
      <c r="X97" s="7"/>
      <c r="Y97" s="7"/>
      <c r="Z97" s="7"/>
    </row>
    <row r="98" spans="1:26" x14ac:dyDescent="0.3">
      <c r="A98" s="12">
        <v>27</v>
      </c>
      <c r="B98" s="12" t="s">
        <v>419</v>
      </c>
      <c r="C98" s="12" t="s">
        <v>420</v>
      </c>
      <c r="D98" s="12" t="s">
        <v>420</v>
      </c>
      <c r="E98" s="12" t="s">
        <v>420</v>
      </c>
      <c r="F98" s="13" t="s">
        <v>420</v>
      </c>
      <c r="G98" s="12" t="s">
        <v>420</v>
      </c>
      <c r="H98" s="12">
        <v>4010</v>
      </c>
      <c r="I98" s="12">
        <v>0</v>
      </c>
      <c r="J98" s="13" t="s">
        <v>28</v>
      </c>
      <c r="K98" s="13" t="s">
        <v>243</v>
      </c>
      <c r="L98" s="12" t="s">
        <v>421</v>
      </c>
      <c r="M98" s="12" t="s">
        <v>424</v>
      </c>
      <c r="N98" s="14">
        <v>938</v>
      </c>
      <c r="O98" s="14">
        <v>938</v>
      </c>
      <c r="P98" s="14">
        <v>938</v>
      </c>
      <c r="Q98" s="14">
        <v>938</v>
      </c>
      <c r="R98" s="13">
        <v>0</v>
      </c>
      <c r="S98" s="12" t="s">
        <v>50</v>
      </c>
      <c r="T98" s="12"/>
      <c r="U98" s="12"/>
      <c r="V98" s="12"/>
      <c r="W98" s="12"/>
      <c r="X98" s="7"/>
      <c r="Y98" s="7"/>
      <c r="Z98" s="7"/>
    </row>
    <row r="99" spans="1:26" x14ac:dyDescent="0.3">
      <c r="A99" s="12">
        <v>27</v>
      </c>
      <c r="B99" s="12" t="s">
        <v>419</v>
      </c>
      <c r="C99" s="12" t="s">
        <v>420</v>
      </c>
      <c r="D99" s="12" t="s">
        <v>420</v>
      </c>
      <c r="E99" s="12" t="s">
        <v>420</v>
      </c>
      <c r="F99" s="13" t="s">
        <v>420</v>
      </c>
      <c r="G99" s="12" t="s">
        <v>420</v>
      </c>
      <c r="H99" s="12">
        <v>4020</v>
      </c>
      <c r="I99" s="12">
        <v>0</v>
      </c>
      <c r="J99" s="13" t="s">
        <v>28</v>
      </c>
      <c r="K99" s="13" t="s">
        <v>243</v>
      </c>
      <c r="L99" s="12" t="s">
        <v>425</v>
      </c>
      <c r="M99" s="12" t="s">
        <v>425</v>
      </c>
      <c r="N99" s="14">
        <v>64551</v>
      </c>
      <c r="O99" s="14">
        <v>64551</v>
      </c>
      <c r="P99" s="14">
        <v>64551</v>
      </c>
      <c r="Q99" s="14">
        <v>64551</v>
      </c>
      <c r="R99" s="13">
        <v>0</v>
      </c>
      <c r="S99" s="12" t="s">
        <v>50</v>
      </c>
      <c r="T99" s="12"/>
      <c r="U99" s="12"/>
      <c r="V99" s="12"/>
      <c r="W99" s="12"/>
      <c r="X99" s="7"/>
      <c r="Y99" s="7"/>
      <c r="Z99" s="7"/>
    </row>
    <row r="100" spans="1:26" x14ac:dyDescent="0.3">
      <c r="A100" s="12">
        <v>27</v>
      </c>
      <c r="B100" s="12" t="s">
        <v>419</v>
      </c>
      <c r="C100" s="12" t="s">
        <v>420</v>
      </c>
      <c r="D100" s="12" t="s">
        <v>420</v>
      </c>
      <c r="E100" s="12" t="s">
        <v>420</v>
      </c>
      <c r="F100" s="13" t="s">
        <v>420</v>
      </c>
      <c r="G100" s="12" t="s">
        <v>420</v>
      </c>
      <c r="H100" s="12">
        <v>4020</v>
      </c>
      <c r="I100" s="12">
        <v>0</v>
      </c>
      <c r="J100" s="13" t="s">
        <v>28</v>
      </c>
      <c r="K100" s="13" t="s">
        <v>243</v>
      </c>
      <c r="L100" s="12" t="s">
        <v>425</v>
      </c>
      <c r="M100" s="12" t="s">
        <v>426</v>
      </c>
      <c r="N100" s="14"/>
      <c r="O100" s="14"/>
      <c r="P100" s="14"/>
      <c r="Q100" s="14"/>
      <c r="R100" s="13">
        <v>0</v>
      </c>
      <c r="S100" s="12" t="s">
        <v>50</v>
      </c>
      <c r="T100" s="12"/>
      <c r="U100" s="12"/>
      <c r="V100" s="12"/>
      <c r="W100" s="12"/>
      <c r="X100" s="7"/>
      <c r="Y100" s="7"/>
      <c r="Z100" s="7"/>
    </row>
    <row r="101" spans="1:26" x14ac:dyDescent="0.3">
      <c r="A101" s="12">
        <v>27</v>
      </c>
      <c r="B101" s="12" t="s">
        <v>419</v>
      </c>
      <c r="C101" s="12" t="s">
        <v>420</v>
      </c>
      <c r="D101" s="12" t="s">
        <v>420</v>
      </c>
      <c r="E101" s="12" t="s">
        <v>420</v>
      </c>
      <c r="F101" s="13" t="s">
        <v>420</v>
      </c>
      <c r="G101" s="12" t="s">
        <v>420</v>
      </c>
      <c r="H101" s="12">
        <v>4040</v>
      </c>
      <c r="I101" s="12">
        <v>0</v>
      </c>
      <c r="J101" s="13" t="s">
        <v>28</v>
      </c>
      <c r="K101" s="13" t="s">
        <v>243</v>
      </c>
      <c r="L101" s="12" t="s">
        <v>427</v>
      </c>
      <c r="M101" s="12" t="s">
        <v>428</v>
      </c>
      <c r="N101" s="14">
        <v>577</v>
      </c>
      <c r="O101" s="14">
        <v>594</v>
      </c>
      <c r="P101" s="14">
        <v>594</v>
      </c>
      <c r="Q101" s="14">
        <v>594</v>
      </c>
      <c r="R101" s="13">
        <v>0</v>
      </c>
      <c r="S101" s="12" t="s">
        <v>50</v>
      </c>
      <c r="T101" s="12"/>
      <c r="U101" s="12"/>
      <c r="V101" s="12"/>
      <c r="W101" s="12"/>
      <c r="X101" s="7"/>
      <c r="Y101" s="7"/>
      <c r="Z101" s="7"/>
    </row>
    <row r="102" spans="1:26" x14ac:dyDescent="0.3">
      <c r="A102" s="12">
        <v>27</v>
      </c>
      <c r="B102" s="12" t="s">
        <v>419</v>
      </c>
      <c r="C102" s="12" t="s">
        <v>420</v>
      </c>
      <c r="D102" s="12" t="s">
        <v>420</v>
      </c>
      <c r="E102" s="12" t="s">
        <v>420</v>
      </c>
      <c r="F102" s="13" t="s">
        <v>420</v>
      </c>
      <c r="G102" s="12" t="s">
        <v>420</v>
      </c>
      <c r="H102" s="12">
        <v>4040</v>
      </c>
      <c r="I102" s="12">
        <v>0</v>
      </c>
      <c r="J102" s="13" t="s">
        <v>28</v>
      </c>
      <c r="K102" s="13" t="s">
        <v>243</v>
      </c>
      <c r="L102" s="12" t="s">
        <v>427</v>
      </c>
      <c r="M102" s="12" t="s">
        <v>429</v>
      </c>
      <c r="N102" s="14">
        <v>5271</v>
      </c>
      <c r="O102" s="14">
        <v>5418</v>
      </c>
      <c r="P102" s="14">
        <v>5418</v>
      </c>
      <c r="Q102" s="14">
        <v>5418</v>
      </c>
      <c r="R102" s="13">
        <v>0</v>
      </c>
      <c r="S102" s="12" t="s">
        <v>50</v>
      </c>
      <c r="T102" s="12"/>
      <c r="U102" s="12"/>
      <c r="V102" s="12"/>
      <c r="W102" s="12"/>
      <c r="X102" s="7"/>
      <c r="Y102" s="7"/>
      <c r="Z102" s="7"/>
    </row>
    <row r="103" spans="1:26" x14ac:dyDescent="0.3">
      <c r="A103" s="12">
        <v>27</v>
      </c>
      <c r="B103" s="12" t="s">
        <v>419</v>
      </c>
      <c r="C103" s="12" t="s">
        <v>420</v>
      </c>
      <c r="D103" s="12" t="s">
        <v>420</v>
      </c>
      <c r="E103" s="12" t="s">
        <v>420</v>
      </c>
      <c r="F103" s="13" t="s">
        <v>420</v>
      </c>
      <c r="G103" s="12" t="s">
        <v>420</v>
      </c>
      <c r="H103" s="12">
        <v>4050</v>
      </c>
      <c r="I103" s="12">
        <v>0</v>
      </c>
      <c r="J103" s="13" t="s">
        <v>28</v>
      </c>
      <c r="K103" s="13" t="s">
        <v>243</v>
      </c>
      <c r="L103" s="12" t="s">
        <v>430</v>
      </c>
      <c r="M103" s="12" t="s">
        <v>430</v>
      </c>
      <c r="N103" s="14">
        <v>899</v>
      </c>
      <c r="O103" s="14">
        <v>899</v>
      </c>
      <c r="P103" s="14">
        <v>899</v>
      </c>
      <c r="Q103" s="14">
        <v>899</v>
      </c>
      <c r="R103" s="13">
        <v>0</v>
      </c>
      <c r="S103" s="12" t="s">
        <v>50</v>
      </c>
      <c r="T103" s="12"/>
      <c r="U103" s="12"/>
      <c r="V103" s="12"/>
      <c r="W103" s="12"/>
      <c r="X103" s="7"/>
      <c r="Y103" s="7"/>
      <c r="Z103" s="7"/>
    </row>
    <row r="104" spans="1:26" x14ac:dyDescent="0.3">
      <c r="A104" s="12">
        <v>27</v>
      </c>
      <c r="B104" s="12" t="s">
        <v>419</v>
      </c>
      <c r="C104" s="12" t="s">
        <v>420</v>
      </c>
      <c r="D104" s="12" t="s">
        <v>420</v>
      </c>
      <c r="E104" s="12" t="s">
        <v>420</v>
      </c>
      <c r="F104" s="13" t="s">
        <v>420</v>
      </c>
      <c r="G104" s="12" t="s">
        <v>420</v>
      </c>
      <c r="H104" s="12">
        <v>4070</v>
      </c>
      <c r="I104" s="12">
        <v>0</v>
      </c>
      <c r="J104" s="13" t="s">
        <v>28</v>
      </c>
      <c r="K104" s="13" t="s">
        <v>243</v>
      </c>
      <c r="L104" s="12" t="s">
        <v>431</v>
      </c>
      <c r="M104" s="12" t="s">
        <v>431</v>
      </c>
      <c r="N104" s="14">
        <v>72</v>
      </c>
      <c r="O104" s="14">
        <v>76</v>
      </c>
      <c r="P104" s="14">
        <v>76</v>
      </c>
      <c r="Q104" s="14">
        <v>76</v>
      </c>
      <c r="R104" s="13">
        <v>0</v>
      </c>
      <c r="S104" s="12" t="s">
        <v>50</v>
      </c>
      <c r="T104" s="12"/>
      <c r="U104" s="12"/>
      <c r="V104" s="12"/>
      <c r="W104" s="12"/>
      <c r="X104" s="7"/>
      <c r="Y104" s="7"/>
      <c r="Z104" s="7"/>
    </row>
    <row r="105" spans="1:26" x14ac:dyDescent="0.3">
      <c r="A105" s="15">
        <v>27</v>
      </c>
      <c r="B105" s="15" t="s">
        <v>419</v>
      </c>
      <c r="C105" s="15" t="s">
        <v>420</v>
      </c>
      <c r="D105" s="15" t="s">
        <v>420</v>
      </c>
      <c r="E105" s="15" t="s">
        <v>420</v>
      </c>
      <c r="F105" s="16" t="s">
        <v>420</v>
      </c>
      <c r="G105" s="15" t="s">
        <v>420</v>
      </c>
      <c r="H105" s="15">
        <v>4110</v>
      </c>
      <c r="I105" s="15">
        <v>0</v>
      </c>
      <c r="J105" s="16" t="s">
        <v>28</v>
      </c>
      <c r="K105" s="16" t="s">
        <v>243</v>
      </c>
      <c r="L105" s="15" t="s">
        <v>432</v>
      </c>
      <c r="M105" s="15" t="s">
        <v>433</v>
      </c>
      <c r="N105" s="17">
        <v>13465</v>
      </c>
      <c r="O105" s="17">
        <v>13493</v>
      </c>
      <c r="P105" s="17">
        <v>13493</v>
      </c>
      <c r="Q105" s="17">
        <v>13493</v>
      </c>
      <c r="R105" s="16">
        <v>0</v>
      </c>
      <c r="S105" s="15" t="s">
        <v>50</v>
      </c>
      <c r="T105" s="15"/>
      <c r="U105" s="15"/>
      <c r="V105" s="15"/>
      <c r="W105" s="15"/>
      <c r="X105" s="8"/>
      <c r="Y105" s="8"/>
      <c r="Z105" s="8"/>
    </row>
    <row r="106" spans="1:26" x14ac:dyDescent="0.3">
      <c r="A106" s="15">
        <v>27</v>
      </c>
      <c r="B106" s="15" t="s">
        <v>419</v>
      </c>
      <c r="C106" s="15" t="s">
        <v>420</v>
      </c>
      <c r="D106" s="15" t="s">
        <v>420</v>
      </c>
      <c r="E106" s="15" t="s">
        <v>420</v>
      </c>
      <c r="F106" s="16" t="s">
        <v>420</v>
      </c>
      <c r="G106" s="15" t="s">
        <v>420</v>
      </c>
      <c r="H106" s="15">
        <v>4110</v>
      </c>
      <c r="I106" s="15">
        <v>0</v>
      </c>
      <c r="J106" s="16" t="s">
        <v>28</v>
      </c>
      <c r="K106" s="16" t="s">
        <v>243</v>
      </c>
      <c r="L106" s="15" t="s">
        <v>432</v>
      </c>
      <c r="M106" s="15" t="s">
        <v>434</v>
      </c>
      <c r="N106" s="17"/>
      <c r="O106" s="17"/>
      <c r="P106" s="17"/>
      <c r="Q106" s="17"/>
      <c r="R106" s="16">
        <v>0</v>
      </c>
      <c r="S106" s="15" t="s">
        <v>50</v>
      </c>
      <c r="T106" s="15"/>
      <c r="U106" s="15"/>
      <c r="V106" s="15"/>
      <c r="W106" s="15"/>
      <c r="X106" s="8"/>
      <c r="Y106" s="8"/>
      <c r="Z106" s="8"/>
    </row>
    <row r="107" spans="1:26" x14ac:dyDescent="0.3">
      <c r="A107" s="15">
        <v>27</v>
      </c>
      <c r="B107" s="15" t="s">
        <v>419</v>
      </c>
      <c r="C107" s="15" t="s">
        <v>420</v>
      </c>
      <c r="D107" s="15" t="s">
        <v>420</v>
      </c>
      <c r="E107" s="15" t="s">
        <v>420</v>
      </c>
      <c r="F107" s="16" t="s">
        <v>420</v>
      </c>
      <c r="G107" s="15" t="s">
        <v>420</v>
      </c>
      <c r="H107" s="15">
        <v>4120</v>
      </c>
      <c r="I107" s="15">
        <v>0</v>
      </c>
      <c r="J107" s="16" t="s">
        <v>28</v>
      </c>
      <c r="K107" s="16" t="s">
        <v>243</v>
      </c>
      <c r="L107" s="15" t="s">
        <v>435</v>
      </c>
      <c r="M107" s="15" t="s">
        <v>435</v>
      </c>
      <c r="N107" s="17">
        <v>1919</v>
      </c>
      <c r="O107" s="17">
        <v>1923</v>
      </c>
      <c r="P107" s="17">
        <v>1923</v>
      </c>
      <c r="Q107" s="17">
        <v>1923</v>
      </c>
      <c r="R107" s="16">
        <v>0</v>
      </c>
      <c r="S107" s="15" t="s">
        <v>50</v>
      </c>
      <c r="T107" s="15"/>
      <c r="U107" s="15"/>
      <c r="V107" s="15"/>
      <c r="W107" s="15"/>
      <c r="X107" s="8"/>
      <c r="Y107" s="8"/>
      <c r="Z107" s="8"/>
    </row>
    <row r="108" spans="1:26" x14ac:dyDescent="0.3">
      <c r="A108" s="15">
        <v>27</v>
      </c>
      <c r="B108" s="15" t="s">
        <v>419</v>
      </c>
      <c r="C108" s="15" t="s">
        <v>420</v>
      </c>
      <c r="D108" s="15" t="s">
        <v>420</v>
      </c>
      <c r="E108" s="15" t="s">
        <v>420</v>
      </c>
      <c r="F108" s="16" t="s">
        <v>420</v>
      </c>
      <c r="G108" s="15" t="s">
        <v>420</v>
      </c>
      <c r="H108" s="15">
        <v>4120</v>
      </c>
      <c r="I108" s="15">
        <v>0</v>
      </c>
      <c r="J108" s="16" t="s">
        <v>28</v>
      </c>
      <c r="K108" s="16" t="s">
        <v>243</v>
      </c>
      <c r="L108" s="15" t="s">
        <v>435</v>
      </c>
      <c r="M108" s="15" t="s">
        <v>436</v>
      </c>
      <c r="N108" s="17"/>
      <c r="O108" s="17"/>
      <c r="P108" s="17"/>
      <c r="Q108" s="17"/>
      <c r="R108" s="16">
        <v>0</v>
      </c>
      <c r="S108" s="15" t="s">
        <v>50</v>
      </c>
      <c r="T108" s="15"/>
      <c r="U108" s="15"/>
      <c r="V108" s="15"/>
      <c r="W108" s="15"/>
      <c r="X108" s="8"/>
      <c r="Y108" s="8"/>
      <c r="Z108" s="8"/>
    </row>
    <row r="109" spans="1:26" x14ac:dyDescent="0.3">
      <c r="A109" s="15">
        <v>27</v>
      </c>
      <c r="B109" s="15" t="s">
        <v>419</v>
      </c>
      <c r="C109" s="15" t="s">
        <v>420</v>
      </c>
      <c r="D109" s="15" t="s">
        <v>420</v>
      </c>
      <c r="E109" s="15" t="s">
        <v>420</v>
      </c>
      <c r="F109" s="16"/>
      <c r="G109" s="15" t="s">
        <v>420</v>
      </c>
      <c r="H109" s="15">
        <v>4610</v>
      </c>
      <c r="I109" s="15">
        <v>0</v>
      </c>
      <c r="J109" s="16" t="s">
        <v>28</v>
      </c>
      <c r="K109" s="16"/>
      <c r="L109" s="15" t="s">
        <v>437</v>
      </c>
      <c r="M109" s="15" t="s">
        <v>437</v>
      </c>
      <c r="N109" s="17">
        <v>1</v>
      </c>
      <c r="O109" s="17">
        <v>1</v>
      </c>
      <c r="P109" s="17">
        <v>1</v>
      </c>
      <c r="Q109" s="17">
        <v>1</v>
      </c>
      <c r="R109" s="16"/>
      <c r="S109" s="15" t="s">
        <v>50</v>
      </c>
      <c r="T109" s="15"/>
      <c r="U109" s="15"/>
      <c r="V109" s="15"/>
      <c r="W109" s="15"/>
      <c r="X109" s="8"/>
      <c r="Y109" s="8"/>
      <c r="Z109" s="8"/>
    </row>
    <row r="110" spans="1:26" x14ac:dyDescent="0.3">
      <c r="A110" s="15">
        <v>27</v>
      </c>
      <c r="B110" s="15" t="s">
        <v>419</v>
      </c>
      <c r="C110" s="15" t="s">
        <v>420</v>
      </c>
      <c r="D110" s="15" t="s">
        <v>420</v>
      </c>
      <c r="E110" s="15" t="s">
        <v>420</v>
      </c>
      <c r="F110" s="16" t="s">
        <v>420</v>
      </c>
      <c r="G110" s="15" t="s">
        <v>420</v>
      </c>
      <c r="H110" s="15">
        <v>4710</v>
      </c>
      <c r="I110" s="15">
        <v>0</v>
      </c>
      <c r="J110" s="16" t="s">
        <v>28</v>
      </c>
      <c r="K110" s="16" t="s">
        <v>243</v>
      </c>
      <c r="L110" s="15" t="s">
        <v>438</v>
      </c>
      <c r="M110" s="15" t="s">
        <v>438</v>
      </c>
      <c r="N110" s="17">
        <f>863+95</f>
        <v>958</v>
      </c>
      <c r="O110" s="17">
        <f>863+100</f>
        <v>963</v>
      </c>
      <c r="P110" s="17">
        <f>863+100</f>
        <v>963</v>
      </c>
      <c r="Q110" s="17">
        <f>863+100</f>
        <v>963</v>
      </c>
      <c r="R110" s="16">
        <v>0</v>
      </c>
      <c r="S110" s="15" t="s">
        <v>50</v>
      </c>
      <c r="T110" s="15"/>
      <c r="U110" s="15"/>
      <c r="V110" s="15"/>
      <c r="W110" s="15"/>
      <c r="X110" s="8"/>
      <c r="Y110" s="8"/>
      <c r="Z110" s="8"/>
    </row>
    <row r="111" spans="1:26" x14ac:dyDescent="0.3">
      <c r="A111" s="15">
        <v>27</v>
      </c>
      <c r="B111" s="15" t="s">
        <v>419</v>
      </c>
      <c r="C111" s="15" t="s">
        <v>420</v>
      </c>
      <c r="D111" s="15" t="s">
        <v>420</v>
      </c>
      <c r="E111" s="15" t="s">
        <v>420</v>
      </c>
      <c r="F111" s="16" t="s">
        <v>420</v>
      </c>
      <c r="G111" s="15" t="s">
        <v>420</v>
      </c>
      <c r="H111" s="15">
        <v>4140</v>
      </c>
      <c r="I111" s="15">
        <v>0</v>
      </c>
      <c r="J111" s="16" t="s">
        <v>28</v>
      </c>
      <c r="K111" s="16" t="s">
        <v>243</v>
      </c>
      <c r="L111" s="15" t="s">
        <v>439</v>
      </c>
      <c r="M111" s="15" t="s">
        <v>440</v>
      </c>
      <c r="N111" s="17"/>
      <c r="O111" s="17"/>
      <c r="P111" s="17"/>
      <c r="Q111" s="17"/>
      <c r="R111" s="16">
        <v>0</v>
      </c>
      <c r="S111" s="15" t="s">
        <v>50</v>
      </c>
      <c r="T111" s="15"/>
      <c r="U111" s="15"/>
      <c r="V111" s="15"/>
      <c r="W111" s="15"/>
      <c r="X111" s="8"/>
      <c r="Y111" s="8"/>
      <c r="Z111" s="8"/>
    </row>
    <row r="112" spans="1:26" x14ac:dyDescent="0.3">
      <c r="A112" s="15">
        <v>27</v>
      </c>
      <c r="B112" s="15" t="s">
        <v>419</v>
      </c>
      <c r="C112" s="15" t="s">
        <v>420</v>
      </c>
      <c r="D112" s="15" t="s">
        <v>420</v>
      </c>
      <c r="E112" s="15" t="s">
        <v>420</v>
      </c>
      <c r="F112" s="16" t="s">
        <v>420</v>
      </c>
      <c r="G112" s="15" t="s">
        <v>420</v>
      </c>
      <c r="H112" s="15">
        <v>4170</v>
      </c>
      <c r="I112" s="15">
        <v>0</v>
      </c>
      <c r="J112" s="16" t="s">
        <v>28</v>
      </c>
      <c r="K112" s="16" t="s">
        <v>243</v>
      </c>
      <c r="L112" s="15" t="s">
        <v>441</v>
      </c>
      <c r="M112" s="15" t="s">
        <v>441</v>
      </c>
      <c r="N112" s="17">
        <v>100</v>
      </c>
      <c r="O112" s="17">
        <v>100</v>
      </c>
      <c r="P112" s="17">
        <v>100</v>
      </c>
      <c r="Q112" s="17">
        <v>100</v>
      </c>
      <c r="R112" s="16">
        <v>0</v>
      </c>
      <c r="S112" s="15" t="s">
        <v>50</v>
      </c>
      <c r="T112" s="15"/>
      <c r="U112" s="15"/>
      <c r="V112" s="15"/>
      <c r="W112" s="15"/>
      <c r="X112" s="8"/>
      <c r="Y112" s="8"/>
      <c r="Z112" s="8"/>
    </row>
    <row r="113" spans="1:26" x14ac:dyDescent="0.3">
      <c r="A113" s="15">
        <v>27</v>
      </c>
      <c r="B113" s="15" t="s">
        <v>419</v>
      </c>
      <c r="C113" s="15" t="s">
        <v>420</v>
      </c>
      <c r="D113" s="15" t="s">
        <v>420</v>
      </c>
      <c r="E113" s="15" t="s">
        <v>420</v>
      </c>
      <c r="F113" s="16" t="s">
        <v>420</v>
      </c>
      <c r="G113" s="15" t="s">
        <v>420</v>
      </c>
      <c r="H113" s="15">
        <v>4440</v>
      </c>
      <c r="I113" s="15">
        <v>0</v>
      </c>
      <c r="J113" s="16" t="s">
        <v>28</v>
      </c>
      <c r="K113" s="16" t="s">
        <v>243</v>
      </c>
      <c r="L113" s="15" t="s">
        <v>442</v>
      </c>
      <c r="M113" s="15" t="s">
        <v>442</v>
      </c>
      <c r="N113" s="17">
        <v>1300</v>
      </c>
      <c r="O113" s="17">
        <v>1300</v>
      </c>
      <c r="P113" s="17">
        <v>1300</v>
      </c>
      <c r="Q113" s="17">
        <v>1300</v>
      </c>
      <c r="R113" s="16">
        <v>0</v>
      </c>
      <c r="S113" s="15" t="s">
        <v>50</v>
      </c>
      <c r="T113" s="15"/>
      <c r="U113" s="15"/>
      <c r="V113" s="15"/>
      <c r="W113" s="15"/>
      <c r="X113" s="8"/>
      <c r="Y113" s="8"/>
      <c r="Z113" s="8"/>
    </row>
    <row r="114" spans="1:26" x14ac:dyDescent="0.3">
      <c r="A114" s="15">
        <v>27</v>
      </c>
      <c r="B114" s="15" t="s">
        <v>419</v>
      </c>
      <c r="C114" s="15" t="s">
        <v>420</v>
      </c>
      <c r="D114" s="15" t="s">
        <v>420</v>
      </c>
      <c r="E114" s="15" t="s">
        <v>420</v>
      </c>
      <c r="F114" s="16" t="s">
        <v>420</v>
      </c>
      <c r="G114" s="15" t="s">
        <v>420</v>
      </c>
      <c r="H114" s="15">
        <v>4440</v>
      </c>
      <c r="I114" s="15">
        <v>0</v>
      </c>
      <c r="J114" s="16" t="s">
        <v>28</v>
      </c>
      <c r="K114" s="16" t="s">
        <v>243</v>
      </c>
      <c r="L114" s="15" t="s">
        <v>442</v>
      </c>
      <c r="M114" s="15" t="s">
        <v>443</v>
      </c>
      <c r="N114" s="17"/>
      <c r="O114" s="17"/>
      <c r="P114" s="17"/>
      <c r="Q114" s="17"/>
      <c r="R114" s="16">
        <v>0</v>
      </c>
      <c r="S114" s="15" t="s">
        <v>50</v>
      </c>
      <c r="T114" s="15"/>
      <c r="U114" s="15"/>
      <c r="V114" s="15"/>
      <c r="W114" s="15"/>
      <c r="X114" s="8"/>
      <c r="Y114" s="8"/>
      <c r="Z114" s="8"/>
    </row>
    <row r="115" spans="1:26" x14ac:dyDescent="0.3">
      <c r="A115" s="18">
        <v>27</v>
      </c>
      <c r="B115" s="18" t="s">
        <v>419</v>
      </c>
      <c r="C115" s="18" t="s">
        <v>420</v>
      </c>
      <c r="D115" s="18" t="s">
        <v>420</v>
      </c>
      <c r="E115" s="18" t="s">
        <v>420</v>
      </c>
      <c r="F115" s="19" t="s">
        <v>420</v>
      </c>
      <c r="G115" s="18" t="s">
        <v>420</v>
      </c>
      <c r="H115" s="18">
        <v>4000</v>
      </c>
      <c r="I115" s="18">
        <v>0</v>
      </c>
      <c r="J115" s="19" t="s">
        <v>28</v>
      </c>
      <c r="K115" s="19" t="s">
        <v>243</v>
      </c>
      <c r="L115" s="18" t="s">
        <v>444</v>
      </c>
      <c r="M115" s="18" t="s">
        <v>445</v>
      </c>
      <c r="N115" s="20">
        <v>7305</v>
      </c>
      <c r="O115" s="19">
        <v>0</v>
      </c>
      <c r="P115" s="19">
        <v>0</v>
      </c>
      <c r="Q115" s="19">
        <v>0</v>
      </c>
      <c r="R115" s="16">
        <v>0</v>
      </c>
      <c r="S115" s="15" t="s">
        <v>50</v>
      </c>
      <c r="T115" s="15" t="s">
        <v>446</v>
      </c>
      <c r="U115" s="15" t="s">
        <v>447</v>
      </c>
      <c r="V115" s="15" t="s">
        <v>448</v>
      </c>
      <c r="W115" s="15"/>
      <c r="X115" s="8"/>
      <c r="Y115" s="8"/>
      <c r="Z115" s="8"/>
    </row>
    <row r="116" spans="1:26" x14ac:dyDescent="0.3">
      <c r="A116" s="18">
        <v>27</v>
      </c>
      <c r="B116" s="18" t="s">
        <v>419</v>
      </c>
      <c r="C116" s="18" t="s">
        <v>420</v>
      </c>
      <c r="D116" s="18" t="s">
        <v>420</v>
      </c>
      <c r="E116" s="18" t="s">
        <v>420</v>
      </c>
      <c r="F116" s="19" t="s">
        <v>420</v>
      </c>
      <c r="G116" s="18" t="s">
        <v>420</v>
      </c>
      <c r="H116" s="18">
        <v>4000</v>
      </c>
      <c r="I116" s="18">
        <v>0</v>
      </c>
      <c r="J116" s="19" t="s">
        <v>28</v>
      </c>
      <c r="K116" s="19" t="s">
        <v>243</v>
      </c>
      <c r="L116" s="18" t="s">
        <v>444</v>
      </c>
      <c r="M116" s="18" t="s">
        <v>449</v>
      </c>
      <c r="N116" s="19">
        <v>90</v>
      </c>
      <c r="O116" s="19">
        <v>90</v>
      </c>
      <c r="P116" s="19">
        <v>90</v>
      </c>
      <c r="Q116" s="19">
        <v>90</v>
      </c>
      <c r="R116" s="16">
        <v>0</v>
      </c>
      <c r="S116" s="15" t="s">
        <v>50</v>
      </c>
      <c r="T116" s="15" t="s">
        <v>446</v>
      </c>
      <c r="U116" s="15" t="s">
        <v>447</v>
      </c>
      <c r="V116" s="15" t="s">
        <v>448</v>
      </c>
      <c r="W116" s="15"/>
      <c r="X116" s="8"/>
      <c r="Y116" s="8"/>
      <c r="Z116" s="8"/>
    </row>
    <row r="117" spans="1:26" x14ac:dyDescent="0.3">
      <c r="A117" s="18">
        <v>27</v>
      </c>
      <c r="B117" s="18" t="s">
        <v>419</v>
      </c>
      <c r="C117" s="18" t="s">
        <v>420</v>
      </c>
      <c r="D117" s="18" t="s">
        <v>420</v>
      </c>
      <c r="E117" s="18" t="s">
        <v>420</v>
      </c>
      <c r="F117" s="19" t="s">
        <v>420</v>
      </c>
      <c r="G117" s="18" t="s">
        <v>420</v>
      </c>
      <c r="H117" s="18">
        <v>4000</v>
      </c>
      <c r="I117" s="18">
        <v>0</v>
      </c>
      <c r="J117" s="19" t="s">
        <v>28</v>
      </c>
      <c r="K117" s="19" t="s">
        <v>243</v>
      </c>
      <c r="L117" s="18" t="s">
        <v>444</v>
      </c>
      <c r="M117" s="18" t="s">
        <v>450</v>
      </c>
      <c r="N117" s="19">
        <v>80</v>
      </c>
      <c r="O117" s="19">
        <v>80</v>
      </c>
      <c r="P117" s="19">
        <v>80</v>
      </c>
      <c r="Q117" s="19">
        <v>80</v>
      </c>
      <c r="R117" s="16">
        <v>0</v>
      </c>
      <c r="S117" s="15" t="s">
        <v>50</v>
      </c>
      <c r="T117" s="15" t="s">
        <v>446</v>
      </c>
      <c r="U117" s="15" t="s">
        <v>447</v>
      </c>
      <c r="V117" s="15" t="s">
        <v>448</v>
      </c>
      <c r="W117" s="15"/>
      <c r="X117" s="8"/>
      <c r="Y117" s="8"/>
      <c r="Z117" s="8"/>
    </row>
    <row r="118" spans="1:26" x14ac:dyDescent="0.3">
      <c r="A118" s="18">
        <v>27</v>
      </c>
      <c r="B118" s="18" t="s">
        <v>419</v>
      </c>
      <c r="C118" s="18" t="s">
        <v>420</v>
      </c>
      <c r="D118" s="18" t="s">
        <v>420</v>
      </c>
      <c r="E118" s="18" t="s">
        <v>420</v>
      </c>
      <c r="F118" s="19" t="s">
        <v>420</v>
      </c>
      <c r="G118" s="18" t="s">
        <v>420</v>
      </c>
      <c r="H118" s="18">
        <v>4000</v>
      </c>
      <c r="I118" s="18">
        <v>0</v>
      </c>
      <c r="J118" s="19" t="s">
        <v>28</v>
      </c>
      <c r="K118" s="19" t="s">
        <v>243</v>
      </c>
      <c r="L118" s="18" t="s">
        <v>444</v>
      </c>
      <c r="M118" s="18" t="s">
        <v>451</v>
      </c>
      <c r="N118" s="19">
        <v>388</v>
      </c>
      <c r="O118" s="19">
        <v>388</v>
      </c>
      <c r="P118" s="19">
        <v>388</v>
      </c>
      <c r="Q118" s="19">
        <v>388</v>
      </c>
      <c r="R118" s="16">
        <v>0</v>
      </c>
      <c r="S118" s="15" t="s">
        <v>50</v>
      </c>
      <c r="T118" s="15" t="s">
        <v>446</v>
      </c>
      <c r="U118" s="15" t="s">
        <v>447</v>
      </c>
      <c r="V118" s="15" t="s">
        <v>448</v>
      </c>
      <c r="W118" s="15"/>
      <c r="X118" s="8"/>
      <c r="Y118" s="8"/>
      <c r="Z118" s="8"/>
    </row>
    <row r="119" spans="1:26" x14ac:dyDescent="0.3">
      <c r="A119" s="18">
        <v>27</v>
      </c>
      <c r="B119" s="18" t="s">
        <v>419</v>
      </c>
      <c r="C119" s="18" t="s">
        <v>420</v>
      </c>
      <c r="D119" s="18" t="s">
        <v>420</v>
      </c>
      <c r="E119" s="18" t="s">
        <v>420</v>
      </c>
      <c r="F119" s="19" t="s">
        <v>420</v>
      </c>
      <c r="G119" s="18" t="s">
        <v>420</v>
      </c>
      <c r="H119" s="18">
        <v>4000</v>
      </c>
      <c r="I119" s="18">
        <v>0</v>
      </c>
      <c r="J119" s="19" t="s">
        <v>28</v>
      </c>
      <c r="K119" s="19" t="s">
        <v>243</v>
      </c>
      <c r="L119" s="18" t="s">
        <v>452</v>
      </c>
      <c r="M119" s="18" t="s">
        <v>453</v>
      </c>
      <c r="N119" s="19">
        <v>10</v>
      </c>
      <c r="O119" s="19">
        <v>10</v>
      </c>
      <c r="P119" s="19">
        <v>10</v>
      </c>
      <c r="Q119" s="19">
        <v>10</v>
      </c>
      <c r="R119" s="16">
        <v>0</v>
      </c>
      <c r="S119" s="15" t="s">
        <v>50</v>
      </c>
      <c r="T119" s="15" t="s">
        <v>446</v>
      </c>
      <c r="U119" s="15" t="s">
        <v>447</v>
      </c>
      <c r="V119" s="15" t="s">
        <v>448</v>
      </c>
      <c r="W119" s="15"/>
      <c r="X119" s="8"/>
      <c r="Y119" s="8"/>
      <c r="Z119" s="8"/>
    </row>
    <row r="120" spans="1:26" x14ac:dyDescent="0.3">
      <c r="A120" s="15">
        <v>27</v>
      </c>
      <c r="B120" s="15" t="s">
        <v>419</v>
      </c>
      <c r="C120" s="15" t="s">
        <v>420</v>
      </c>
      <c r="D120" s="15" t="s">
        <v>420</v>
      </c>
      <c r="E120" s="15" t="s">
        <v>420</v>
      </c>
      <c r="F120" s="16" t="s">
        <v>420</v>
      </c>
      <c r="G120" s="15"/>
      <c r="H120" s="15">
        <v>3070</v>
      </c>
      <c r="I120" s="15">
        <v>0</v>
      </c>
      <c r="J120" s="16" t="s">
        <v>28</v>
      </c>
      <c r="K120" s="16">
        <v>30</v>
      </c>
      <c r="L120" s="15" t="s">
        <v>454</v>
      </c>
      <c r="M120" s="15" t="s">
        <v>455</v>
      </c>
      <c r="N120" s="16"/>
      <c r="O120" s="16"/>
      <c r="P120" s="16"/>
      <c r="Q120" s="16"/>
      <c r="R120" s="16"/>
      <c r="S120" s="15" t="s">
        <v>50</v>
      </c>
      <c r="T120" s="15"/>
      <c r="U120" s="15"/>
      <c r="V120" s="15"/>
      <c r="W120" s="15"/>
      <c r="X120" s="8"/>
      <c r="Y120" s="8"/>
      <c r="Z120" s="8"/>
    </row>
    <row r="121" spans="1:26" x14ac:dyDescent="0.3">
      <c r="A121" s="15">
        <v>27</v>
      </c>
      <c r="B121" s="15" t="s">
        <v>419</v>
      </c>
      <c r="C121" s="15" t="s">
        <v>420</v>
      </c>
      <c r="D121" s="15" t="s">
        <v>420</v>
      </c>
      <c r="E121" s="15" t="s">
        <v>420</v>
      </c>
      <c r="F121" s="16" t="s">
        <v>420</v>
      </c>
      <c r="G121" s="15" t="s">
        <v>420</v>
      </c>
      <c r="H121" s="15">
        <v>3030</v>
      </c>
      <c r="I121" s="15">
        <v>0</v>
      </c>
      <c r="J121" s="16" t="s">
        <v>28</v>
      </c>
      <c r="K121" s="16" t="s">
        <v>243</v>
      </c>
      <c r="L121" s="15" t="s">
        <v>454</v>
      </c>
      <c r="M121" s="15" t="s">
        <v>456</v>
      </c>
      <c r="N121" s="16">
        <v>0</v>
      </c>
      <c r="O121" s="16">
        <v>0</v>
      </c>
      <c r="P121" s="16">
        <v>0</v>
      </c>
      <c r="Q121" s="16">
        <v>0</v>
      </c>
      <c r="R121" s="16">
        <v>0</v>
      </c>
      <c r="S121" s="15" t="s">
        <v>50</v>
      </c>
      <c r="T121" s="15"/>
      <c r="U121" s="15"/>
      <c r="V121" s="15"/>
      <c r="W121" s="21"/>
      <c r="X121" s="8"/>
      <c r="Y121" s="8"/>
      <c r="Z121" s="8"/>
    </row>
    <row r="122" spans="1:26" x14ac:dyDescent="0.3">
      <c r="A122" s="3">
        <v>27</v>
      </c>
      <c r="B122" s="3" t="s">
        <v>457</v>
      </c>
      <c r="C122" s="3" t="s">
        <v>458</v>
      </c>
      <c r="D122" s="3" t="s">
        <v>458</v>
      </c>
      <c r="E122" s="3" t="s">
        <v>458</v>
      </c>
      <c r="F122" s="3" t="s">
        <v>458</v>
      </c>
      <c r="G122" s="3" t="s">
        <v>458</v>
      </c>
      <c r="H122" s="3">
        <v>3020</v>
      </c>
      <c r="I122" s="3">
        <v>0</v>
      </c>
      <c r="J122" s="3" t="s">
        <v>28</v>
      </c>
      <c r="K122" s="3" t="s">
        <v>458</v>
      </c>
      <c r="L122" s="3" t="s">
        <v>459</v>
      </c>
      <c r="M122" s="3" t="s">
        <v>460</v>
      </c>
      <c r="N122" s="22">
        <v>130</v>
      </c>
      <c r="O122" s="22">
        <v>130</v>
      </c>
      <c r="P122" s="22">
        <v>130</v>
      </c>
      <c r="Q122" s="22">
        <v>130</v>
      </c>
      <c r="R122" s="22">
        <v>130</v>
      </c>
      <c r="S122" s="3" t="s">
        <v>387</v>
      </c>
      <c r="T122" s="3" t="s">
        <v>458</v>
      </c>
      <c r="U122" s="3" t="s">
        <v>461</v>
      </c>
      <c r="V122" s="3" t="s">
        <v>458</v>
      </c>
      <c r="W122" s="3"/>
    </row>
    <row r="123" spans="1:26" x14ac:dyDescent="0.3">
      <c r="A123" s="3">
        <v>27</v>
      </c>
      <c r="B123" s="3" t="s">
        <v>457</v>
      </c>
      <c r="C123" s="3" t="s">
        <v>458</v>
      </c>
      <c r="D123" s="3" t="s">
        <v>458</v>
      </c>
      <c r="E123" s="3" t="s">
        <v>458</v>
      </c>
      <c r="F123" s="3" t="s">
        <v>458</v>
      </c>
      <c r="G123" s="3" t="s">
        <v>458</v>
      </c>
      <c r="H123" s="3">
        <v>3020</v>
      </c>
      <c r="I123" s="3">
        <v>0</v>
      </c>
      <c r="J123" s="3" t="s">
        <v>28</v>
      </c>
      <c r="K123" s="3" t="s">
        <v>458</v>
      </c>
      <c r="L123" s="3" t="s">
        <v>462</v>
      </c>
      <c r="M123" s="3" t="s">
        <v>463</v>
      </c>
      <c r="N123" s="22">
        <v>130</v>
      </c>
      <c r="O123" s="22">
        <v>130</v>
      </c>
      <c r="P123" s="22">
        <v>130</v>
      </c>
      <c r="Q123" s="22">
        <v>130</v>
      </c>
      <c r="R123" s="22">
        <v>130</v>
      </c>
      <c r="S123" s="3" t="s">
        <v>387</v>
      </c>
      <c r="T123" s="3" t="s">
        <v>458</v>
      </c>
      <c r="U123" s="3" t="s">
        <v>458</v>
      </c>
      <c r="V123" s="3" t="s">
        <v>458</v>
      </c>
      <c r="W123" s="3"/>
    </row>
    <row r="124" spans="1:26" x14ac:dyDescent="0.3">
      <c r="A124" s="3">
        <v>27</v>
      </c>
      <c r="B124" s="3" t="s">
        <v>457</v>
      </c>
      <c r="C124" s="3" t="s">
        <v>458</v>
      </c>
      <c r="D124" s="3" t="s">
        <v>458</v>
      </c>
      <c r="E124" s="3" t="s">
        <v>458</v>
      </c>
      <c r="F124" s="3" t="s">
        <v>458</v>
      </c>
      <c r="G124" s="3" t="s">
        <v>458</v>
      </c>
      <c r="H124" s="23">
        <v>3020</v>
      </c>
      <c r="I124" s="3">
        <v>0</v>
      </c>
      <c r="J124" s="3" t="s">
        <v>28</v>
      </c>
      <c r="K124" s="3" t="s">
        <v>458</v>
      </c>
      <c r="L124" s="3" t="s">
        <v>464</v>
      </c>
      <c r="M124" s="3" t="s">
        <v>465</v>
      </c>
      <c r="N124" s="22">
        <v>30</v>
      </c>
      <c r="O124" s="22">
        <v>30</v>
      </c>
      <c r="P124" s="22">
        <v>30</v>
      </c>
      <c r="Q124" s="22">
        <v>30</v>
      </c>
      <c r="R124" s="22">
        <v>30</v>
      </c>
      <c r="S124" s="3" t="s">
        <v>387</v>
      </c>
      <c r="T124" s="3" t="s">
        <v>458</v>
      </c>
      <c r="U124" s="3" t="s">
        <v>458</v>
      </c>
      <c r="V124" s="3" t="s">
        <v>466</v>
      </c>
      <c r="W124" s="9" t="s">
        <v>467</v>
      </c>
    </row>
    <row r="125" spans="1:26" x14ac:dyDescent="0.3">
      <c r="A125" s="3">
        <v>27</v>
      </c>
      <c r="B125" s="3" t="s">
        <v>457</v>
      </c>
      <c r="C125" s="3" t="s">
        <v>458</v>
      </c>
      <c r="D125" s="3" t="s">
        <v>458</v>
      </c>
      <c r="E125" s="3" t="s">
        <v>458</v>
      </c>
      <c r="F125" s="3" t="s">
        <v>458</v>
      </c>
      <c r="G125" s="3" t="s">
        <v>458</v>
      </c>
      <c r="H125" s="24">
        <v>4000</v>
      </c>
      <c r="I125" s="3">
        <v>0</v>
      </c>
      <c r="J125" s="3" t="s">
        <v>28</v>
      </c>
      <c r="K125" s="3" t="s">
        <v>458</v>
      </c>
      <c r="L125" s="3" t="s">
        <v>468</v>
      </c>
      <c r="M125" s="3" t="s">
        <v>469</v>
      </c>
      <c r="N125" s="22">
        <v>90</v>
      </c>
      <c r="O125" s="22">
        <v>100</v>
      </c>
      <c r="P125" s="22">
        <v>100</v>
      </c>
      <c r="Q125" s="22">
        <v>100</v>
      </c>
      <c r="R125" s="22">
        <v>100</v>
      </c>
      <c r="S125" s="3" t="s">
        <v>387</v>
      </c>
      <c r="T125" s="3" t="s">
        <v>69</v>
      </c>
      <c r="U125" s="3" t="s">
        <v>458</v>
      </c>
      <c r="V125" s="3" t="s">
        <v>470</v>
      </c>
      <c r="W125" s="3"/>
    </row>
    <row r="126" spans="1:26" x14ac:dyDescent="0.3">
      <c r="A126" s="3">
        <v>27</v>
      </c>
      <c r="B126" s="3" t="s">
        <v>457</v>
      </c>
      <c r="C126" s="3" t="s">
        <v>458</v>
      </c>
      <c r="D126" s="3" t="s">
        <v>458</v>
      </c>
      <c r="E126" s="3" t="s">
        <v>458</v>
      </c>
      <c r="F126" s="3" t="s">
        <v>458</v>
      </c>
      <c r="G126" s="3" t="s">
        <v>458</v>
      </c>
      <c r="H126" s="3">
        <v>4170</v>
      </c>
      <c r="I126" s="3">
        <v>0</v>
      </c>
      <c r="J126" s="3" t="s">
        <v>28</v>
      </c>
      <c r="K126" s="3" t="s">
        <v>458</v>
      </c>
      <c r="L126" s="3" t="s">
        <v>471</v>
      </c>
      <c r="M126" s="3" t="s">
        <v>472</v>
      </c>
      <c r="N126" s="22">
        <v>100</v>
      </c>
      <c r="O126" s="22">
        <v>100</v>
      </c>
      <c r="P126" s="22">
        <v>100</v>
      </c>
      <c r="Q126" s="22">
        <v>100</v>
      </c>
      <c r="R126" s="22">
        <v>100</v>
      </c>
      <c r="S126" s="3" t="s">
        <v>387</v>
      </c>
      <c r="T126" s="3" t="s">
        <v>458</v>
      </c>
      <c r="U126" s="3" t="s">
        <v>458</v>
      </c>
      <c r="V126" s="3" t="s">
        <v>458</v>
      </c>
      <c r="W126" s="3"/>
    </row>
    <row r="127" spans="1:26" x14ac:dyDescent="0.3">
      <c r="A127" s="3">
        <v>27</v>
      </c>
      <c r="B127" s="3" t="s">
        <v>457</v>
      </c>
      <c r="C127" s="3" t="s">
        <v>458</v>
      </c>
      <c r="D127" s="3" t="s">
        <v>458</v>
      </c>
      <c r="E127" s="3" t="s">
        <v>458</v>
      </c>
      <c r="F127" s="3" t="s">
        <v>458</v>
      </c>
      <c r="G127" s="3" t="s">
        <v>458</v>
      </c>
      <c r="H127" s="3">
        <v>3030</v>
      </c>
      <c r="I127" s="3">
        <v>0</v>
      </c>
      <c r="J127" s="3" t="s">
        <v>28</v>
      </c>
      <c r="K127" s="3" t="s">
        <v>458</v>
      </c>
      <c r="L127" s="3" t="s">
        <v>473</v>
      </c>
      <c r="M127" s="3" t="s">
        <v>474</v>
      </c>
      <c r="N127" s="22">
        <v>470</v>
      </c>
      <c r="O127" s="22">
        <v>470</v>
      </c>
      <c r="P127" s="22">
        <v>470</v>
      </c>
      <c r="Q127" s="22">
        <v>470</v>
      </c>
      <c r="R127" s="22">
        <v>470</v>
      </c>
      <c r="S127" s="3" t="s">
        <v>50</v>
      </c>
      <c r="T127" s="3" t="s">
        <v>458</v>
      </c>
      <c r="U127" s="3" t="s">
        <v>458</v>
      </c>
      <c r="V127" s="3" t="s">
        <v>458</v>
      </c>
      <c r="W127" s="3"/>
    </row>
    <row r="128" spans="1:26" x14ac:dyDescent="0.3">
      <c r="A128" s="3">
        <v>27</v>
      </c>
      <c r="B128" s="3" t="s">
        <v>457</v>
      </c>
      <c r="C128" s="3" t="s">
        <v>458</v>
      </c>
      <c r="D128" s="3" t="s">
        <v>458</v>
      </c>
      <c r="E128" s="3" t="s">
        <v>458</v>
      </c>
      <c r="F128" s="3" t="s">
        <v>458</v>
      </c>
      <c r="G128" s="3" t="s">
        <v>475</v>
      </c>
      <c r="H128" s="3">
        <v>4000</v>
      </c>
      <c r="I128" s="3">
        <v>0</v>
      </c>
      <c r="J128" s="3" t="s">
        <v>28</v>
      </c>
      <c r="K128" s="3" t="s">
        <v>458</v>
      </c>
      <c r="L128" s="3" t="s">
        <v>476</v>
      </c>
      <c r="M128" s="3" t="s">
        <v>477</v>
      </c>
      <c r="N128" s="25">
        <v>35</v>
      </c>
      <c r="O128" s="22">
        <v>0</v>
      </c>
      <c r="P128" s="22">
        <v>0</v>
      </c>
      <c r="Q128" s="22">
        <v>0</v>
      </c>
      <c r="R128" s="22">
        <v>0</v>
      </c>
      <c r="S128" s="3" t="s">
        <v>50</v>
      </c>
      <c r="T128" s="3" t="s">
        <v>478</v>
      </c>
      <c r="U128" s="3" t="s">
        <v>458</v>
      </c>
      <c r="V128" s="3" t="s">
        <v>458</v>
      </c>
      <c r="W128" s="3"/>
    </row>
    <row r="129" spans="1:23" x14ac:dyDescent="0.3">
      <c r="A129" s="3">
        <v>27</v>
      </c>
      <c r="B129" s="3" t="s">
        <v>457</v>
      </c>
      <c r="C129" s="3" t="s">
        <v>458</v>
      </c>
      <c r="D129" s="3" t="s">
        <v>458</v>
      </c>
      <c r="E129" s="3" t="s">
        <v>458</v>
      </c>
      <c r="F129" s="3" t="s">
        <v>458</v>
      </c>
      <c r="G129" s="3" t="s">
        <v>458</v>
      </c>
      <c r="H129" s="3">
        <v>4000</v>
      </c>
      <c r="I129" s="3">
        <v>0</v>
      </c>
      <c r="J129" s="3" t="s">
        <v>28</v>
      </c>
      <c r="K129" s="3" t="s">
        <v>458</v>
      </c>
      <c r="L129" s="3" t="s">
        <v>479</v>
      </c>
      <c r="M129" s="3" t="s">
        <v>480</v>
      </c>
      <c r="N129" s="22">
        <v>237</v>
      </c>
      <c r="O129" s="22">
        <v>245</v>
      </c>
      <c r="P129" s="22">
        <v>251</v>
      </c>
      <c r="Q129" s="22">
        <v>257</v>
      </c>
      <c r="R129" s="22">
        <v>266</v>
      </c>
      <c r="S129" s="3" t="s">
        <v>50</v>
      </c>
      <c r="T129" s="3" t="s">
        <v>458</v>
      </c>
      <c r="U129" s="3" t="s">
        <v>458</v>
      </c>
      <c r="V129" s="3" t="s">
        <v>458</v>
      </c>
      <c r="W129" s="3"/>
    </row>
    <row r="130" spans="1:23" x14ac:dyDescent="0.3">
      <c r="A130" s="3">
        <v>27</v>
      </c>
      <c r="B130" s="3" t="s">
        <v>457</v>
      </c>
      <c r="C130" s="3" t="s">
        <v>458</v>
      </c>
      <c r="D130" s="3" t="s">
        <v>458</v>
      </c>
      <c r="E130" s="3" t="s">
        <v>458</v>
      </c>
      <c r="F130" s="3" t="s">
        <v>458</v>
      </c>
      <c r="G130" s="3" t="s">
        <v>458</v>
      </c>
      <c r="H130" s="3">
        <v>4000</v>
      </c>
      <c r="I130" s="3">
        <v>0</v>
      </c>
      <c r="J130" s="3" t="s">
        <v>28</v>
      </c>
      <c r="K130" s="3" t="s">
        <v>458</v>
      </c>
      <c r="L130" s="3" t="s">
        <v>481</v>
      </c>
      <c r="M130" s="3" t="s">
        <v>482</v>
      </c>
      <c r="N130" s="22">
        <v>3</v>
      </c>
      <c r="O130" s="22">
        <v>3</v>
      </c>
      <c r="P130" s="22">
        <v>3</v>
      </c>
      <c r="Q130" s="22">
        <v>3</v>
      </c>
      <c r="R130" s="22">
        <v>3</v>
      </c>
      <c r="S130" s="3" t="s">
        <v>50</v>
      </c>
      <c r="T130" s="3" t="s">
        <v>458</v>
      </c>
      <c r="U130" s="3" t="s">
        <v>458</v>
      </c>
      <c r="V130" s="3" t="s">
        <v>458</v>
      </c>
      <c r="W130" s="3"/>
    </row>
    <row r="131" spans="1:23" x14ac:dyDescent="0.3">
      <c r="A131" s="3">
        <v>27</v>
      </c>
      <c r="B131" s="3" t="s">
        <v>457</v>
      </c>
      <c r="C131" s="3" t="s">
        <v>458</v>
      </c>
      <c r="D131" s="3" t="s">
        <v>458</v>
      </c>
      <c r="E131" s="3" t="s">
        <v>458</v>
      </c>
      <c r="F131" s="3" t="s">
        <v>458</v>
      </c>
      <c r="G131" s="3" t="s">
        <v>458</v>
      </c>
      <c r="H131" s="3">
        <v>4000</v>
      </c>
      <c r="I131" s="3">
        <v>0</v>
      </c>
      <c r="J131" s="3" t="s">
        <v>28</v>
      </c>
      <c r="K131" s="3" t="s">
        <v>458</v>
      </c>
      <c r="L131" s="3" t="s">
        <v>483</v>
      </c>
      <c r="M131" s="3" t="s">
        <v>484</v>
      </c>
      <c r="N131" s="22">
        <v>3</v>
      </c>
      <c r="O131" s="22">
        <v>3</v>
      </c>
      <c r="P131" s="22">
        <v>3</v>
      </c>
      <c r="Q131" s="22">
        <v>3</v>
      </c>
      <c r="R131" s="22">
        <v>3</v>
      </c>
      <c r="S131" s="3" t="s">
        <v>50</v>
      </c>
      <c r="T131" s="3" t="s">
        <v>458</v>
      </c>
      <c r="U131" s="3" t="s">
        <v>458</v>
      </c>
      <c r="V131" s="3" t="s">
        <v>458</v>
      </c>
      <c r="W131" s="3"/>
    </row>
    <row r="132" spans="1:23" x14ac:dyDescent="0.3">
      <c r="A132" s="3">
        <v>27</v>
      </c>
      <c r="B132" s="3" t="s">
        <v>457</v>
      </c>
      <c r="C132" s="3" t="s">
        <v>458</v>
      </c>
      <c r="D132" s="3" t="s">
        <v>458</v>
      </c>
      <c r="E132" s="3" t="s">
        <v>458</v>
      </c>
      <c r="F132" s="3" t="s">
        <v>458</v>
      </c>
      <c r="G132" s="3" t="s">
        <v>458</v>
      </c>
      <c r="H132" s="3">
        <v>4550</v>
      </c>
      <c r="I132" s="3">
        <v>0</v>
      </c>
      <c r="J132" s="3" t="s">
        <v>28</v>
      </c>
      <c r="K132" s="3" t="s">
        <v>458</v>
      </c>
      <c r="L132" s="3" t="s">
        <v>485</v>
      </c>
      <c r="M132" s="3" t="s">
        <v>486</v>
      </c>
      <c r="N132" s="22">
        <v>1680</v>
      </c>
      <c r="O132" s="22">
        <v>1735</v>
      </c>
      <c r="P132" s="22">
        <v>1779</v>
      </c>
      <c r="Q132" s="22">
        <v>1823</v>
      </c>
      <c r="R132" s="22">
        <v>1869</v>
      </c>
      <c r="S132" s="3" t="s">
        <v>50</v>
      </c>
      <c r="T132" s="3" t="s">
        <v>458</v>
      </c>
      <c r="U132" s="3" t="s">
        <v>458</v>
      </c>
      <c r="V132" s="3" t="s">
        <v>458</v>
      </c>
      <c r="W132" s="3"/>
    </row>
    <row r="133" spans="1:23" x14ac:dyDescent="0.3">
      <c r="A133" s="3">
        <v>27</v>
      </c>
      <c r="B133" s="3" t="s">
        <v>457</v>
      </c>
      <c r="C133" s="3" t="s">
        <v>458</v>
      </c>
      <c r="D133" s="3" t="s">
        <v>458</v>
      </c>
      <c r="E133" s="3" t="s">
        <v>458</v>
      </c>
      <c r="F133" s="3" t="s">
        <v>458</v>
      </c>
      <c r="G133" s="3" t="s">
        <v>458</v>
      </c>
      <c r="H133" s="3">
        <v>4700</v>
      </c>
      <c r="I133" s="3">
        <v>0</v>
      </c>
      <c r="J133" s="3" t="s">
        <v>28</v>
      </c>
      <c r="K133" s="3" t="s">
        <v>458</v>
      </c>
      <c r="L133" s="3" t="s">
        <v>487</v>
      </c>
      <c r="M133" s="3" t="s">
        <v>488</v>
      </c>
      <c r="N133" s="22">
        <v>186</v>
      </c>
      <c r="O133" s="22">
        <v>192</v>
      </c>
      <c r="P133" s="22">
        <v>197</v>
      </c>
      <c r="Q133" s="22">
        <v>202</v>
      </c>
      <c r="R133" s="22">
        <v>207</v>
      </c>
      <c r="S133" s="3" t="s">
        <v>50</v>
      </c>
      <c r="T133" s="3" t="s">
        <v>458</v>
      </c>
      <c r="U133" s="3" t="s">
        <v>458</v>
      </c>
      <c r="V133" s="3" t="s">
        <v>458</v>
      </c>
      <c r="W133" s="3"/>
    </row>
    <row r="134" spans="1:23" x14ac:dyDescent="0.3">
      <c r="A134" s="3">
        <v>27</v>
      </c>
      <c r="B134" s="3" t="s">
        <v>457</v>
      </c>
      <c r="C134" s="3" t="s">
        <v>458</v>
      </c>
      <c r="D134" s="3" t="s">
        <v>489</v>
      </c>
      <c r="E134" s="3" t="s">
        <v>490</v>
      </c>
      <c r="F134" s="3" t="s">
        <v>458</v>
      </c>
      <c r="G134" s="3" t="s">
        <v>491</v>
      </c>
      <c r="H134" s="3">
        <v>4000</v>
      </c>
      <c r="I134" s="3">
        <v>0</v>
      </c>
      <c r="J134" s="3" t="s">
        <v>28</v>
      </c>
      <c r="K134" s="3" t="s">
        <v>458</v>
      </c>
      <c r="L134" s="3" t="s">
        <v>492</v>
      </c>
      <c r="M134" s="3" t="s">
        <v>493</v>
      </c>
      <c r="N134" s="22">
        <v>73</v>
      </c>
      <c r="O134" s="22">
        <v>0</v>
      </c>
      <c r="P134" s="22">
        <v>0</v>
      </c>
      <c r="Q134" s="22">
        <v>0</v>
      </c>
      <c r="R134" s="22">
        <v>0</v>
      </c>
      <c r="S134" s="3" t="s">
        <v>24</v>
      </c>
      <c r="T134" s="3" t="s">
        <v>494</v>
      </c>
      <c r="U134" s="3" t="s">
        <v>495</v>
      </c>
      <c r="V134" s="3" t="s">
        <v>496</v>
      </c>
      <c r="W134" s="3"/>
    </row>
    <row r="135" spans="1:23" x14ac:dyDescent="0.3">
      <c r="A135" s="3">
        <v>27</v>
      </c>
      <c r="B135" s="3" t="s">
        <v>457</v>
      </c>
      <c r="C135" s="3" t="s">
        <v>458</v>
      </c>
      <c r="D135" s="3" t="s">
        <v>489</v>
      </c>
      <c r="E135" s="3" t="s">
        <v>497</v>
      </c>
      <c r="F135" s="3" t="s">
        <v>458</v>
      </c>
      <c r="G135" s="3" t="s">
        <v>498</v>
      </c>
      <c r="H135" s="3">
        <v>4000</v>
      </c>
      <c r="I135" s="3">
        <v>0</v>
      </c>
      <c r="J135" s="3" t="s">
        <v>28</v>
      </c>
      <c r="K135" s="3" t="s">
        <v>458</v>
      </c>
      <c r="L135" s="3" t="s">
        <v>492</v>
      </c>
      <c r="M135" s="3" t="s">
        <v>499</v>
      </c>
      <c r="N135" s="22">
        <v>70</v>
      </c>
      <c r="O135" s="22">
        <v>130</v>
      </c>
      <c r="P135" s="22">
        <v>130</v>
      </c>
      <c r="Q135" s="22">
        <v>130</v>
      </c>
      <c r="R135" s="22">
        <v>130</v>
      </c>
      <c r="S135" s="3" t="s">
        <v>50</v>
      </c>
      <c r="T135" s="3" t="s">
        <v>69</v>
      </c>
      <c r="U135" s="3" t="s">
        <v>458</v>
      </c>
      <c r="V135" s="3" t="s">
        <v>500</v>
      </c>
      <c r="W135" s="3"/>
    </row>
    <row r="136" spans="1:23" x14ac:dyDescent="0.3">
      <c r="A136" s="3">
        <v>27</v>
      </c>
      <c r="B136" s="3" t="s">
        <v>457</v>
      </c>
      <c r="C136" s="3" t="s">
        <v>458</v>
      </c>
      <c r="D136" s="3" t="s">
        <v>501</v>
      </c>
      <c r="E136" s="3" t="s">
        <v>502</v>
      </c>
      <c r="F136" s="3" t="s">
        <v>458</v>
      </c>
      <c r="G136" s="3" t="s">
        <v>498</v>
      </c>
      <c r="H136" s="3">
        <v>4000</v>
      </c>
      <c r="I136" s="3">
        <v>0</v>
      </c>
      <c r="J136" s="3" t="s">
        <v>28</v>
      </c>
      <c r="K136" s="3" t="s">
        <v>458</v>
      </c>
      <c r="L136" s="3" t="s">
        <v>503</v>
      </c>
      <c r="M136" s="3" t="s">
        <v>504</v>
      </c>
      <c r="N136" s="22">
        <v>10</v>
      </c>
      <c r="O136" s="22">
        <v>10</v>
      </c>
      <c r="P136" s="22">
        <v>10</v>
      </c>
      <c r="Q136" s="22">
        <v>10</v>
      </c>
      <c r="R136" s="22">
        <v>10</v>
      </c>
      <c r="S136" s="3" t="s">
        <v>50</v>
      </c>
      <c r="T136" s="3" t="s">
        <v>324</v>
      </c>
      <c r="U136" s="3" t="s">
        <v>458</v>
      </c>
      <c r="V136" s="3" t="s">
        <v>505</v>
      </c>
      <c r="W136" s="3"/>
    </row>
    <row r="137" spans="1:23" x14ac:dyDescent="0.3">
      <c r="A137" s="3">
        <v>27</v>
      </c>
      <c r="B137" s="3" t="s">
        <v>457</v>
      </c>
      <c r="C137" s="3" t="s">
        <v>458</v>
      </c>
      <c r="D137" s="3" t="s">
        <v>506</v>
      </c>
      <c r="E137" s="3" t="s">
        <v>507</v>
      </c>
      <c r="F137" s="3" t="s">
        <v>458</v>
      </c>
      <c r="G137" s="3" t="s">
        <v>291</v>
      </c>
      <c r="H137" s="3">
        <v>4000</v>
      </c>
      <c r="I137" s="3">
        <v>0</v>
      </c>
      <c r="J137" s="3" t="s">
        <v>28</v>
      </c>
      <c r="K137" s="3" t="s">
        <v>458</v>
      </c>
      <c r="L137" s="3" t="s">
        <v>492</v>
      </c>
      <c r="M137" s="3" t="s">
        <v>508</v>
      </c>
      <c r="N137" s="22">
        <v>80</v>
      </c>
      <c r="O137" s="22">
        <v>90</v>
      </c>
      <c r="P137" s="22">
        <v>100</v>
      </c>
      <c r="Q137" s="22">
        <v>110</v>
      </c>
      <c r="R137" s="22">
        <v>110</v>
      </c>
      <c r="S137" s="3" t="s">
        <v>509</v>
      </c>
      <c r="T137" s="3" t="s">
        <v>24</v>
      </c>
      <c r="U137" s="3" t="s">
        <v>458</v>
      </c>
      <c r="V137" s="3" t="s">
        <v>510</v>
      </c>
      <c r="W137" s="3"/>
    </row>
    <row r="138" spans="1:23" x14ac:dyDescent="0.3">
      <c r="A138" s="3">
        <v>27</v>
      </c>
      <c r="B138" s="3" t="s">
        <v>457</v>
      </c>
      <c r="C138" s="3" t="s">
        <v>458</v>
      </c>
      <c r="D138" s="3" t="s">
        <v>458</v>
      </c>
      <c r="E138" s="3" t="s">
        <v>458</v>
      </c>
      <c r="F138" s="3" t="s">
        <v>458</v>
      </c>
      <c r="G138" s="3" t="s">
        <v>458</v>
      </c>
      <c r="H138" s="3">
        <v>4000</v>
      </c>
      <c r="I138" s="3">
        <v>0</v>
      </c>
      <c r="J138" s="3" t="s">
        <v>28</v>
      </c>
      <c r="K138" s="3" t="s">
        <v>458</v>
      </c>
      <c r="L138" s="3" t="s">
        <v>511</v>
      </c>
      <c r="M138" s="3" t="s">
        <v>512</v>
      </c>
      <c r="N138" s="22">
        <v>100</v>
      </c>
      <c r="O138" s="22">
        <v>100</v>
      </c>
      <c r="P138" s="22">
        <v>100</v>
      </c>
      <c r="Q138" s="22">
        <v>100</v>
      </c>
      <c r="R138" s="22">
        <v>100</v>
      </c>
      <c r="S138" s="3" t="s">
        <v>50</v>
      </c>
      <c r="T138" s="3" t="s">
        <v>458</v>
      </c>
      <c r="U138" s="3" t="s">
        <v>458</v>
      </c>
      <c r="V138" s="3" t="s">
        <v>458</v>
      </c>
      <c r="W138" s="3"/>
    </row>
    <row r="139" spans="1:23" x14ac:dyDescent="0.3">
      <c r="A139" s="3">
        <v>27</v>
      </c>
      <c r="B139" s="3" t="s">
        <v>457</v>
      </c>
      <c r="C139" s="3" t="s">
        <v>458</v>
      </c>
      <c r="D139" s="3" t="s">
        <v>458</v>
      </c>
      <c r="E139" s="3" t="s">
        <v>458</v>
      </c>
      <c r="F139" s="3" t="s">
        <v>458</v>
      </c>
      <c r="G139" s="3" t="s">
        <v>458</v>
      </c>
      <c r="H139" s="3">
        <v>4410</v>
      </c>
      <c r="I139" s="3">
        <v>0</v>
      </c>
      <c r="J139" s="3" t="s">
        <v>28</v>
      </c>
      <c r="K139" s="3" t="s">
        <v>458</v>
      </c>
      <c r="L139" s="3" t="s">
        <v>513</v>
      </c>
      <c r="M139" s="3" t="s">
        <v>514</v>
      </c>
      <c r="N139" s="22">
        <v>610</v>
      </c>
      <c r="O139" s="22">
        <v>610</v>
      </c>
      <c r="P139" s="22">
        <v>610</v>
      </c>
      <c r="Q139" s="22">
        <v>610</v>
      </c>
      <c r="R139" s="22">
        <v>610</v>
      </c>
      <c r="S139" s="3" t="s">
        <v>50</v>
      </c>
      <c r="T139" s="3" t="s">
        <v>458</v>
      </c>
      <c r="U139" s="3" t="s">
        <v>458</v>
      </c>
      <c r="V139" s="3" t="s">
        <v>458</v>
      </c>
      <c r="W139" s="3"/>
    </row>
    <row r="140" spans="1:23" x14ac:dyDescent="0.3">
      <c r="A140" s="3">
        <v>27</v>
      </c>
      <c r="B140" s="3" t="s">
        <v>515</v>
      </c>
      <c r="C140" s="3" t="s">
        <v>245</v>
      </c>
      <c r="D140" s="3" t="s">
        <v>245</v>
      </c>
      <c r="E140" s="3" t="s">
        <v>245</v>
      </c>
      <c r="F140" s="3" t="s">
        <v>245</v>
      </c>
      <c r="G140" s="3" t="s">
        <v>245</v>
      </c>
      <c r="H140" s="3">
        <v>3030</v>
      </c>
      <c r="I140" s="3">
        <v>0</v>
      </c>
      <c r="J140" s="3" t="s">
        <v>28</v>
      </c>
      <c r="K140" s="3" t="s">
        <v>245</v>
      </c>
      <c r="L140" s="3" t="s">
        <v>516</v>
      </c>
      <c r="M140" s="3" t="s">
        <v>517</v>
      </c>
      <c r="N140" s="4">
        <v>25</v>
      </c>
      <c r="O140" s="4">
        <v>25</v>
      </c>
      <c r="P140" s="4">
        <v>25</v>
      </c>
      <c r="Q140" s="4">
        <v>0</v>
      </c>
      <c r="R140" s="4">
        <v>0</v>
      </c>
      <c r="S140" s="3" t="s">
        <v>50</v>
      </c>
      <c r="T140" s="3" t="s">
        <v>245</v>
      </c>
      <c r="U140" s="3" t="s">
        <v>245</v>
      </c>
      <c r="V140" s="3" t="s">
        <v>245</v>
      </c>
      <c r="W140" s="3"/>
    </row>
    <row r="141" spans="1:23" x14ac:dyDescent="0.3">
      <c r="A141" s="3">
        <v>27</v>
      </c>
      <c r="B141" s="3" t="s">
        <v>515</v>
      </c>
      <c r="C141" s="3" t="s">
        <v>245</v>
      </c>
      <c r="D141" s="3" t="s">
        <v>245</v>
      </c>
      <c r="E141" s="3" t="s">
        <v>245</v>
      </c>
      <c r="F141" s="3" t="s">
        <v>245</v>
      </c>
      <c r="G141" s="3" t="s">
        <v>245</v>
      </c>
      <c r="H141" s="3">
        <v>4170</v>
      </c>
      <c r="I141" s="3">
        <v>0</v>
      </c>
      <c r="J141" s="3" t="s">
        <v>28</v>
      </c>
      <c r="K141" s="3" t="s">
        <v>245</v>
      </c>
      <c r="L141" s="3" t="s">
        <v>518</v>
      </c>
      <c r="M141" s="3" t="s">
        <v>519</v>
      </c>
      <c r="N141" s="4">
        <v>150</v>
      </c>
      <c r="O141" s="4">
        <v>150</v>
      </c>
      <c r="P141" s="4">
        <v>150</v>
      </c>
      <c r="Q141" s="4">
        <v>0</v>
      </c>
      <c r="R141" s="4">
        <v>0</v>
      </c>
      <c r="S141" s="3" t="s">
        <v>50</v>
      </c>
      <c r="T141" s="3" t="s">
        <v>245</v>
      </c>
      <c r="U141" s="3" t="s">
        <v>245</v>
      </c>
      <c r="V141" s="3" t="s">
        <v>245</v>
      </c>
      <c r="W141" s="3"/>
    </row>
    <row r="142" spans="1:23" x14ac:dyDescent="0.3">
      <c r="A142" s="3">
        <v>27</v>
      </c>
      <c r="B142" s="3" t="s">
        <v>515</v>
      </c>
      <c r="C142" s="3" t="s">
        <v>245</v>
      </c>
      <c r="D142" s="3" t="s">
        <v>245</v>
      </c>
      <c r="E142" s="3" t="s">
        <v>245</v>
      </c>
      <c r="F142" s="3" t="s">
        <v>245</v>
      </c>
      <c r="G142" s="3" t="s">
        <v>245</v>
      </c>
      <c r="H142" s="3">
        <v>4000</v>
      </c>
      <c r="I142" s="3">
        <v>0</v>
      </c>
      <c r="J142" s="3" t="s">
        <v>28</v>
      </c>
      <c r="K142" s="3" t="s">
        <v>245</v>
      </c>
      <c r="L142" s="3" t="s">
        <v>520</v>
      </c>
      <c r="M142" s="3" t="s">
        <v>521</v>
      </c>
      <c r="N142" s="4">
        <v>40</v>
      </c>
      <c r="O142" s="4">
        <v>40</v>
      </c>
      <c r="P142" s="4">
        <v>40</v>
      </c>
      <c r="Q142" s="4">
        <v>0</v>
      </c>
      <c r="R142" s="4">
        <v>0</v>
      </c>
      <c r="S142" s="3" t="s">
        <v>50</v>
      </c>
      <c r="T142" s="3" t="s">
        <v>245</v>
      </c>
      <c r="U142" s="3" t="s">
        <v>245</v>
      </c>
      <c r="V142" s="3" t="s">
        <v>245</v>
      </c>
      <c r="W142" s="3"/>
    </row>
    <row r="143" spans="1:23" x14ac:dyDescent="0.3">
      <c r="A143" s="3">
        <v>27</v>
      </c>
      <c r="B143" s="3" t="s">
        <v>515</v>
      </c>
      <c r="C143" s="3" t="s">
        <v>245</v>
      </c>
      <c r="D143" s="3" t="s">
        <v>245</v>
      </c>
      <c r="E143" s="3" t="s">
        <v>245</v>
      </c>
      <c r="F143" s="3" t="s">
        <v>245</v>
      </c>
      <c r="G143" s="3" t="s">
        <v>245</v>
      </c>
      <c r="H143" s="3">
        <v>4000</v>
      </c>
      <c r="I143" s="3">
        <v>0</v>
      </c>
      <c r="J143" s="3" t="s">
        <v>28</v>
      </c>
      <c r="K143" s="3" t="s">
        <v>245</v>
      </c>
      <c r="L143" s="3" t="s">
        <v>522</v>
      </c>
      <c r="M143" s="3" t="s">
        <v>523</v>
      </c>
      <c r="N143" s="4">
        <v>50</v>
      </c>
      <c r="O143" s="4">
        <v>50</v>
      </c>
      <c r="P143" s="4">
        <v>50</v>
      </c>
      <c r="Q143" s="4">
        <v>0</v>
      </c>
      <c r="R143" s="4">
        <v>0</v>
      </c>
      <c r="S143" s="3" t="s">
        <v>50</v>
      </c>
      <c r="T143" s="3" t="s">
        <v>50</v>
      </c>
      <c r="U143" s="3" t="s">
        <v>50</v>
      </c>
      <c r="V143" s="3" t="s">
        <v>50</v>
      </c>
      <c r="W143" s="3"/>
    </row>
    <row r="144" spans="1:23" x14ac:dyDescent="0.3">
      <c r="A144" s="3">
        <v>27</v>
      </c>
      <c r="B144" s="3" t="s">
        <v>515</v>
      </c>
      <c r="C144" s="3" t="s">
        <v>245</v>
      </c>
      <c r="D144" s="3" t="s">
        <v>245</v>
      </c>
      <c r="E144" s="3" t="s">
        <v>245</v>
      </c>
      <c r="F144" s="3" t="s">
        <v>245</v>
      </c>
      <c r="G144" s="3" t="s">
        <v>245</v>
      </c>
      <c r="H144" s="3">
        <v>4000</v>
      </c>
      <c r="I144" s="3">
        <v>0</v>
      </c>
      <c r="J144" s="3" t="s">
        <v>28</v>
      </c>
      <c r="K144" s="3" t="s">
        <v>245</v>
      </c>
      <c r="L144" s="3" t="s">
        <v>524</v>
      </c>
      <c r="M144" s="3" t="s">
        <v>525</v>
      </c>
      <c r="N144" s="4">
        <v>150</v>
      </c>
      <c r="O144" s="4">
        <v>150</v>
      </c>
      <c r="P144" s="4">
        <v>150</v>
      </c>
      <c r="Q144" s="4">
        <v>0</v>
      </c>
      <c r="R144" s="4">
        <v>0</v>
      </c>
      <c r="S144" s="3" t="s">
        <v>50</v>
      </c>
      <c r="T144" s="3" t="s">
        <v>50</v>
      </c>
      <c r="U144" s="3" t="s">
        <v>50</v>
      </c>
      <c r="V144" s="3" t="s">
        <v>50</v>
      </c>
      <c r="W144" s="3"/>
    </row>
    <row r="145" spans="1:23" x14ac:dyDescent="0.3">
      <c r="A145" s="3">
        <v>27</v>
      </c>
      <c r="B145" s="3" t="s">
        <v>515</v>
      </c>
      <c r="C145" s="3" t="s">
        <v>245</v>
      </c>
      <c r="D145" s="3" t="s">
        <v>245</v>
      </c>
      <c r="E145" s="3" t="s">
        <v>245</v>
      </c>
      <c r="F145" s="3" t="s">
        <v>245</v>
      </c>
      <c r="G145" s="3" t="s">
        <v>245</v>
      </c>
      <c r="H145" s="3">
        <v>4000</v>
      </c>
      <c r="I145" s="3">
        <v>0</v>
      </c>
      <c r="J145" s="3" t="s">
        <v>28</v>
      </c>
      <c r="K145" s="3" t="s">
        <v>245</v>
      </c>
      <c r="L145" s="3" t="s">
        <v>526</v>
      </c>
      <c r="M145" s="3" t="s">
        <v>527</v>
      </c>
      <c r="N145" s="4">
        <v>1</v>
      </c>
      <c r="O145" s="4">
        <v>1</v>
      </c>
      <c r="P145" s="4">
        <v>1</v>
      </c>
      <c r="Q145" s="4">
        <v>0</v>
      </c>
      <c r="R145" s="4">
        <v>0</v>
      </c>
      <c r="S145" s="3" t="s">
        <v>50</v>
      </c>
      <c r="T145" s="3" t="s">
        <v>245</v>
      </c>
      <c r="U145" s="3" t="s">
        <v>245</v>
      </c>
      <c r="V145" s="3" t="s">
        <v>245</v>
      </c>
      <c r="W145" s="3"/>
    </row>
    <row r="146" spans="1:23" x14ac:dyDescent="0.3">
      <c r="A146" s="3">
        <v>27</v>
      </c>
      <c r="B146" s="3" t="s">
        <v>515</v>
      </c>
      <c r="C146" s="3" t="s">
        <v>245</v>
      </c>
      <c r="D146" s="3" t="s">
        <v>245</v>
      </c>
      <c r="E146" s="3" t="s">
        <v>245</v>
      </c>
      <c r="F146" s="3" t="s">
        <v>245</v>
      </c>
      <c r="G146" s="3" t="s">
        <v>245</v>
      </c>
      <c r="H146" s="3">
        <v>4000</v>
      </c>
      <c r="I146" s="3">
        <v>0</v>
      </c>
      <c r="J146" s="3" t="s">
        <v>28</v>
      </c>
      <c r="K146" s="3" t="s">
        <v>245</v>
      </c>
      <c r="L146" s="3" t="s">
        <v>528</v>
      </c>
      <c r="M146" s="3" t="s">
        <v>529</v>
      </c>
      <c r="N146" s="4">
        <v>7</v>
      </c>
      <c r="O146" s="4">
        <v>7</v>
      </c>
      <c r="P146" s="4">
        <v>7</v>
      </c>
      <c r="Q146" s="4">
        <v>0</v>
      </c>
      <c r="R146" s="4">
        <v>0</v>
      </c>
      <c r="S146" s="3" t="s">
        <v>50</v>
      </c>
      <c r="T146" s="3" t="s">
        <v>245</v>
      </c>
      <c r="U146" s="3" t="s">
        <v>245</v>
      </c>
      <c r="V146" s="3" t="s">
        <v>245</v>
      </c>
      <c r="W146" s="3"/>
    </row>
    <row r="147" spans="1:23" x14ac:dyDescent="0.3">
      <c r="A147" s="3">
        <v>27</v>
      </c>
      <c r="B147" s="3" t="s">
        <v>515</v>
      </c>
      <c r="C147" s="3" t="s">
        <v>245</v>
      </c>
      <c r="D147" s="3" t="s">
        <v>245</v>
      </c>
      <c r="E147" s="3" t="s">
        <v>245</v>
      </c>
      <c r="F147" s="3" t="s">
        <v>245</v>
      </c>
      <c r="G147" s="3" t="s">
        <v>245</v>
      </c>
      <c r="H147" s="3">
        <v>4170</v>
      </c>
      <c r="I147" s="3">
        <v>0</v>
      </c>
      <c r="J147" s="3" t="s">
        <v>28</v>
      </c>
      <c r="K147" s="3" t="s">
        <v>245</v>
      </c>
      <c r="L147" s="3" t="s">
        <v>530</v>
      </c>
      <c r="M147" s="3" t="s">
        <v>531</v>
      </c>
      <c r="N147" s="4">
        <v>31</v>
      </c>
      <c r="O147" s="4">
        <v>35</v>
      </c>
      <c r="P147" s="4">
        <v>41</v>
      </c>
      <c r="Q147" s="4">
        <v>0</v>
      </c>
      <c r="R147" s="4">
        <v>0</v>
      </c>
      <c r="S147" s="3" t="s">
        <v>50</v>
      </c>
      <c r="T147" s="3" t="s">
        <v>245</v>
      </c>
      <c r="U147" s="3" t="s">
        <v>245</v>
      </c>
      <c r="V147" s="3" t="s">
        <v>245</v>
      </c>
      <c r="W147" s="3"/>
    </row>
    <row r="148" spans="1:23" x14ac:dyDescent="0.3">
      <c r="A148" s="3">
        <v>27</v>
      </c>
      <c r="B148" s="3" t="s">
        <v>515</v>
      </c>
      <c r="C148" s="3" t="s">
        <v>245</v>
      </c>
      <c r="D148" s="3" t="s">
        <v>245</v>
      </c>
      <c r="E148" s="3" t="s">
        <v>245</v>
      </c>
      <c r="F148" s="3" t="s">
        <v>245</v>
      </c>
      <c r="G148" s="3" t="s">
        <v>245</v>
      </c>
      <c r="H148" s="3">
        <v>4000</v>
      </c>
      <c r="I148" s="3">
        <v>0</v>
      </c>
      <c r="J148" s="3" t="s">
        <v>28</v>
      </c>
      <c r="K148" s="3" t="s">
        <v>245</v>
      </c>
      <c r="L148" s="3" t="s">
        <v>532</v>
      </c>
      <c r="M148" s="3" t="s">
        <v>533</v>
      </c>
      <c r="N148" s="4">
        <v>30</v>
      </c>
      <c r="O148" s="4">
        <v>0</v>
      </c>
      <c r="P148" s="4">
        <v>40</v>
      </c>
      <c r="Q148" s="4">
        <v>0</v>
      </c>
      <c r="R148" s="4">
        <v>0</v>
      </c>
      <c r="S148" s="3" t="s">
        <v>50</v>
      </c>
      <c r="T148" s="3" t="s">
        <v>50</v>
      </c>
      <c r="U148" s="3" t="s">
        <v>50</v>
      </c>
      <c r="V148" s="3" t="s">
        <v>50</v>
      </c>
      <c r="W148" s="3"/>
    </row>
    <row r="149" spans="1:23" x14ac:dyDescent="0.3">
      <c r="A149" s="3">
        <v>27</v>
      </c>
      <c r="B149" s="3" t="s">
        <v>515</v>
      </c>
      <c r="C149" s="3" t="s">
        <v>245</v>
      </c>
      <c r="D149" s="3" t="s">
        <v>245</v>
      </c>
      <c r="E149" s="3" t="s">
        <v>245</v>
      </c>
      <c r="F149" s="3" t="s">
        <v>245</v>
      </c>
      <c r="G149" s="3" t="s">
        <v>245</v>
      </c>
      <c r="H149" s="3">
        <v>4000</v>
      </c>
      <c r="I149" s="3">
        <v>0</v>
      </c>
      <c r="J149" s="3" t="s">
        <v>28</v>
      </c>
      <c r="K149" s="3" t="s">
        <v>245</v>
      </c>
      <c r="L149" s="3" t="s">
        <v>534</v>
      </c>
      <c r="M149" s="3" t="s">
        <v>535</v>
      </c>
      <c r="N149" s="4">
        <v>0</v>
      </c>
      <c r="O149" s="4">
        <v>40</v>
      </c>
      <c r="P149" s="4">
        <v>0</v>
      </c>
      <c r="Q149" s="4">
        <v>0</v>
      </c>
      <c r="R149" s="4">
        <v>0</v>
      </c>
      <c r="S149" s="3" t="s">
        <v>50</v>
      </c>
      <c r="T149" s="3" t="s">
        <v>50</v>
      </c>
      <c r="U149" s="3" t="s">
        <v>50</v>
      </c>
      <c r="V149" s="3" t="s">
        <v>50</v>
      </c>
      <c r="W149" s="3"/>
    </row>
    <row r="150" spans="1:23" x14ac:dyDescent="0.3">
      <c r="A150" s="3">
        <v>27</v>
      </c>
      <c r="B150" s="3" t="s">
        <v>515</v>
      </c>
      <c r="C150" s="3" t="s">
        <v>245</v>
      </c>
      <c r="D150" s="3" t="s">
        <v>245</v>
      </c>
      <c r="E150" s="3" t="s">
        <v>245</v>
      </c>
      <c r="F150" s="3" t="s">
        <v>245</v>
      </c>
      <c r="G150" s="3" t="s">
        <v>245</v>
      </c>
      <c r="H150" s="3">
        <v>4420</v>
      </c>
      <c r="I150" s="3">
        <v>0</v>
      </c>
      <c r="J150" s="3" t="s">
        <v>28</v>
      </c>
      <c r="K150" s="3" t="s">
        <v>245</v>
      </c>
      <c r="L150" s="3" t="s">
        <v>536</v>
      </c>
      <c r="M150" s="3" t="s">
        <v>537</v>
      </c>
      <c r="N150" s="4">
        <v>20</v>
      </c>
      <c r="O150" s="4">
        <v>20</v>
      </c>
      <c r="P150" s="4">
        <v>20</v>
      </c>
      <c r="Q150" s="4">
        <v>0</v>
      </c>
      <c r="R150" s="4">
        <v>0</v>
      </c>
      <c r="S150" s="3" t="s">
        <v>245</v>
      </c>
      <c r="T150" s="3" t="s">
        <v>245</v>
      </c>
      <c r="U150" s="3" t="s">
        <v>245</v>
      </c>
      <c r="V150" s="3" t="s">
        <v>245</v>
      </c>
      <c r="W150" s="3" t="s">
        <v>538</v>
      </c>
    </row>
    <row r="151" spans="1:23" x14ac:dyDescent="0.3">
      <c r="A151" s="3">
        <v>27</v>
      </c>
      <c r="B151" s="3" t="s">
        <v>539</v>
      </c>
      <c r="C151" s="3" t="s">
        <v>420</v>
      </c>
      <c r="D151" s="3" t="s">
        <v>420</v>
      </c>
      <c r="E151" s="3" t="s">
        <v>420</v>
      </c>
      <c r="F151" s="3" t="s">
        <v>420</v>
      </c>
      <c r="G151" s="3" t="s">
        <v>420</v>
      </c>
      <c r="H151" s="3">
        <v>4000</v>
      </c>
      <c r="I151" s="3">
        <v>0</v>
      </c>
      <c r="J151" s="3" t="s">
        <v>28</v>
      </c>
      <c r="K151" s="3"/>
      <c r="L151" s="3" t="s">
        <v>540</v>
      </c>
      <c r="M151" s="3" t="s">
        <v>541</v>
      </c>
      <c r="N151" s="4">
        <v>70</v>
      </c>
      <c r="O151" s="4">
        <v>0</v>
      </c>
      <c r="P151" s="4">
        <v>0</v>
      </c>
      <c r="Q151" s="4">
        <v>0</v>
      </c>
      <c r="R151" s="4">
        <v>0</v>
      </c>
      <c r="S151" s="3" t="s">
        <v>50</v>
      </c>
      <c r="T151" s="3" t="s">
        <v>420</v>
      </c>
      <c r="U151" s="3"/>
      <c r="V151" s="3" t="s">
        <v>420</v>
      </c>
      <c r="W151" s="3" t="s">
        <v>542</v>
      </c>
    </row>
    <row r="152" spans="1:23" x14ac:dyDescent="0.3">
      <c r="A152" s="3">
        <v>27</v>
      </c>
      <c r="B152" s="3" t="s">
        <v>539</v>
      </c>
      <c r="C152" s="3" t="s">
        <v>420</v>
      </c>
      <c r="D152" s="3" t="s">
        <v>420</v>
      </c>
      <c r="E152" s="3" t="s">
        <v>420</v>
      </c>
      <c r="F152" s="3" t="s">
        <v>420</v>
      </c>
      <c r="G152" s="3" t="s">
        <v>420</v>
      </c>
      <c r="H152" s="3">
        <v>4000</v>
      </c>
      <c r="I152" s="3">
        <v>0</v>
      </c>
      <c r="J152" s="3" t="s">
        <v>28</v>
      </c>
      <c r="K152" s="3"/>
      <c r="L152" s="3" t="s">
        <v>543</v>
      </c>
      <c r="M152" s="3" t="s">
        <v>544</v>
      </c>
      <c r="N152" s="4">
        <v>450</v>
      </c>
      <c r="O152" s="4">
        <v>0</v>
      </c>
      <c r="P152" s="4">
        <v>0</v>
      </c>
      <c r="Q152" s="4">
        <v>0</v>
      </c>
      <c r="R152" s="4">
        <v>0</v>
      </c>
      <c r="S152" s="3" t="s">
        <v>50</v>
      </c>
      <c r="T152" s="3" t="s">
        <v>420</v>
      </c>
      <c r="U152" s="3"/>
      <c r="V152" s="3" t="s">
        <v>420</v>
      </c>
      <c r="W152" s="3" t="s">
        <v>542</v>
      </c>
    </row>
    <row r="153" spans="1:23" x14ac:dyDescent="0.3">
      <c r="A153" s="3">
        <v>27</v>
      </c>
      <c r="B153" s="3" t="s">
        <v>539</v>
      </c>
      <c r="C153" s="3" t="s">
        <v>420</v>
      </c>
      <c r="D153" s="3" t="s">
        <v>420</v>
      </c>
      <c r="E153" s="3" t="s">
        <v>420</v>
      </c>
      <c r="F153" s="3" t="s">
        <v>420</v>
      </c>
      <c r="G153" s="3" t="s">
        <v>420</v>
      </c>
      <c r="H153" s="3">
        <v>4000</v>
      </c>
      <c r="I153" s="3">
        <v>0</v>
      </c>
      <c r="J153" s="3" t="s">
        <v>28</v>
      </c>
      <c r="K153" s="3"/>
      <c r="L153" s="3" t="s">
        <v>540</v>
      </c>
      <c r="M153" s="3" t="s">
        <v>545</v>
      </c>
      <c r="N153" s="4">
        <v>100</v>
      </c>
      <c r="O153" s="4">
        <v>0</v>
      </c>
      <c r="P153" s="4">
        <v>0</v>
      </c>
      <c r="Q153" s="4">
        <v>0</v>
      </c>
      <c r="R153" s="4">
        <v>0</v>
      </c>
      <c r="S153" s="3" t="s">
        <v>50</v>
      </c>
      <c r="T153" s="3" t="s">
        <v>420</v>
      </c>
      <c r="U153" s="3"/>
      <c r="V153" s="3" t="s">
        <v>420</v>
      </c>
      <c r="W153" s="3" t="s">
        <v>542</v>
      </c>
    </row>
    <row r="154" spans="1:23" x14ac:dyDescent="0.3">
      <c r="A154" s="3">
        <v>27</v>
      </c>
      <c r="B154" s="3" t="s">
        <v>539</v>
      </c>
      <c r="C154" s="3" t="s">
        <v>420</v>
      </c>
      <c r="D154" s="3" t="s">
        <v>420</v>
      </c>
      <c r="E154" s="3" t="s">
        <v>420</v>
      </c>
      <c r="F154" s="3" t="s">
        <v>420</v>
      </c>
      <c r="G154" s="3" t="s">
        <v>420</v>
      </c>
      <c r="H154" s="3">
        <v>4000</v>
      </c>
      <c r="I154" s="3">
        <v>0</v>
      </c>
      <c r="J154" s="3" t="s">
        <v>28</v>
      </c>
      <c r="K154" s="3"/>
      <c r="L154" s="3" t="s">
        <v>543</v>
      </c>
      <c r="M154" s="3" t="s">
        <v>546</v>
      </c>
      <c r="N154" s="4">
        <v>70</v>
      </c>
      <c r="O154" s="4">
        <v>0</v>
      </c>
      <c r="P154" s="4">
        <v>0</v>
      </c>
      <c r="Q154" s="4">
        <v>0</v>
      </c>
      <c r="R154" s="4">
        <v>0</v>
      </c>
      <c r="S154" s="3" t="s">
        <v>50</v>
      </c>
      <c r="T154" s="3" t="s">
        <v>420</v>
      </c>
      <c r="U154" s="3"/>
      <c r="V154" s="3" t="s">
        <v>420</v>
      </c>
      <c r="W154" s="3" t="s">
        <v>542</v>
      </c>
    </row>
    <row r="155" spans="1:23" x14ac:dyDescent="0.3">
      <c r="A155" s="3">
        <v>27</v>
      </c>
      <c r="B155" s="3" t="s">
        <v>539</v>
      </c>
      <c r="C155" s="3" t="s">
        <v>420</v>
      </c>
      <c r="D155" s="3" t="s">
        <v>420</v>
      </c>
      <c r="E155" s="3" t="s">
        <v>420</v>
      </c>
      <c r="F155" s="3" t="s">
        <v>420</v>
      </c>
      <c r="G155" s="3" t="s">
        <v>420</v>
      </c>
      <c r="H155" s="3">
        <v>4000</v>
      </c>
      <c r="I155" s="3">
        <v>0</v>
      </c>
      <c r="J155" s="3" t="s">
        <v>28</v>
      </c>
      <c r="K155" s="3"/>
      <c r="L155" s="3" t="s">
        <v>547</v>
      </c>
      <c r="M155" s="3" t="s">
        <v>548</v>
      </c>
      <c r="N155" s="4">
        <v>150</v>
      </c>
      <c r="O155" s="4">
        <v>0</v>
      </c>
      <c r="P155" s="4">
        <v>0</v>
      </c>
      <c r="Q155" s="4">
        <v>0</v>
      </c>
      <c r="R155" s="4">
        <v>0</v>
      </c>
      <c r="S155" s="3" t="s">
        <v>267</v>
      </c>
      <c r="T155" s="3" t="s">
        <v>420</v>
      </c>
      <c r="U155" s="3"/>
      <c r="V155" s="3" t="s">
        <v>420</v>
      </c>
      <c r="W155" s="3" t="s">
        <v>549</v>
      </c>
    </row>
    <row r="156" spans="1:23" x14ac:dyDescent="0.3">
      <c r="A156" s="3">
        <v>27</v>
      </c>
      <c r="B156" s="3" t="s">
        <v>539</v>
      </c>
      <c r="C156" s="3" t="s">
        <v>420</v>
      </c>
      <c r="D156" s="3" t="s">
        <v>420</v>
      </c>
      <c r="E156" s="3" t="s">
        <v>420</v>
      </c>
      <c r="F156" s="3" t="s">
        <v>420</v>
      </c>
      <c r="G156" s="3" t="s">
        <v>420</v>
      </c>
      <c r="H156" s="3">
        <v>4170</v>
      </c>
      <c r="I156" s="3">
        <v>0</v>
      </c>
      <c r="J156" s="3" t="s">
        <v>28</v>
      </c>
      <c r="K156" s="3"/>
      <c r="L156" s="3" t="s">
        <v>550</v>
      </c>
      <c r="M156" s="3" t="s">
        <v>551</v>
      </c>
      <c r="N156" s="4">
        <f>150+150</f>
        <v>300</v>
      </c>
      <c r="O156" s="4">
        <v>0</v>
      </c>
      <c r="P156" s="4">
        <v>0</v>
      </c>
      <c r="Q156" s="4">
        <v>0</v>
      </c>
      <c r="R156" s="4">
        <v>0</v>
      </c>
      <c r="S156" s="3" t="s">
        <v>267</v>
      </c>
      <c r="T156" s="3" t="s">
        <v>420</v>
      </c>
      <c r="U156" s="3"/>
      <c r="V156" s="3" t="s">
        <v>420</v>
      </c>
      <c r="W156" s="3" t="s">
        <v>552</v>
      </c>
    </row>
    <row r="157" spans="1:23" x14ac:dyDescent="0.3">
      <c r="A157" s="3">
        <v>27</v>
      </c>
      <c r="B157" s="3" t="s">
        <v>539</v>
      </c>
      <c r="C157" s="3" t="s">
        <v>420</v>
      </c>
      <c r="D157" s="3" t="s">
        <v>420</v>
      </c>
      <c r="E157" s="3" t="s">
        <v>420</v>
      </c>
      <c r="F157" s="3" t="s">
        <v>420</v>
      </c>
      <c r="G157" s="3" t="s">
        <v>420</v>
      </c>
      <c r="H157" s="3">
        <v>4000</v>
      </c>
      <c r="I157" s="3">
        <v>0</v>
      </c>
      <c r="J157" s="3" t="s">
        <v>28</v>
      </c>
      <c r="K157" s="3"/>
      <c r="L157" s="3" t="s">
        <v>540</v>
      </c>
      <c r="M157" s="3" t="s">
        <v>553</v>
      </c>
      <c r="N157" s="4">
        <v>40</v>
      </c>
      <c r="O157" s="4">
        <v>0</v>
      </c>
      <c r="P157" s="4">
        <v>0</v>
      </c>
      <c r="Q157" s="4">
        <v>0</v>
      </c>
      <c r="R157" s="4">
        <v>0</v>
      </c>
      <c r="S157" s="3" t="s">
        <v>50</v>
      </c>
      <c r="T157" s="3" t="s">
        <v>420</v>
      </c>
      <c r="U157" s="3"/>
      <c r="V157" s="3" t="s">
        <v>420</v>
      </c>
      <c r="W157" s="3" t="s">
        <v>542</v>
      </c>
    </row>
    <row r="158" spans="1:23" x14ac:dyDescent="0.3">
      <c r="A158" s="3">
        <v>27</v>
      </c>
      <c r="B158" s="3" t="s">
        <v>539</v>
      </c>
      <c r="C158" s="3" t="s">
        <v>420</v>
      </c>
      <c r="D158" s="3" t="s">
        <v>420</v>
      </c>
      <c r="E158" s="3" t="s">
        <v>420</v>
      </c>
      <c r="F158" s="3" t="s">
        <v>420</v>
      </c>
      <c r="G158" s="3" t="s">
        <v>420</v>
      </c>
      <c r="H158" s="3">
        <v>4000</v>
      </c>
      <c r="I158" s="3">
        <v>0</v>
      </c>
      <c r="J158" s="3" t="s">
        <v>28</v>
      </c>
      <c r="K158" s="3"/>
      <c r="L158" s="3" t="s">
        <v>547</v>
      </c>
      <c r="M158" s="3" t="s">
        <v>554</v>
      </c>
      <c r="N158" s="4">
        <v>60</v>
      </c>
      <c r="O158" s="4">
        <v>0</v>
      </c>
      <c r="P158" s="4">
        <v>0</v>
      </c>
      <c r="Q158" s="4">
        <v>0</v>
      </c>
      <c r="R158" s="4">
        <v>0</v>
      </c>
      <c r="S158" s="3" t="s">
        <v>50</v>
      </c>
      <c r="T158" s="3" t="s">
        <v>420</v>
      </c>
      <c r="U158" s="3"/>
      <c r="V158" s="3" t="s">
        <v>420</v>
      </c>
      <c r="W158" s="3" t="s">
        <v>542</v>
      </c>
    </row>
    <row r="159" spans="1:23" x14ac:dyDescent="0.3">
      <c r="A159" s="3">
        <v>27</v>
      </c>
      <c r="B159" s="3" t="s">
        <v>539</v>
      </c>
      <c r="C159" s="3" t="s">
        <v>420</v>
      </c>
      <c r="D159" s="3" t="s">
        <v>420</v>
      </c>
      <c r="E159" s="3" t="s">
        <v>420</v>
      </c>
      <c r="F159" s="3" t="s">
        <v>420</v>
      </c>
      <c r="G159" s="3" t="s">
        <v>420</v>
      </c>
      <c r="H159" s="3">
        <v>4000</v>
      </c>
      <c r="I159" s="3">
        <v>0</v>
      </c>
      <c r="J159" s="3" t="s">
        <v>28</v>
      </c>
      <c r="K159" s="3"/>
      <c r="L159" s="3" t="s">
        <v>543</v>
      </c>
      <c r="M159" s="3" t="s">
        <v>555</v>
      </c>
      <c r="N159" s="4">
        <v>150</v>
      </c>
      <c r="O159" s="4">
        <v>0</v>
      </c>
      <c r="P159" s="4">
        <v>0</v>
      </c>
      <c r="Q159" s="4">
        <v>0</v>
      </c>
      <c r="R159" s="4">
        <v>0</v>
      </c>
      <c r="S159" s="3" t="s">
        <v>50</v>
      </c>
      <c r="T159" s="3" t="s">
        <v>420</v>
      </c>
      <c r="U159" s="3"/>
      <c r="V159" s="3" t="s">
        <v>420</v>
      </c>
      <c r="W159" s="3" t="s">
        <v>542</v>
      </c>
    </row>
    <row r="160" spans="1:23" x14ac:dyDescent="0.3">
      <c r="A160" s="3">
        <v>27</v>
      </c>
      <c r="B160" s="3" t="s">
        <v>539</v>
      </c>
      <c r="C160" s="3" t="s">
        <v>420</v>
      </c>
      <c r="D160" s="3" t="s">
        <v>420</v>
      </c>
      <c r="E160" s="3" t="s">
        <v>420</v>
      </c>
      <c r="F160" s="3" t="s">
        <v>420</v>
      </c>
      <c r="G160" s="3" t="s">
        <v>420</v>
      </c>
      <c r="H160" s="3">
        <v>4000</v>
      </c>
      <c r="I160" s="3">
        <v>0</v>
      </c>
      <c r="J160" s="3" t="s">
        <v>28</v>
      </c>
      <c r="K160" s="3"/>
      <c r="L160" s="3" t="s">
        <v>556</v>
      </c>
      <c r="M160" s="3" t="s">
        <v>557</v>
      </c>
      <c r="N160" s="4">
        <v>100</v>
      </c>
      <c r="O160" s="4">
        <v>0</v>
      </c>
      <c r="P160" s="4">
        <v>0</v>
      </c>
      <c r="Q160" s="4">
        <v>0</v>
      </c>
      <c r="R160" s="4">
        <v>0</v>
      </c>
      <c r="S160" s="3" t="s">
        <v>50</v>
      </c>
      <c r="T160" s="3" t="s">
        <v>420</v>
      </c>
      <c r="U160" s="3"/>
      <c r="V160" s="3" t="s">
        <v>420</v>
      </c>
      <c r="W160" s="3" t="s">
        <v>542</v>
      </c>
    </row>
    <row r="161" spans="1:26" x14ac:dyDescent="0.3">
      <c r="A161" s="3">
        <v>27</v>
      </c>
      <c r="B161" s="3" t="s">
        <v>539</v>
      </c>
      <c r="C161" s="3" t="s">
        <v>420</v>
      </c>
      <c r="D161" s="3" t="s">
        <v>420</v>
      </c>
      <c r="E161" s="3" t="s">
        <v>420</v>
      </c>
      <c r="F161" s="3" t="s">
        <v>420</v>
      </c>
      <c r="G161" s="3" t="s">
        <v>420</v>
      </c>
      <c r="H161" s="3">
        <v>4000</v>
      </c>
      <c r="I161" s="3">
        <v>0</v>
      </c>
      <c r="J161" s="3" t="s">
        <v>28</v>
      </c>
      <c r="K161" s="3"/>
      <c r="L161" s="3" t="s">
        <v>547</v>
      </c>
      <c r="M161" s="3" t="s">
        <v>558</v>
      </c>
      <c r="N161" s="4">
        <v>2500</v>
      </c>
      <c r="O161" s="4">
        <v>0</v>
      </c>
      <c r="P161" s="4">
        <v>0</v>
      </c>
      <c r="Q161" s="4">
        <v>0</v>
      </c>
      <c r="R161" s="4">
        <v>0</v>
      </c>
      <c r="S161" s="3" t="s">
        <v>50</v>
      </c>
      <c r="T161" s="3" t="s">
        <v>420</v>
      </c>
      <c r="U161" s="3"/>
      <c r="V161" s="3" t="s">
        <v>420</v>
      </c>
      <c r="W161" s="3" t="s">
        <v>542</v>
      </c>
    </row>
    <row r="162" spans="1:26" x14ac:dyDescent="0.3">
      <c r="A162" s="3">
        <v>27</v>
      </c>
      <c r="B162" s="3" t="s">
        <v>539</v>
      </c>
      <c r="C162" s="3" t="s">
        <v>420</v>
      </c>
      <c r="D162" s="3" t="s">
        <v>420</v>
      </c>
      <c r="E162" s="3" t="s">
        <v>420</v>
      </c>
      <c r="F162" s="3" t="s">
        <v>420</v>
      </c>
      <c r="G162" s="3" t="s">
        <v>420</v>
      </c>
      <c r="H162" s="3">
        <v>4000</v>
      </c>
      <c r="I162" s="3">
        <v>0</v>
      </c>
      <c r="J162" s="3" t="s">
        <v>28</v>
      </c>
      <c r="K162" s="3"/>
      <c r="L162" s="3" t="s">
        <v>547</v>
      </c>
      <c r="M162" s="3" t="s">
        <v>559</v>
      </c>
      <c r="N162" s="4">
        <v>2000</v>
      </c>
      <c r="O162" s="4">
        <v>0</v>
      </c>
      <c r="P162" s="4">
        <v>0</v>
      </c>
      <c r="Q162" s="4">
        <v>0</v>
      </c>
      <c r="R162" s="4">
        <v>0</v>
      </c>
      <c r="S162" s="3" t="s">
        <v>50</v>
      </c>
      <c r="T162" s="3" t="s">
        <v>420</v>
      </c>
      <c r="U162" s="3"/>
      <c r="V162" s="3" t="s">
        <v>420</v>
      </c>
      <c r="W162" s="3" t="s">
        <v>542</v>
      </c>
    </row>
    <row r="163" spans="1:26" x14ac:dyDescent="0.3">
      <c r="A163" s="26">
        <v>27</v>
      </c>
      <c r="B163" s="26" t="s">
        <v>560</v>
      </c>
      <c r="C163" s="26"/>
      <c r="D163" s="26"/>
      <c r="E163" s="26"/>
      <c r="F163" s="26"/>
      <c r="G163" s="26"/>
      <c r="H163" s="26">
        <v>4000</v>
      </c>
      <c r="I163" s="26">
        <v>0</v>
      </c>
      <c r="J163" s="26" t="s">
        <v>561</v>
      </c>
      <c r="K163" s="3"/>
      <c r="L163" s="26" t="s">
        <v>562</v>
      </c>
      <c r="M163" s="26" t="s">
        <v>562</v>
      </c>
      <c r="N163" s="27">
        <v>500</v>
      </c>
      <c r="O163" s="4">
        <v>600</v>
      </c>
      <c r="P163" s="4">
        <v>600</v>
      </c>
      <c r="Q163" s="4">
        <v>600</v>
      </c>
      <c r="R163" s="4">
        <v>600</v>
      </c>
      <c r="S163" s="3" t="s">
        <v>50</v>
      </c>
      <c r="T163" s="3"/>
      <c r="U163" s="3"/>
      <c r="V163" s="3"/>
      <c r="W163" s="3"/>
      <c r="Y163" s="28">
        <f t="shared" ref="Y163:Y218" si="0">N163-Z163</f>
        <v>0</v>
      </c>
      <c r="Z163" s="29">
        <v>500</v>
      </c>
    </row>
    <row r="164" spans="1:26" x14ac:dyDescent="0.3">
      <c r="A164" s="26">
        <v>27</v>
      </c>
      <c r="B164" s="26" t="s">
        <v>560</v>
      </c>
      <c r="C164" s="26"/>
      <c r="D164" s="26"/>
      <c r="E164" s="26"/>
      <c r="F164" s="26"/>
      <c r="G164" s="26"/>
      <c r="H164" s="26">
        <v>4000</v>
      </c>
      <c r="I164" s="26">
        <v>0</v>
      </c>
      <c r="J164" s="26" t="s">
        <v>561</v>
      </c>
      <c r="K164" s="3"/>
      <c r="L164" s="26" t="s">
        <v>563</v>
      </c>
      <c r="M164" s="26" t="s">
        <v>563</v>
      </c>
      <c r="N164" s="27">
        <v>300</v>
      </c>
      <c r="O164" s="4">
        <v>400</v>
      </c>
      <c r="P164" s="4">
        <v>400</v>
      </c>
      <c r="Q164" s="4">
        <v>400</v>
      </c>
      <c r="R164" s="4">
        <v>400</v>
      </c>
      <c r="S164" s="3" t="s">
        <v>50</v>
      </c>
      <c r="T164" s="3"/>
      <c r="U164" s="3"/>
      <c r="V164" s="3"/>
      <c r="W164" s="3"/>
      <c r="Y164" s="28">
        <f t="shared" si="0"/>
        <v>0</v>
      </c>
      <c r="Z164" s="29">
        <v>300</v>
      </c>
    </row>
    <row r="165" spans="1:26" x14ac:dyDescent="0.3">
      <c r="A165" s="3">
        <v>27</v>
      </c>
      <c r="B165" s="3" t="s">
        <v>560</v>
      </c>
      <c r="C165" s="3"/>
      <c r="D165" s="3"/>
      <c r="E165" s="3"/>
      <c r="F165" s="3"/>
      <c r="G165" s="3"/>
      <c r="H165" s="3">
        <v>4000</v>
      </c>
      <c r="I165" s="3">
        <v>0</v>
      </c>
      <c r="J165" s="3" t="s">
        <v>561</v>
      </c>
      <c r="K165" s="3"/>
      <c r="L165" s="3" t="s">
        <v>564</v>
      </c>
      <c r="M165" s="3" t="s">
        <v>564</v>
      </c>
      <c r="N165" s="4">
        <v>300</v>
      </c>
      <c r="O165" s="4">
        <v>300</v>
      </c>
      <c r="P165" s="4">
        <v>300</v>
      </c>
      <c r="Q165" s="4">
        <v>300</v>
      </c>
      <c r="R165" s="4">
        <v>300</v>
      </c>
      <c r="S165" s="3" t="s">
        <v>50</v>
      </c>
      <c r="T165" s="3"/>
      <c r="U165" s="3"/>
      <c r="V165" s="3"/>
      <c r="W165" s="3"/>
      <c r="Y165" s="30">
        <f t="shared" si="0"/>
        <v>0</v>
      </c>
      <c r="Z165" s="5">
        <v>300</v>
      </c>
    </row>
    <row r="166" spans="1:26" x14ac:dyDescent="0.3">
      <c r="A166" s="3">
        <v>27</v>
      </c>
      <c r="B166" s="3" t="s">
        <v>560</v>
      </c>
      <c r="C166" s="3"/>
      <c r="D166" s="3"/>
      <c r="E166" s="3"/>
      <c r="F166" s="3"/>
      <c r="G166" s="3"/>
      <c r="H166" s="3">
        <v>4000</v>
      </c>
      <c r="I166" s="3">
        <v>0</v>
      </c>
      <c r="J166" s="3" t="s">
        <v>561</v>
      </c>
      <c r="K166" s="3"/>
      <c r="L166" s="3" t="s">
        <v>565</v>
      </c>
      <c r="M166" s="3" t="s">
        <v>565</v>
      </c>
      <c r="N166" s="4">
        <v>20</v>
      </c>
      <c r="O166" s="4">
        <v>20</v>
      </c>
      <c r="P166" s="4">
        <v>20</v>
      </c>
      <c r="Q166" s="4">
        <v>20</v>
      </c>
      <c r="R166" s="4">
        <v>20</v>
      </c>
      <c r="S166" s="3" t="s">
        <v>50</v>
      </c>
      <c r="T166" s="3"/>
      <c r="U166" s="3"/>
      <c r="V166" s="3"/>
      <c r="W166" s="3"/>
      <c r="Y166" s="30">
        <f t="shared" si="0"/>
        <v>0</v>
      </c>
      <c r="Z166" s="5">
        <v>20</v>
      </c>
    </row>
    <row r="167" spans="1:26" x14ac:dyDescent="0.3">
      <c r="A167" s="3">
        <v>27</v>
      </c>
      <c r="B167" s="3" t="s">
        <v>560</v>
      </c>
      <c r="C167" s="3"/>
      <c r="D167" s="3"/>
      <c r="E167" s="3"/>
      <c r="F167" s="3"/>
      <c r="G167" s="3"/>
      <c r="H167" s="3">
        <v>4000</v>
      </c>
      <c r="I167" s="3">
        <v>0</v>
      </c>
      <c r="J167" s="3" t="s">
        <v>561</v>
      </c>
      <c r="K167" s="3"/>
      <c r="L167" s="3" t="s">
        <v>566</v>
      </c>
      <c r="M167" s="3" t="s">
        <v>567</v>
      </c>
      <c r="N167" s="4"/>
      <c r="O167" s="4"/>
      <c r="P167" s="4"/>
      <c r="Q167" s="4"/>
      <c r="R167" s="4"/>
      <c r="S167" s="3" t="s">
        <v>568</v>
      </c>
      <c r="T167" s="3"/>
      <c r="U167" s="3"/>
      <c r="V167" s="3"/>
      <c r="W167" s="3"/>
      <c r="Y167" s="30">
        <f t="shared" si="0"/>
        <v>0</v>
      </c>
    </row>
    <row r="168" spans="1:26" x14ac:dyDescent="0.3">
      <c r="A168" s="3">
        <v>27</v>
      </c>
      <c r="B168" s="3" t="s">
        <v>560</v>
      </c>
      <c r="C168" s="3"/>
      <c r="D168" s="3"/>
      <c r="E168" s="3"/>
      <c r="F168" s="3"/>
      <c r="G168" s="3"/>
      <c r="H168" s="3">
        <v>4000</v>
      </c>
      <c r="I168" s="3">
        <v>0</v>
      </c>
      <c r="J168" s="3" t="s">
        <v>561</v>
      </c>
      <c r="K168" s="3"/>
      <c r="L168" s="3" t="s">
        <v>569</v>
      </c>
      <c r="M168" s="3" t="s">
        <v>570</v>
      </c>
      <c r="N168" s="4">
        <v>2000</v>
      </c>
      <c r="O168" s="4">
        <v>2000</v>
      </c>
      <c r="P168" s="4">
        <v>2000</v>
      </c>
      <c r="Q168" s="4">
        <v>2000</v>
      </c>
      <c r="R168" s="4">
        <v>2000</v>
      </c>
      <c r="S168" s="3" t="s">
        <v>50</v>
      </c>
      <c r="T168" s="3"/>
      <c r="U168" s="3"/>
      <c r="V168" s="3"/>
      <c r="W168" s="3"/>
      <c r="Y168" s="30">
        <f t="shared" si="0"/>
        <v>0</v>
      </c>
      <c r="Z168" s="5">
        <v>2000</v>
      </c>
    </row>
    <row r="169" spans="1:26" x14ac:dyDescent="0.3">
      <c r="A169" s="3">
        <v>27</v>
      </c>
      <c r="B169" s="3" t="s">
        <v>560</v>
      </c>
      <c r="C169" s="3"/>
      <c r="D169" s="3"/>
      <c r="E169" s="3"/>
      <c r="F169" s="3"/>
      <c r="G169" s="3"/>
      <c r="H169" s="3">
        <v>4000</v>
      </c>
      <c r="I169" s="3">
        <v>0</v>
      </c>
      <c r="J169" s="3" t="s">
        <v>561</v>
      </c>
      <c r="K169" s="3"/>
      <c r="L169" s="3" t="s">
        <v>571</v>
      </c>
      <c r="M169" s="3" t="s">
        <v>572</v>
      </c>
      <c r="N169" s="4">
        <v>15</v>
      </c>
      <c r="O169" s="4">
        <v>15</v>
      </c>
      <c r="P169" s="4">
        <v>15</v>
      </c>
      <c r="Q169" s="4">
        <v>15</v>
      </c>
      <c r="R169" s="4">
        <v>15</v>
      </c>
      <c r="S169" s="3" t="s">
        <v>24</v>
      </c>
      <c r="T169" s="3" t="s">
        <v>573</v>
      </c>
      <c r="U169" s="3"/>
      <c r="V169" s="3"/>
      <c r="W169" s="3" t="s">
        <v>574</v>
      </c>
      <c r="X169" s="31"/>
      <c r="Y169" s="30">
        <f t="shared" si="0"/>
        <v>0</v>
      </c>
      <c r="Z169" s="5">
        <v>15</v>
      </c>
    </row>
    <row r="170" spans="1:26" x14ac:dyDescent="0.3">
      <c r="A170" s="3">
        <v>27</v>
      </c>
      <c r="B170" s="3" t="s">
        <v>560</v>
      </c>
      <c r="C170" s="3"/>
      <c r="D170" s="3"/>
      <c r="E170" s="3"/>
      <c r="F170" s="3"/>
      <c r="G170" s="3"/>
      <c r="H170" s="3">
        <v>2830</v>
      </c>
      <c r="I170" s="3">
        <v>0</v>
      </c>
      <c r="J170" s="3" t="s">
        <v>561</v>
      </c>
      <c r="K170" s="3"/>
      <c r="L170" s="3" t="s">
        <v>575</v>
      </c>
      <c r="M170" s="3" t="s">
        <v>576</v>
      </c>
      <c r="N170" s="4">
        <v>2903</v>
      </c>
      <c r="O170" s="4">
        <v>2350</v>
      </c>
      <c r="P170" s="4">
        <v>0</v>
      </c>
      <c r="Q170" s="4">
        <v>0</v>
      </c>
      <c r="R170" s="4">
        <v>0</v>
      </c>
      <c r="S170" s="3" t="s">
        <v>577</v>
      </c>
      <c r="T170" s="3" t="s">
        <v>24</v>
      </c>
      <c r="U170" s="3" t="s">
        <v>578</v>
      </c>
      <c r="V170" s="3" t="s">
        <v>579</v>
      </c>
      <c r="W170" s="3"/>
      <c r="X170" s="31"/>
      <c r="Y170" s="30">
        <f t="shared" si="0"/>
        <v>0</v>
      </c>
      <c r="Z170" s="5">
        <v>2903</v>
      </c>
    </row>
    <row r="171" spans="1:26" x14ac:dyDescent="0.3">
      <c r="A171" s="26">
        <v>27</v>
      </c>
      <c r="B171" s="26" t="s">
        <v>560</v>
      </c>
      <c r="C171" s="26"/>
      <c r="D171" s="26"/>
      <c r="E171" s="26"/>
      <c r="F171" s="26"/>
      <c r="G171" s="26"/>
      <c r="H171" s="26">
        <v>4000</v>
      </c>
      <c r="I171" s="26">
        <v>0</v>
      </c>
      <c r="J171" s="26" t="s">
        <v>561</v>
      </c>
      <c r="K171" s="3" t="s">
        <v>580</v>
      </c>
      <c r="L171" s="26" t="s">
        <v>581</v>
      </c>
      <c r="M171" s="26" t="s">
        <v>582</v>
      </c>
      <c r="N171" s="27">
        <v>400</v>
      </c>
      <c r="O171" s="4">
        <v>550</v>
      </c>
      <c r="P171" s="4">
        <v>600</v>
      </c>
      <c r="Q171" s="4">
        <v>600</v>
      </c>
      <c r="R171" s="4">
        <v>0</v>
      </c>
      <c r="S171" s="3" t="s">
        <v>267</v>
      </c>
      <c r="T171" s="3"/>
      <c r="U171" s="3"/>
      <c r="V171" s="3"/>
      <c r="W171" s="3"/>
      <c r="Y171" s="28">
        <f t="shared" si="0"/>
        <v>0</v>
      </c>
      <c r="Z171" s="29">
        <v>400</v>
      </c>
    </row>
    <row r="172" spans="1:26" x14ac:dyDescent="0.3">
      <c r="A172" s="26">
        <v>27</v>
      </c>
      <c r="B172" s="26" t="s">
        <v>560</v>
      </c>
      <c r="C172" s="26"/>
      <c r="D172" s="26"/>
      <c r="E172" s="26"/>
      <c r="F172" s="26"/>
      <c r="G172" s="26"/>
      <c r="H172" s="26">
        <v>4170</v>
      </c>
      <c r="I172" s="26">
        <v>0</v>
      </c>
      <c r="J172" s="26" t="s">
        <v>583</v>
      </c>
      <c r="K172" s="3" t="s">
        <v>580</v>
      </c>
      <c r="L172" s="26" t="s">
        <v>584</v>
      </c>
      <c r="M172" s="26" t="s">
        <v>585</v>
      </c>
      <c r="N172" s="27">
        <v>50</v>
      </c>
      <c r="O172" s="4">
        <v>100</v>
      </c>
      <c r="P172" s="4">
        <v>100</v>
      </c>
      <c r="Q172" s="4">
        <v>100</v>
      </c>
      <c r="R172" s="4">
        <v>100</v>
      </c>
      <c r="S172" s="3" t="s">
        <v>50</v>
      </c>
      <c r="T172" s="3"/>
      <c r="U172" s="3"/>
      <c r="V172" s="3"/>
      <c r="W172" s="3"/>
      <c r="Y172" s="28">
        <f t="shared" si="0"/>
        <v>0</v>
      </c>
      <c r="Z172" s="29">
        <v>50</v>
      </c>
    </row>
    <row r="173" spans="1:26" x14ac:dyDescent="0.3">
      <c r="A173" s="3">
        <v>27</v>
      </c>
      <c r="B173" s="3" t="s">
        <v>560</v>
      </c>
      <c r="C173" s="3"/>
      <c r="D173" s="3"/>
      <c r="E173" s="3"/>
      <c r="F173" s="3"/>
      <c r="G173" s="3"/>
      <c r="H173" s="3">
        <v>2830</v>
      </c>
      <c r="I173" s="3">
        <v>0</v>
      </c>
      <c r="J173" s="3" t="s">
        <v>561</v>
      </c>
      <c r="K173" s="3" t="s">
        <v>586</v>
      </c>
      <c r="L173" s="3" t="s">
        <v>587</v>
      </c>
      <c r="M173" s="3" t="s">
        <v>588</v>
      </c>
      <c r="N173" s="4">
        <v>0</v>
      </c>
      <c r="O173" s="4">
        <v>0</v>
      </c>
      <c r="P173" s="4">
        <v>0</v>
      </c>
      <c r="Q173" s="4">
        <v>0</v>
      </c>
      <c r="R173" s="4">
        <v>0</v>
      </c>
      <c r="S173" s="3" t="s">
        <v>24</v>
      </c>
      <c r="T173" s="3" t="s">
        <v>24</v>
      </c>
      <c r="U173" s="3" t="s">
        <v>589</v>
      </c>
      <c r="V173" s="3" t="s">
        <v>579</v>
      </c>
      <c r="W173" s="3"/>
      <c r="Y173" s="30">
        <f t="shared" si="0"/>
        <v>0</v>
      </c>
      <c r="Z173" s="5">
        <v>0</v>
      </c>
    </row>
    <row r="174" spans="1:26" x14ac:dyDescent="0.3">
      <c r="A174" s="3">
        <v>27</v>
      </c>
      <c r="B174" s="3" t="s">
        <v>560</v>
      </c>
      <c r="C174" s="3"/>
      <c r="D174" s="3"/>
      <c r="E174" s="3"/>
      <c r="F174" s="3"/>
      <c r="G174" s="3"/>
      <c r="H174" s="3">
        <v>6230</v>
      </c>
      <c r="I174" s="3">
        <v>0</v>
      </c>
      <c r="J174" s="3" t="s">
        <v>561</v>
      </c>
      <c r="K174" s="3" t="s">
        <v>586</v>
      </c>
      <c r="L174" s="3" t="s">
        <v>587</v>
      </c>
      <c r="M174" s="3" t="s">
        <v>590</v>
      </c>
      <c r="N174" s="4">
        <v>0</v>
      </c>
      <c r="O174" s="4">
        <v>0</v>
      </c>
      <c r="P174" s="4">
        <v>0</v>
      </c>
      <c r="Q174" s="4">
        <v>0</v>
      </c>
      <c r="R174" s="4">
        <v>0</v>
      </c>
      <c r="S174" s="3" t="s">
        <v>24</v>
      </c>
      <c r="T174" s="3" t="s">
        <v>24</v>
      </c>
      <c r="U174" s="3" t="s">
        <v>589</v>
      </c>
      <c r="V174" s="3" t="s">
        <v>579</v>
      </c>
      <c r="W174" s="3"/>
      <c r="Y174" s="30">
        <f t="shared" si="0"/>
        <v>0</v>
      </c>
      <c r="Z174" s="5">
        <v>0</v>
      </c>
    </row>
    <row r="175" spans="1:26" x14ac:dyDescent="0.3">
      <c r="A175" s="3">
        <v>27</v>
      </c>
      <c r="B175" s="3" t="s">
        <v>560</v>
      </c>
      <c r="C175" s="3" t="s">
        <v>458</v>
      </c>
      <c r="D175" s="3" t="s">
        <v>591</v>
      </c>
      <c r="E175" s="3" t="s">
        <v>458</v>
      </c>
      <c r="F175" s="3" t="s">
        <v>458</v>
      </c>
      <c r="G175" s="3" t="s">
        <v>458</v>
      </c>
      <c r="H175" s="3">
        <v>2810</v>
      </c>
      <c r="I175" s="3">
        <v>0</v>
      </c>
      <c r="J175" s="3" t="s">
        <v>561</v>
      </c>
      <c r="K175" s="3" t="s">
        <v>580</v>
      </c>
      <c r="L175" s="3" t="s">
        <v>592</v>
      </c>
      <c r="M175" s="3" t="s">
        <v>593</v>
      </c>
      <c r="N175" s="4">
        <v>9000</v>
      </c>
      <c r="O175" s="4">
        <v>9000</v>
      </c>
      <c r="P175" s="4">
        <v>9000</v>
      </c>
      <c r="Q175" s="4">
        <v>9000</v>
      </c>
      <c r="R175" s="4">
        <v>6200</v>
      </c>
      <c r="S175" s="3" t="s">
        <v>50</v>
      </c>
      <c r="T175" s="3" t="s">
        <v>50</v>
      </c>
      <c r="U175" s="3"/>
      <c r="V175" s="3"/>
      <c r="W175" s="3"/>
      <c r="Y175" s="30">
        <f t="shared" si="0"/>
        <v>0</v>
      </c>
      <c r="Z175" s="5">
        <v>9000</v>
      </c>
    </row>
    <row r="176" spans="1:26" x14ac:dyDescent="0.3">
      <c r="A176" s="3">
        <v>27</v>
      </c>
      <c r="B176" s="3" t="s">
        <v>560</v>
      </c>
      <c r="C176" s="3" t="s">
        <v>458</v>
      </c>
      <c r="D176" s="3" t="s">
        <v>594</v>
      </c>
      <c r="E176" s="3" t="s">
        <v>458</v>
      </c>
      <c r="F176" s="3" t="s">
        <v>458</v>
      </c>
      <c r="G176" s="3" t="s">
        <v>458</v>
      </c>
      <c r="H176" s="3">
        <v>2810</v>
      </c>
      <c r="I176" s="3">
        <v>0</v>
      </c>
      <c r="J176" s="3" t="s">
        <v>561</v>
      </c>
      <c r="K176" s="3" t="s">
        <v>580</v>
      </c>
      <c r="L176" s="3" t="s">
        <v>595</v>
      </c>
      <c r="M176" s="3" t="s">
        <v>596</v>
      </c>
      <c r="N176" s="4">
        <v>35000</v>
      </c>
      <c r="O176" s="4">
        <v>35000</v>
      </c>
      <c r="P176" s="4">
        <v>35000</v>
      </c>
      <c r="Q176" s="4">
        <v>35000</v>
      </c>
      <c r="R176" s="4">
        <v>35000</v>
      </c>
      <c r="S176" s="3" t="s">
        <v>50</v>
      </c>
      <c r="T176" s="3" t="s">
        <v>50</v>
      </c>
      <c r="U176" s="3"/>
      <c r="V176" s="3"/>
      <c r="W176" s="3"/>
      <c r="Y176" s="30">
        <f t="shared" si="0"/>
        <v>0</v>
      </c>
      <c r="Z176" s="5">
        <v>35000</v>
      </c>
    </row>
    <row r="177" spans="1:26" x14ac:dyDescent="0.3">
      <c r="A177" s="26">
        <v>27</v>
      </c>
      <c r="B177" s="26" t="s">
        <v>560</v>
      </c>
      <c r="C177" s="26" t="s">
        <v>458</v>
      </c>
      <c r="D177" s="26" t="s">
        <v>597</v>
      </c>
      <c r="E177" s="26" t="s">
        <v>458</v>
      </c>
      <c r="F177" s="26" t="s">
        <v>458</v>
      </c>
      <c r="G177" s="26" t="s">
        <v>458</v>
      </c>
      <c r="H177" s="26">
        <v>4000</v>
      </c>
      <c r="I177" s="26">
        <v>0</v>
      </c>
      <c r="J177" s="26" t="s">
        <v>561</v>
      </c>
      <c r="K177" s="3" t="s">
        <v>580</v>
      </c>
      <c r="L177" s="26" t="s">
        <v>587</v>
      </c>
      <c r="M177" s="26" t="s">
        <v>598</v>
      </c>
      <c r="N177" s="27">
        <v>2887</v>
      </c>
      <c r="O177" s="4">
        <v>5000</v>
      </c>
      <c r="P177" s="4">
        <v>5000</v>
      </c>
      <c r="Q177" s="4">
        <v>5000</v>
      </c>
      <c r="R177" s="4">
        <v>5000</v>
      </c>
      <c r="S177" s="3" t="s">
        <v>50</v>
      </c>
      <c r="T177" s="3" t="s">
        <v>50</v>
      </c>
      <c r="U177" s="3"/>
      <c r="V177" s="3"/>
      <c r="W177" s="3"/>
      <c r="Y177" s="28">
        <f t="shared" si="0"/>
        <v>0</v>
      </c>
      <c r="Z177" s="29">
        <v>2887</v>
      </c>
    </row>
    <row r="178" spans="1:26" x14ac:dyDescent="0.3">
      <c r="A178" s="3">
        <v>27</v>
      </c>
      <c r="B178" s="3" t="s">
        <v>560</v>
      </c>
      <c r="C178" s="3" t="s">
        <v>458</v>
      </c>
      <c r="D178" s="3" t="s">
        <v>599</v>
      </c>
      <c r="E178" s="3" t="s">
        <v>458</v>
      </c>
      <c r="F178" s="3" t="s">
        <v>458</v>
      </c>
      <c r="G178" s="3" t="s">
        <v>458</v>
      </c>
      <c r="H178" s="3">
        <v>2800</v>
      </c>
      <c r="I178" s="3">
        <v>0</v>
      </c>
      <c r="J178" s="3" t="s">
        <v>561</v>
      </c>
      <c r="K178" s="3"/>
      <c r="L178" s="3" t="s">
        <v>600</v>
      </c>
      <c r="M178" s="3" t="s">
        <v>599</v>
      </c>
      <c r="N178" s="4">
        <v>7335</v>
      </c>
      <c r="O178" s="4">
        <v>0</v>
      </c>
      <c r="P178" s="4">
        <v>0</v>
      </c>
      <c r="Q178" s="4">
        <v>0</v>
      </c>
      <c r="R178" s="4">
        <v>0</v>
      </c>
      <c r="S178" s="3" t="s">
        <v>50</v>
      </c>
      <c r="T178" s="3" t="s">
        <v>509</v>
      </c>
      <c r="U178" s="3"/>
      <c r="V178" s="3"/>
      <c r="W178" s="3"/>
      <c r="Y178" s="30">
        <f t="shared" si="0"/>
        <v>0</v>
      </c>
      <c r="Z178" s="5">
        <v>7335</v>
      </c>
    </row>
    <row r="179" spans="1:26" x14ac:dyDescent="0.3">
      <c r="A179" s="3">
        <v>27</v>
      </c>
      <c r="B179" s="3" t="s">
        <v>560</v>
      </c>
      <c r="C179" s="3" t="s">
        <v>458</v>
      </c>
      <c r="D179" s="3" t="s">
        <v>601</v>
      </c>
      <c r="E179" s="3" t="s">
        <v>458</v>
      </c>
      <c r="F179" s="3" t="s">
        <v>458</v>
      </c>
      <c r="G179" s="3" t="s">
        <v>458</v>
      </c>
      <c r="H179" s="3">
        <v>2830</v>
      </c>
      <c r="I179" s="3">
        <v>0</v>
      </c>
      <c r="J179" s="3" t="s">
        <v>561</v>
      </c>
      <c r="K179" s="3"/>
      <c r="L179" s="3" t="s">
        <v>602</v>
      </c>
      <c r="M179" s="3" t="s">
        <v>601</v>
      </c>
      <c r="N179" s="4">
        <v>14410</v>
      </c>
      <c r="O179" s="4">
        <v>0</v>
      </c>
      <c r="P179" s="4">
        <v>0</v>
      </c>
      <c r="Q179" s="4">
        <v>0</v>
      </c>
      <c r="R179" s="4">
        <v>0</v>
      </c>
      <c r="S179" s="3" t="s">
        <v>50</v>
      </c>
      <c r="T179" s="3" t="s">
        <v>509</v>
      </c>
      <c r="U179" s="3"/>
      <c r="V179" s="3"/>
      <c r="W179" s="3"/>
      <c r="Y179" s="30">
        <f t="shared" si="0"/>
        <v>0</v>
      </c>
      <c r="Z179" s="5">
        <v>14410</v>
      </c>
    </row>
    <row r="180" spans="1:26" x14ac:dyDescent="0.3">
      <c r="A180" s="3">
        <v>27</v>
      </c>
      <c r="B180" s="3" t="s">
        <v>560</v>
      </c>
      <c r="C180" s="3" t="s">
        <v>458</v>
      </c>
      <c r="D180" s="3"/>
      <c r="E180" s="3" t="s">
        <v>458</v>
      </c>
      <c r="F180" s="3" t="s">
        <v>458</v>
      </c>
      <c r="G180" s="3" t="s">
        <v>458</v>
      </c>
      <c r="H180" s="3">
        <v>2830</v>
      </c>
      <c r="I180" s="3">
        <v>0</v>
      </c>
      <c r="J180" s="3" t="s">
        <v>561</v>
      </c>
      <c r="K180" s="3"/>
      <c r="L180" s="3" t="s">
        <v>603</v>
      </c>
      <c r="M180" s="3" t="s">
        <v>604</v>
      </c>
      <c r="N180" s="4">
        <v>1300</v>
      </c>
      <c r="O180" s="4">
        <v>1300</v>
      </c>
      <c r="P180" s="4">
        <v>1300</v>
      </c>
      <c r="Q180" s="4">
        <v>1300</v>
      </c>
      <c r="R180" s="4">
        <v>1300</v>
      </c>
      <c r="S180" s="3" t="s">
        <v>50</v>
      </c>
      <c r="T180" s="3" t="s">
        <v>50</v>
      </c>
      <c r="U180" s="3"/>
      <c r="V180" s="3" t="s">
        <v>579</v>
      </c>
      <c r="W180" s="3"/>
      <c r="Y180" s="30">
        <f t="shared" si="0"/>
        <v>0</v>
      </c>
      <c r="Z180" s="5">
        <v>1300</v>
      </c>
    </row>
    <row r="181" spans="1:26" x14ac:dyDescent="0.3">
      <c r="A181" s="3">
        <v>27</v>
      </c>
      <c r="B181" s="3" t="s">
        <v>560</v>
      </c>
      <c r="C181" s="3" t="s">
        <v>458</v>
      </c>
      <c r="D181" s="3"/>
      <c r="E181" s="3" t="s">
        <v>458</v>
      </c>
      <c r="F181" s="3" t="s">
        <v>458</v>
      </c>
      <c r="G181" s="3" t="s">
        <v>458</v>
      </c>
      <c r="H181" s="3">
        <v>2830</v>
      </c>
      <c r="I181" s="3">
        <v>0</v>
      </c>
      <c r="J181" s="3" t="s">
        <v>561</v>
      </c>
      <c r="K181" s="3"/>
      <c r="L181" s="3" t="s">
        <v>605</v>
      </c>
      <c r="M181" s="3" t="s">
        <v>604</v>
      </c>
      <c r="N181" s="4">
        <v>3000</v>
      </c>
      <c r="O181" s="4">
        <v>0</v>
      </c>
      <c r="P181" s="4">
        <v>0</v>
      </c>
      <c r="Q181" s="4">
        <v>0</v>
      </c>
      <c r="R181" s="4">
        <v>0</v>
      </c>
      <c r="S181" s="3" t="s">
        <v>50</v>
      </c>
      <c r="T181" s="3" t="s">
        <v>50</v>
      </c>
      <c r="U181" s="3"/>
      <c r="V181" s="3" t="s">
        <v>579</v>
      </c>
      <c r="W181" s="3"/>
      <c r="Y181" s="30">
        <f t="shared" si="0"/>
        <v>0</v>
      </c>
      <c r="Z181" s="5">
        <v>3000</v>
      </c>
    </row>
    <row r="182" spans="1:26" x14ac:dyDescent="0.3">
      <c r="A182" s="3">
        <v>27</v>
      </c>
      <c r="B182" s="3" t="s">
        <v>560</v>
      </c>
      <c r="C182" s="3" t="s">
        <v>458</v>
      </c>
      <c r="D182" s="3" t="s">
        <v>606</v>
      </c>
      <c r="E182" s="3" t="s">
        <v>458</v>
      </c>
      <c r="F182" s="3" t="s">
        <v>458</v>
      </c>
      <c r="G182" s="3" t="s">
        <v>458</v>
      </c>
      <c r="H182" s="3">
        <v>4410</v>
      </c>
      <c r="I182" s="3">
        <v>0</v>
      </c>
      <c r="J182" s="3" t="s">
        <v>561</v>
      </c>
      <c r="K182" s="3"/>
      <c r="L182" s="3" t="s">
        <v>607</v>
      </c>
      <c r="M182" s="3" t="s">
        <v>607</v>
      </c>
      <c r="N182" s="4"/>
      <c r="O182" s="4"/>
      <c r="P182" s="4"/>
      <c r="Q182" s="4"/>
      <c r="R182" s="4"/>
      <c r="S182" s="3" t="s">
        <v>50</v>
      </c>
      <c r="T182" s="3" t="s">
        <v>509</v>
      </c>
      <c r="U182" s="3"/>
      <c r="V182" s="3"/>
      <c r="W182" s="6" t="s">
        <v>608</v>
      </c>
      <c r="Y182" s="30">
        <f t="shared" si="0"/>
        <v>0</v>
      </c>
    </row>
    <row r="183" spans="1:26" x14ac:dyDescent="0.3">
      <c r="A183" s="3">
        <v>27</v>
      </c>
      <c r="B183" s="3" t="s">
        <v>560</v>
      </c>
      <c r="C183" s="3" t="s">
        <v>458</v>
      </c>
      <c r="D183" s="3" t="s">
        <v>609</v>
      </c>
      <c r="E183" s="3" t="s">
        <v>458</v>
      </c>
      <c r="F183" s="3" t="s">
        <v>458</v>
      </c>
      <c r="G183" s="3" t="s">
        <v>458</v>
      </c>
      <c r="H183" s="3">
        <v>4420</v>
      </c>
      <c r="I183" s="3">
        <v>0</v>
      </c>
      <c r="J183" s="3" t="s">
        <v>561</v>
      </c>
      <c r="K183" s="3"/>
      <c r="L183" s="3" t="s">
        <v>610</v>
      </c>
      <c r="M183" s="3" t="s">
        <v>610</v>
      </c>
      <c r="N183" s="4"/>
      <c r="O183" s="4"/>
      <c r="P183" s="4"/>
      <c r="Q183" s="4">
        <v>0</v>
      </c>
      <c r="R183" s="4">
        <v>0</v>
      </c>
      <c r="S183" s="3" t="s">
        <v>50</v>
      </c>
      <c r="T183" s="3" t="s">
        <v>509</v>
      </c>
      <c r="U183" s="3"/>
      <c r="V183" s="3"/>
      <c r="W183" s="6" t="s">
        <v>611</v>
      </c>
      <c r="Y183" s="30">
        <f t="shared" si="0"/>
        <v>0</v>
      </c>
    </row>
    <row r="184" spans="1:26" x14ac:dyDescent="0.3">
      <c r="A184" s="3">
        <v>27</v>
      </c>
      <c r="B184" s="3" t="s">
        <v>560</v>
      </c>
      <c r="C184" s="3" t="s">
        <v>458</v>
      </c>
      <c r="D184" s="3" t="s">
        <v>612</v>
      </c>
      <c r="E184" s="3" t="s">
        <v>458</v>
      </c>
      <c r="F184" s="3" t="s">
        <v>458</v>
      </c>
      <c r="G184" s="3" t="s">
        <v>458</v>
      </c>
      <c r="H184" s="3">
        <v>4000</v>
      </c>
      <c r="I184" s="3">
        <v>0</v>
      </c>
      <c r="J184" s="3" t="s">
        <v>561</v>
      </c>
      <c r="K184" s="3"/>
      <c r="L184" s="3" t="s">
        <v>613</v>
      </c>
      <c r="M184" s="3" t="s">
        <v>614</v>
      </c>
      <c r="N184" s="4">
        <v>30</v>
      </c>
      <c r="O184" s="4">
        <v>30</v>
      </c>
      <c r="P184" s="4">
        <v>30</v>
      </c>
      <c r="Q184" s="4">
        <v>0</v>
      </c>
      <c r="R184" s="4">
        <v>0</v>
      </c>
      <c r="S184" s="3" t="s">
        <v>50</v>
      </c>
      <c r="T184" s="3" t="s">
        <v>509</v>
      </c>
      <c r="U184" s="3"/>
      <c r="V184" s="3"/>
      <c r="W184" s="3"/>
      <c r="Y184" s="30">
        <f t="shared" si="0"/>
        <v>0</v>
      </c>
      <c r="Z184" s="5">
        <v>30</v>
      </c>
    </row>
    <row r="185" spans="1:26" x14ac:dyDescent="0.3">
      <c r="A185" s="3">
        <v>27</v>
      </c>
      <c r="B185" s="3" t="s">
        <v>560</v>
      </c>
      <c r="C185" s="3" t="s">
        <v>458</v>
      </c>
      <c r="D185" s="3" t="s">
        <v>615</v>
      </c>
      <c r="E185" s="3" t="s">
        <v>458</v>
      </c>
      <c r="F185" s="3" t="s">
        <v>458</v>
      </c>
      <c r="G185" s="3" t="s">
        <v>458</v>
      </c>
      <c r="H185" s="3">
        <v>4000</v>
      </c>
      <c r="I185" s="3">
        <v>0</v>
      </c>
      <c r="J185" s="3" t="s">
        <v>561</v>
      </c>
      <c r="K185" s="3"/>
      <c r="L185" s="3" t="s">
        <v>616</v>
      </c>
      <c r="M185" s="3" t="s">
        <v>616</v>
      </c>
      <c r="N185" s="4">
        <v>0</v>
      </c>
      <c r="O185" s="4">
        <v>0</v>
      </c>
      <c r="P185" s="4">
        <v>0</v>
      </c>
      <c r="Q185" s="4">
        <v>0</v>
      </c>
      <c r="R185" s="4">
        <v>0</v>
      </c>
      <c r="S185" s="3" t="s">
        <v>50</v>
      </c>
      <c r="T185" s="3" t="s">
        <v>509</v>
      </c>
      <c r="U185" s="3"/>
      <c r="V185" s="3"/>
      <c r="W185" s="3"/>
      <c r="Y185" s="30">
        <f t="shared" si="0"/>
        <v>0</v>
      </c>
      <c r="Z185" s="5">
        <v>0</v>
      </c>
    </row>
    <row r="186" spans="1:26" x14ac:dyDescent="0.3">
      <c r="A186" s="3">
        <v>27</v>
      </c>
      <c r="B186" s="3" t="s">
        <v>560</v>
      </c>
      <c r="C186" s="3" t="s">
        <v>458</v>
      </c>
      <c r="D186" s="3" t="s">
        <v>617</v>
      </c>
      <c r="E186" s="3" t="s">
        <v>458</v>
      </c>
      <c r="F186" s="3" t="s">
        <v>458</v>
      </c>
      <c r="G186" s="3" t="s">
        <v>458</v>
      </c>
      <c r="H186" s="3">
        <v>4550</v>
      </c>
      <c r="I186" s="3">
        <v>0</v>
      </c>
      <c r="J186" s="3" t="s">
        <v>561</v>
      </c>
      <c r="K186" s="3"/>
      <c r="L186" s="3" t="s">
        <v>618</v>
      </c>
      <c r="M186" s="3" t="s">
        <v>618</v>
      </c>
      <c r="N186" s="4">
        <v>50</v>
      </c>
      <c r="O186" s="4">
        <v>50</v>
      </c>
      <c r="P186" s="4">
        <v>50</v>
      </c>
      <c r="Q186" s="4">
        <v>0</v>
      </c>
      <c r="R186" s="4">
        <v>0</v>
      </c>
      <c r="S186" s="3" t="s">
        <v>50</v>
      </c>
      <c r="T186" s="3" t="s">
        <v>509</v>
      </c>
      <c r="U186" s="3"/>
      <c r="V186" s="3"/>
      <c r="W186" s="3"/>
      <c r="Y186" s="30">
        <f t="shared" si="0"/>
        <v>0</v>
      </c>
      <c r="Z186" s="5">
        <v>50</v>
      </c>
    </row>
    <row r="187" spans="1:26" x14ac:dyDescent="0.3">
      <c r="A187" s="3">
        <v>27</v>
      </c>
      <c r="B187" s="3" t="s">
        <v>619</v>
      </c>
      <c r="C187" s="3" t="s">
        <v>620</v>
      </c>
      <c r="D187" s="3" t="s">
        <v>621</v>
      </c>
      <c r="E187" s="3" t="s">
        <v>622</v>
      </c>
      <c r="F187" s="3" t="s">
        <v>26</v>
      </c>
      <c r="G187" s="3" t="s">
        <v>623</v>
      </c>
      <c r="H187" s="32">
        <v>2832</v>
      </c>
      <c r="I187" s="3">
        <v>0</v>
      </c>
      <c r="J187" s="3" t="s">
        <v>561</v>
      </c>
      <c r="K187" s="3" t="s">
        <v>580</v>
      </c>
      <c r="L187" s="3" t="s">
        <v>624</v>
      </c>
      <c r="M187" s="3" t="s">
        <v>625</v>
      </c>
      <c r="N187" s="33">
        <v>4310</v>
      </c>
      <c r="O187" s="33">
        <v>4310</v>
      </c>
      <c r="P187" s="33">
        <v>0</v>
      </c>
      <c r="Q187" s="33">
        <v>0</v>
      </c>
      <c r="R187" s="33">
        <v>0</v>
      </c>
      <c r="S187" s="3" t="s">
        <v>267</v>
      </c>
      <c r="T187" s="3"/>
      <c r="U187" s="3"/>
      <c r="V187" s="3" t="s">
        <v>626</v>
      </c>
      <c r="W187" s="34" t="s">
        <v>627</v>
      </c>
      <c r="Y187" s="30">
        <f t="shared" si="0"/>
        <v>0</v>
      </c>
      <c r="Z187" s="5">
        <v>4310</v>
      </c>
    </row>
    <row r="188" spans="1:26" x14ac:dyDescent="0.3">
      <c r="A188" s="3">
        <v>27</v>
      </c>
      <c r="B188" s="3" t="s">
        <v>619</v>
      </c>
      <c r="C188" s="3" t="s">
        <v>620</v>
      </c>
      <c r="D188" s="3" t="s">
        <v>621</v>
      </c>
      <c r="E188" s="3" t="s">
        <v>622</v>
      </c>
      <c r="F188" s="3" t="s">
        <v>26</v>
      </c>
      <c r="G188" s="3">
        <v>2024</v>
      </c>
      <c r="H188" s="32">
        <v>6232</v>
      </c>
      <c r="I188" s="3">
        <v>0</v>
      </c>
      <c r="J188" s="3" t="s">
        <v>561</v>
      </c>
      <c r="K188" s="3" t="s">
        <v>580</v>
      </c>
      <c r="L188" s="3" t="s">
        <v>628</v>
      </c>
      <c r="M188" s="3" t="s">
        <v>625</v>
      </c>
      <c r="N188" s="33">
        <v>0</v>
      </c>
      <c r="O188" s="33">
        <v>0</v>
      </c>
      <c r="P188" s="33">
        <v>0</v>
      </c>
      <c r="Q188" s="33">
        <v>0</v>
      </c>
      <c r="R188" s="33">
        <v>0</v>
      </c>
      <c r="S188" s="3" t="s">
        <v>267</v>
      </c>
      <c r="T188" s="3"/>
      <c r="U188" s="3"/>
      <c r="V188" s="3" t="s">
        <v>626</v>
      </c>
      <c r="W188" s="34" t="s">
        <v>627</v>
      </c>
      <c r="Y188" s="30">
        <f t="shared" si="0"/>
        <v>0</v>
      </c>
      <c r="Z188" s="5">
        <v>0</v>
      </c>
    </row>
    <row r="189" spans="1:26" x14ac:dyDescent="0.3">
      <c r="A189" s="3">
        <v>27</v>
      </c>
      <c r="B189" s="3" t="s">
        <v>619</v>
      </c>
      <c r="C189" s="3" t="s">
        <v>620</v>
      </c>
      <c r="D189" s="3" t="s">
        <v>629</v>
      </c>
      <c r="E189" s="3" t="s">
        <v>630</v>
      </c>
      <c r="F189" s="3" t="s">
        <v>458</v>
      </c>
      <c r="G189" s="3" t="s">
        <v>623</v>
      </c>
      <c r="H189" s="3">
        <v>2830</v>
      </c>
      <c r="I189" s="3">
        <v>0</v>
      </c>
      <c r="J189" s="3" t="s">
        <v>561</v>
      </c>
      <c r="K189" s="3" t="s">
        <v>586</v>
      </c>
      <c r="L189" s="3" t="s">
        <v>631</v>
      </c>
      <c r="M189" s="3" t="s">
        <v>631</v>
      </c>
      <c r="N189" s="4">
        <v>200</v>
      </c>
      <c r="O189" s="4">
        <v>200</v>
      </c>
      <c r="P189" s="4">
        <v>200</v>
      </c>
      <c r="Q189" s="4">
        <v>0</v>
      </c>
      <c r="R189" s="4">
        <v>0</v>
      </c>
      <c r="S189" s="3" t="s">
        <v>632</v>
      </c>
      <c r="T189" s="3"/>
      <c r="U189" s="3"/>
      <c r="V189" s="3" t="s">
        <v>633</v>
      </c>
      <c r="W189" s="3"/>
      <c r="Y189" s="30">
        <f t="shared" si="0"/>
        <v>0</v>
      </c>
      <c r="Z189" s="5">
        <v>200</v>
      </c>
    </row>
    <row r="190" spans="1:26" x14ac:dyDescent="0.3">
      <c r="A190" s="3">
        <v>27</v>
      </c>
      <c r="B190" s="3" t="s">
        <v>619</v>
      </c>
      <c r="C190" s="3" t="s">
        <v>620</v>
      </c>
      <c r="D190" s="3" t="s">
        <v>634</v>
      </c>
      <c r="E190" s="3" t="s">
        <v>635</v>
      </c>
      <c r="F190" s="3" t="s">
        <v>458</v>
      </c>
      <c r="G190" s="3">
        <v>2024</v>
      </c>
      <c r="H190" s="3">
        <v>2830</v>
      </c>
      <c r="I190" s="3">
        <v>0</v>
      </c>
      <c r="J190" s="3" t="s">
        <v>561</v>
      </c>
      <c r="K190" s="3" t="s">
        <v>586</v>
      </c>
      <c r="L190" s="3" t="s">
        <v>634</v>
      </c>
      <c r="M190" s="3"/>
      <c r="N190" s="4">
        <v>0</v>
      </c>
      <c r="O190" s="4">
        <v>0</v>
      </c>
      <c r="P190" s="4">
        <v>0</v>
      </c>
      <c r="Q190" s="4">
        <v>0</v>
      </c>
      <c r="R190" s="4">
        <v>0</v>
      </c>
      <c r="S190" s="3" t="s">
        <v>50</v>
      </c>
      <c r="T190" s="3"/>
      <c r="U190" s="3"/>
      <c r="V190" s="3" t="s">
        <v>633</v>
      </c>
      <c r="W190" s="3"/>
      <c r="Y190" s="30">
        <f t="shared" si="0"/>
        <v>0</v>
      </c>
      <c r="Z190" s="5">
        <v>0</v>
      </c>
    </row>
    <row r="191" spans="1:26" x14ac:dyDescent="0.3">
      <c r="A191" s="3">
        <v>27</v>
      </c>
      <c r="B191" s="3" t="s">
        <v>619</v>
      </c>
      <c r="C191" s="3" t="s">
        <v>620</v>
      </c>
      <c r="D191" s="3" t="s">
        <v>636</v>
      </c>
      <c r="E191" s="3" t="s">
        <v>637</v>
      </c>
      <c r="F191" s="3" t="s">
        <v>458</v>
      </c>
      <c r="G191" s="3" t="s">
        <v>623</v>
      </c>
      <c r="H191" s="3">
        <v>4000</v>
      </c>
      <c r="I191" s="3">
        <v>0</v>
      </c>
      <c r="J191" s="3" t="s">
        <v>561</v>
      </c>
      <c r="K191" s="3" t="s">
        <v>10</v>
      </c>
      <c r="L191" s="3" t="s">
        <v>638</v>
      </c>
      <c r="M191" s="3" t="s">
        <v>639</v>
      </c>
      <c r="N191" s="4">
        <v>250</v>
      </c>
      <c r="O191" s="4">
        <v>250</v>
      </c>
      <c r="P191" s="4">
        <v>250</v>
      </c>
      <c r="Q191" s="4">
        <v>0</v>
      </c>
      <c r="R191" s="4">
        <v>0</v>
      </c>
      <c r="S191" s="3" t="s">
        <v>50</v>
      </c>
      <c r="T191" s="3"/>
      <c r="U191" s="3"/>
      <c r="V191" s="3"/>
      <c r="W191" s="3"/>
      <c r="Y191" s="30">
        <f t="shared" si="0"/>
        <v>0</v>
      </c>
      <c r="Z191" s="5">
        <v>250</v>
      </c>
    </row>
    <row r="192" spans="1:26" x14ac:dyDescent="0.3">
      <c r="A192" s="3">
        <v>27</v>
      </c>
      <c r="B192" s="3" t="s">
        <v>619</v>
      </c>
      <c r="C192" s="3" t="s">
        <v>620</v>
      </c>
      <c r="D192" s="3" t="s">
        <v>636</v>
      </c>
      <c r="E192" s="3" t="s">
        <v>637</v>
      </c>
      <c r="F192" s="3" t="s">
        <v>458</v>
      </c>
      <c r="G192" s="3" t="s">
        <v>623</v>
      </c>
      <c r="H192" s="3">
        <v>4000</v>
      </c>
      <c r="I192" s="3">
        <v>0</v>
      </c>
      <c r="J192" s="3" t="s">
        <v>561</v>
      </c>
      <c r="K192" s="3" t="s">
        <v>10</v>
      </c>
      <c r="L192" s="3" t="s">
        <v>640</v>
      </c>
      <c r="M192" s="3" t="s">
        <v>641</v>
      </c>
      <c r="N192" s="4">
        <v>300</v>
      </c>
      <c r="O192" s="4">
        <v>300</v>
      </c>
      <c r="P192" s="4">
        <v>300</v>
      </c>
      <c r="Q192" s="4">
        <v>0</v>
      </c>
      <c r="R192" s="4">
        <v>0</v>
      </c>
      <c r="S192" s="3" t="s">
        <v>50</v>
      </c>
      <c r="T192" s="3"/>
      <c r="U192" s="3"/>
      <c r="V192" s="3"/>
      <c r="W192" s="3"/>
      <c r="Y192" s="30">
        <f t="shared" si="0"/>
        <v>0</v>
      </c>
      <c r="Z192" s="5">
        <v>300</v>
      </c>
    </row>
    <row r="193" spans="1:26" x14ac:dyDescent="0.3">
      <c r="A193" s="3">
        <v>27</v>
      </c>
      <c r="B193" s="3" t="s">
        <v>619</v>
      </c>
      <c r="C193" s="3" t="s">
        <v>620</v>
      </c>
      <c r="D193" s="3" t="s">
        <v>636</v>
      </c>
      <c r="E193" s="3" t="s">
        <v>637</v>
      </c>
      <c r="F193" s="3" t="s">
        <v>458</v>
      </c>
      <c r="G193" s="3" t="s">
        <v>623</v>
      </c>
      <c r="H193" s="3">
        <v>4000</v>
      </c>
      <c r="I193" s="3">
        <v>0</v>
      </c>
      <c r="J193" s="3" t="s">
        <v>561</v>
      </c>
      <c r="K193" s="3" t="s">
        <v>10</v>
      </c>
      <c r="L193" s="3" t="s">
        <v>642</v>
      </c>
      <c r="M193" s="3" t="s">
        <v>643</v>
      </c>
      <c r="N193" s="4">
        <v>350</v>
      </c>
      <c r="O193" s="4">
        <v>350</v>
      </c>
      <c r="P193" s="4">
        <v>350</v>
      </c>
      <c r="Q193" s="4">
        <v>0</v>
      </c>
      <c r="R193" s="4">
        <v>0</v>
      </c>
      <c r="S193" s="3" t="s">
        <v>50</v>
      </c>
      <c r="T193" s="3"/>
      <c r="U193" s="3"/>
      <c r="V193" s="3"/>
      <c r="W193" s="3"/>
      <c r="Y193" s="30">
        <f t="shared" si="0"/>
        <v>0</v>
      </c>
      <c r="Z193" s="5">
        <v>350</v>
      </c>
    </row>
    <row r="194" spans="1:26" x14ac:dyDescent="0.3">
      <c r="A194" s="3">
        <v>27</v>
      </c>
      <c r="B194" s="3" t="s">
        <v>619</v>
      </c>
      <c r="C194" s="3" t="s">
        <v>620</v>
      </c>
      <c r="D194" s="3" t="s">
        <v>644</v>
      </c>
      <c r="E194" s="3" t="s">
        <v>635</v>
      </c>
      <c r="F194" s="3" t="s">
        <v>458</v>
      </c>
      <c r="G194" s="3">
        <v>2024</v>
      </c>
      <c r="H194" s="3">
        <v>4000</v>
      </c>
      <c r="I194" s="3">
        <v>0</v>
      </c>
      <c r="J194" s="3" t="s">
        <v>561</v>
      </c>
      <c r="K194" s="3" t="s">
        <v>10</v>
      </c>
      <c r="L194" s="3" t="s">
        <v>644</v>
      </c>
      <c r="M194" s="3" t="s">
        <v>645</v>
      </c>
      <c r="N194" s="4">
        <v>0</v>
      </c>
      <c r="O194" s="4">
        <v>0</v>
      </c>
      <c r="P194" s="4">
        <v>0</v>
      </c>
      <c r="Q194" s="4">
        <v>0</v>
      </c>
      <c r="R194" s="4">
        <v>0</v>
      </c>
      <c r="S194" s="3" t="s">
        <v>50</v>
      </c>
      <c r="T194" s="3"/>
      <c r="U194" s="3"/>
      <c r="V194" s="3"/>
      <c r="W194" s="3"/>
      <c r="Y194" s="30">
        <f t="shared" si="0"/>
        <v>0</v>
      </c>
      <c r="Z194" s="5">
        <v>0</v>
      </c>
    </row>
    <row r="195" spans="1:26" x14ac:dyDescent="0.3">
      <c r="A195" s="26">
        <v>27</v>
      </c>
      <c r="B195" s="26" t="s">
        <v>619</v>
      </c>
      <c r="C195" s="26" t="s">
        <v>620</v>
      </c>
      <c r="D195" s="26" t="s">
        <v>646</v>
      </c>
      <c r="E195" s="26" t="s">
        <v>635</v>
      </c>
      <c r="F195" s="26" t="s">
        <v>458</v>
      </c>
      <c r="G195" s="26" t="s">
        <v>647</v>
      </c>
      <c r="H195" s="26">
        <v>4000</v>
      </c>
      <c r="I195" s="26">
        <v>0</v>
      </c>
      <c r="J195" s="26" t="s">
        <v>561</v>
      </c>
      <c r="K195" s="3" t="s">
        <v>10</v>
      </c>
      <c r="L195" s="26" t="s">
        <v>646</v>
      </c>
      <c r="M195" s="26" t="s">
        <v>648</v>
      </c>
      <c r="N195" s="27">
        <v>1000</v>
      </c>
      <c r="O195" s="4">
        <v>2000</v>
      </c>
      <c r="P195" s="4">
        <v>0</v>
      </c>
      <c r="Q195" s="4">
        <v>0</v>
      </c>
      <c r="R195" s="4">
        <v>0</v>
      </c>
      <c r="S195" s="3" t="s">
        <v>267</v>
      </c>
      <c r="T195" s="3"/>
      <c r="U195" s="3"/>
      <c r="V195" s="3" t="s">
        <v>649</v>
      </c>
      <c r="W195" s="3"/>
      <c r="Y195" s="28">
        <f t="shared" si="0"/>
        <v>0</v>
      </c>
      <c r="Z195" s="29">
        <v>1000</v>
      </c>
    </row>
    <row r="196" spans="1:26" x14ac:dyDescent="0.3">
      <c r="A196" s="3">
        <v>27</v>
      </c>
      <c r="B196" s="3" t="s">
        <v>619</v>
      </c>
      <c r="C196" s="3" t="s">
        <v>620</v>
      </c>
      <c r="D196" s="3" t="s">
        <v>650</v>
      </c>
      <c r="E196" s="3" t="s">
        <v>637</v>
      </c>
      <c r="F196" s="3" t="s">
        <v>458</v>
      </c>
      <c r="G196" s="3">
        <v>2024</v>
      </c>
      <c r="H196" s="3">
        <v>4540</v>
      </c>
      <c r="I196" s="3">
        <v>0</v>
      </c>
      <c r="J196" s="3" t="s">
        <v>561</v>
      </c>
      <c r="K196" s="3" t="s">
        <v>10</v>
      </c>
      <c r="L196" s="3" t="s">
        <v>650</v>
      </c>
      <c r="M196" s="3" t="s">
        <v>651</v>
      </c>
      <c r="N196" s="4">
        <v>0</v>
      </c>
      <c r="O196" s="4">
        <v>0</v>
      </c>
      <c r="P196" s="4">
        <v>0</v>
      </c>
      <c r="Q196" s="4">
        <v>0</v>
      </c>
      <c r="R196" s="4">
        <v>0</v>
      </c>
      <c r="S196" s="3" t="s">
        <v>50</v>
      </c>
      <c r="T196" s="3"/>
      <c r="U196" s="3"/>
      <c r="V196" s="3"/>
      <c r="W196" s="3"/>
      <c r="Y196" s="30">
        <f t="shared" si="0"/>
        <v>0</v>
      </c>
      <c r="Z196" s="5">
        <v>0</v>
      </c>
    </row>
    <row r="197" spans="1:26" x14ac:dyDescent="0.3">
      <c r="A197" s="3">
        <v>27</v>
      </c>
      <c r="B197" s="35" t="s">
        <v>619</v>
      </c>
      <c r="C197" s="35" t="s">
        <v>620</v>
      </c>
      <c r="D197" s="35" t="s">
        <v>652</v>
      </c>
      <c r="E197" s="35" t="s">
        <v>637</v>
      </c>
      <c r="F197" s="35" t="s">
        <v>458</v>
      </c>
      <c r="G197" s="35" t="s">
        <v>647</v>
      </c>
      <c r="H197" s="35">
        <v>4540</v>
      </c>
      <c r="I197" s="35">
        <v>0</v>
      </c>
      <c r="J197" s="35" t="s">
        <v>561</v>
      </c>
      <c r="K197" s="3" t="s">
        <v>10</v>
      </c>
      <c r="L197" s="35" t="s">
        <v>653</v>
      </c>
      <c r="M197" s="35" t="s">
        <v>654</v>
      </c>
      <c r="N197" s="36">
        <v>2500</v>
      </c>
      <c r="O197" s="36">
        <v>2500</v>
      </c>
      <c r="P197" s="36">
        <v>0</v>
      </c>
      <c r="Q197" s="36">
        <v>0</v>
      </c>
      <c r="R197" s="36">
        <v>0</v>
      </c>
      <c r="S197" s="35" t="s">
        <v>632</v>
      </c>
      <c r="T197" s="35"/>
      <c r="U197" s="35"/>
      <c r="V197" s="35" t="s">
        <v>655</v>
      </c>
      <c r="W197" s="35" t="s">
        <v>656</v>
      </c>
      <c r="Y197" s="30">
        <f t="shared" si="0"/>
        <v>0</v>
      </c>
      <c r="Z197" s="5">
        <v>2500</v>
      </c>
    </row>
    <row r="198" spans="1:26" s="29" customFormat="1" x14ac:dyDescent="0.3">
      <c r="A198" s="3">
        <v>27</v>
      </c>
      <c r="B198" s="35" t="s">
        <v>619</v>
      </c>
      <c r="C198" s="35" t="s">
        <v>620</v>
      </c>
      <c r="D198" s="35" t="s">
        <v>657</v>
      </c>
      <c r="E198" s="35" t="s">
        <v>637</v>
      </c>
      <c r="F198" s="35" t="s">
        <v>458</v>
      </c>
      <c r="G198" s="35" t="s">
        <v>647</v>
      </c>
      <c r="H198" s="35">
        <v>4540</v>
      </c>
      <c r="I198" s="35">
        <v>0</v>
      </c>
      <c r="J198" s="35" t="s">
        <v>561</v>
      </c>
      <c r="K198" s="3" t="s">
        <v>10</v>
      </c>
      <c r="L198" s="35" t="s">
        <v>653</v>
      </c>
      <c r="M198" s="35" t="s">
        <v>658</v>
      </c>
      <c r="N198" s="36">
        <v>655</v>
      </c>
      <c r="O198" s="36">
        <v>655</v>
      </c>
      <c r="P198" s="36">
        <v>0</v>
      </c>
      <c r="Q198" s="36">
        <v>0</v>
      </c>
      <c r="R198" s="36">
        <v>0</v>
      </c>
      <c r="S198" s="35" t="s">
        <v>632</v>
      </c>
      <c r="T198" s="35"/>
      <c r="U198" s="35"/>
      <c r="V198" s="35" t="s">
        <v>659</v>
      </c>
      <c r="W198" s="35" t="s">
        <v>656</v>
      </c>
      <c r="X198" s="5"/>
      <c r="Y198" s="30">
        <f t="shared" si="0"/>
        <v>0</v>
      </c>
      <c r="Z198" s="5">
        <v>655</v>
      </c>
    </row>
    <row r="199" spans="1:26" s="29" customFormat="1" x14ac:dyDescent="0.3">
      <c r="A199" s="3">
        <v>27</v>
      </c>
      <c r="B199" s="3" t="s">
        <v>619</v>
      </c>
      <c r="C199" s="3" t="s">
        <v>620</v>
      </c>
      <c r="D199" s="3" t="s">
        <v>660</v>
      </c>
      <c r="E199" s="3" t="s">
        <v>635</v>
      </c>
      <c r="F199" s="3" t="s">
        <v>458</v>
      </c>
      <c r="G199" s="3" t="s">
        <v>291</v>
      </c>
      <c r="H199" s="3">
        <v>2830</v>
      </c>
      <c r="I199" s="3">
        <v>0</v>
      </c>
      <c r="J199" s="3" t="s">
        <v>561</v>
      </c>
      <c r="K199" s="3" t="s">
        <v>586</v>
      </c>
      <c r="L199" s="3" t="s">
        <v>661</v>
      </c>
      <c r="M199" s="3"/>
      <c r="N199" s="4">
        <v>800</v>
      </c>
      <c r="O199" s="4">
        <v>2000</v>
      </c>
      <c r="P199" s="4">
        <v>3000</v>
      </c>
      <c r="Q199" s="4">
        <v>3000</v>
      </c>
      <c r="R199" s="4">
        <v>3000</v>
      </c>
      <c r="S199" s="3" t="s">
        <v>267</v>
      </c>
      <c r="T199" s="3"/>
      <c r="U199" s="3"/>
      <c r="V199" s="3"/>
      <c r="W199" s="3"/>
      <c r="X199" s="5"/>
      <c r="Y199" s="30">
        <f t="shared" si="0"/>
        <v>0</v>
      </c>
      <c r="Z199" s="5">
        <v>800</v>
      </c>
    </row>
    <row r="200" spans="1:26" x14ac:dyDescent="0.3">
      <c r="A200" s="3">
        <v>27</v>
      </c>
      <c r="B200" s="3" t="s">
        <v>619</v>
      </c>
      <c r="C200" s="3" t="s">
        <v>620</v>
      </c>
      <c r="D200" s="3" t="s">
        <v>662</v>
      </c>
      <c r="E200" s="3" t="s">
        <v>635</v>
      </c>
      <c r="F200" s="3" t="s">
        <v>458</v>
      </c>
      <c r="G200" s="3" t="s">
        <v>291</v>
      </c>
      <c r="H200" s="3">
        <v>2830</v>
      </c>
      <c r="I200" s="3">
        <v>0</v>
      </c>
      <c r="J200" s="3" t="s">
        <v>561</v>
      </c>
      <c r="K200" s="3" t="s">
        <v>586</v>
      </c>
      <c r="L200" s="3" t="s">
        <v>663</v>
      </c>
      <c r="M200" s="3"/>
      <c r="N200" s="4">
        <v>800</v>
      </c>
      <c r="O200" s="4">
        <v>2000</v>
      </c>
      <c r="P200" s="4">
        <v>3000</v>
      </c>
      <c r="Q200" s="4">
        <v>3000</v>
      </c>
      <c r="R200" s="4">
        <v>3000</v>
      </c>
      <c r="S200" s="3" t="s">
        <v>267</v>
      </c>
      <c r="T200" s="3"/>
      <c r="U200" s="3"/>
      <c r="V200" s="3"/>
      <c r="W200" s="3"/>
      <c r="Y200" s="30">
        <f t="shared" si="0"/>
        <v>0</v>
      </c>
      <c r="Z200" s="5">
        <v>800</v>
      </c>
    </row>
    <row r="201" spans="1:26" x14ac:dyDescent="0.3">
      <c r="A201" s="3">
        <v>27</v>
      </c>
      <c r="B201" s="3" t="s">
        <v>619</v>
      </c>
      <c r="C201" s="3" t="s">
        <v>620</v>
      </c>
      <c r="D201" s="3" t="s">
        <v>662</v>
      </c>
      <c r="E201" s="3" t="s">
        <v>635</v>
      </c>
      <c r="F201" s="3" t="s">
        <v>458</v>
      </c>
      <c r="G201" s="3" t="s">
        <v>291</v>
      </c>
      <c r="H201" s="3">
        <v>2830</v>
      </c>
      <c r="I201" s="3">
        <v>0</v>
      </c>
      <c r="J201" s="3" t="s">
        <v>561</v>
      </c>
      <c r="K201" s="3" t="s">
        <v>586</v>
      </c>
      <c r="L201" s="3" t="s">
        <v>664</v>
      </c>
      <c r="M201" s="3"/>
      <c r="N201" s="4">
        <v>800</v>
      </c>
      <c r="O201" s="4">
        <v>2000</v>
      </c>
      <c r="P201" s="4">
        <v>3000</v>
      </c>
      <c r="Q201" s="4">
        <v>3000</v>
      </c>
      <c r="R201" s="4">
        <v>3000</v>
      </c>
      <c r="S201" s="3" t="s">
        <v>267</v>
      </c>
      <c r="T201" s="3"/>
      <c r="U201" s="3"/>
      <c r="V201" s="3"/>
      <c r="W201" s="3"/>
      <c r="Y201" s="30">
        <f t="shared" si="0"/>
        <v>0</v>
      </c>
      <c r="Z201" s="5">
        <v>800</v>
      </c>
    </row>
    <row r="202" spans="1:26" x14ac:dyDescent="0.3">
      <c r="A202" s="3">
        <v>27</v>
      </c>
      <c r="B202" s="3" t="s">
        <v>619</v>
      </c>
      <c r="C202" s="3" t="s">
        <v>620</v>
      </c>
      <c r="D202" s="3" t="s">
        <v>665</v>
      </c>
      <c r="E202" s="3" t="s">
        <v>666</v>
      </c>
      <c r="F202" s="3" t="s">
        <v>458</v>
      </c>
      <c r="G202" s="3">
        <v>2025</v>
      </c>
      <c r="H202" s="3">
        <v>4542</v>
      </c>
      <c r="I202" s="3">
        <v>0</v>
      </c>
      <c r="J202" s="3" t="s">
        <v>561</v>
      </c>
      <c r="K202" s="3" t="s">
        <v>10</v>
      </c>
      <c r="L202" s="3" t="s">
        <v>665</v>
      </c>
      <c r="M202" s="3" t="s">
        <v>667</v>
      </c>
      <c r="N202" s="4">
        <v>26707</v>
      </c>
      <c r="O202" s="4">
        <v>0</v>
      </c>
      <c r="P202" s="4">
        <v>0</v>
      </c>
      <c r="Q202" s="4">
        <v>0</v>
      </c>
      <c r="R202" s="4">
        <v>0</v>
      </c>
      <c r="S202" s="3" t="s">
        <v>632</v>
      </c>
      <c r="T202" s="3"/>
      <c r="U202" s="3" t="s">
        <v>668</v>
      </c>
      <c r="V202" s="3" t="s">
        <v>669</v>
      </c>
      <c r="W202" s="3"/>
      <c r="Y202" s="30">
        <f t="shared" si="0"/>
        <v>0</v>
      </c>
      <c r="Z202" s="5">
        <v>26707</v>
      </c>
    </row>
    <row r="203" spans="1:26" x14ac:dyDescent="0.3">
      <c r="A203" s="3">
        <v>27</v>
      </c>
      <c r="B203" s="3" t="s">
        <v>619</v>
      </c>
      <c r="C203" s="3" t="s">
        <v>620</v>
      </c>
      <c r="D203" s="3" t="s">
        <v>670</v>
      </c>
      <c r="E203" s="3" t="s">
        <v>671</v>
      </c>
      <c r="F203" s="3" t="s">
        <v>458</v>
      </c>
      <c r="G203" s="3">
        <v>2024</v>
      </c>
      <c r="H203" s="3">
        <v>2830</v>
      </c>
      <c r="I203" s="3">
        <v>0</v>
      </c>
      <c r="J203" s="3" t="s">
        <v>561</v>
      </c>
      <c r="K203" s="3" t="s">
        <v>586</v>
      </c>
      <c r="L203" s="3" t="s">
        <v>670</v>
      </c>
      <c r="M203" s="3" t="s">
        <v>672</v>
      </c>
      <c r="N203" s="4">
        <v>0</v>
      </c>
      <c r="O203" s="4">
        <v>0</v>
      </c>
      <c r="P203" s="4">
        <v>0</v>
      </c>
      <c r="Q203" s="4">
        <v>0</v>
      </c>
      <c r="R203" s="4">
        <v>0</v>
      </c>
      <c r="S203" s="3" t="s">
        <v>267</v>
      </c>
      <c r="T203" s="3"/>
      <c r="U203" s="3" t="s">
        <v>673</v>
      </c>
      <c r="V203" s="3" t="s">
        <v>674</v>
      </c>
      <c r="W203" s="3"/>
      <c r="Y203" s="30">
        <f t="shared" si="0"/>
        <v>0</v>
      </c>
      <c r="Z203" s="5">
        <v>0</v>
      </c>
    </row>
    <row r="204" spans="1:26" x14ac:dyDescent="0.3">
      <c r="A204" s="3">
        <v>27</v>
      </c>
      <c r="B204" s="3" t="s">
        <v>619</v>
      </c>
      <c r="C204" s="3" t="s">
        <v>620</v>
      </c>
      <c r="D204" s="3" t="s">
        <v>675</v>
      </c>
      <c r="E204" s="3" t="s">
        <v>671</v>
      </c>
      <c r="F204" s="3" t="s">
        <v>458</v>
      </c>
      <c r="G204" s="3">
        <v>2024</v>
      </c>
      <c r="H204" s="3">
        <v>2800</v>
      </c>
      <c r="I204" s="3">
        <v>0</v>
      </c>
      <c r="J204" s="3" t="s">
        <v>561</v>
      </c>
      <c r="K204" s="3" t="s">
        <v>586</v>
      </c>
      <c r="L204" s="3" t="s">
        <v>675</v>
      </c>
      <c r="M204" s="3"/>
      <c r="N204" s="4">
        <v>0</v>
      </c>
      <c r="O204" s="4">
        <v>0</v>
      </c>
      <c r="P204" s="4">
        <v>0</v>
      </c>
      <c r="Q204" s="4">
        <v>0</v>
      </c>
      <c r="R204" s="4">
        <v>0</v>
      </c>
      <c r="S204" s="3" t="s">
        <v>267</v>
      </c>
      <c r="T204" s="3"/>
      <c r="U204" s="3"/>
      <c r="V204" s="3" t="s">
        <v>676</v>
      </c>
      <c r="W204" s="3"/>
      <c r="Y204" s="30">
        <f t="shared" si="0"/>
        <v>0</v>
      </c>
      <c r="Z204" s="5">
        <v>0</v>
      </c>
    </row>
    <row r="205" spans="1:26" x14ac:dyDescent="0.3">
      <c r="A205" s="3">
        <v>27</v>
      </c>
      <c r="B205" s="3" t="s">
        <v>619</v>
      </c>
      <c r="C205" s="3" t="s">
        <v>620</v>
      </c>
      <c r="D205" s="3" t="s">
        <v>677</v>
      </c>
      <c r="E205" s="3" t="s">
        <v>671</v>
      </c>
      <c r="F205" s="3" t="s">
        <v>458</v>
      </c>
      <c r="G205" s="3">
        <v>2024</v>
      </c>
      <c r="H205" s="3">
        <v>2830</v>
      </c>
      <c r="I205" s="3">
        <v>0</v>
      </c>
      <c r="J205" s="3" t="s">
        <v>561</v>
      </c>
      <c r="K205" s="3" t="s">
        <v>678</v>
      </c>
      <c r="L205" s="3" t="s">
        <v>677</v>
      </c>
      <c r="M205" s="3"/>
      <c r="N205" s="4">
        <v>0</v>
      </c>
      <c r="O205" s="4">
        <v>0</v>
      </c>
      <c r="P205" s="4">
        <v>0</v>
      </c>
      <c r="Q205" s="4">
        <v>0</v>
      </c>
      <c r="R205" s="4">
        <v>0</v>
      </c>
      <c r="S205" s="3" t="s">
        <v>267</v>
      </c>
      <c r="T205" s="3"/>
      <c r="U205" s="3" t="s">
        <v>673</v>
      </c>
      <c r="V205" s="3" t="s">
        <v>674</v>
      </c>
      <c r="W205" s="3" t="s">
        <v>679</v>
      </c>
      <c r="Y205" s="30">
        <f t="shared" si="0"/>
        <v>0</v>
      </c>
      <c r="Z205" s="5">
        <v>0</v>
      </c>
    </row>
    <row r="206" spans="1:26" x14ac:dyDescent="0.3">
      <c r="A206" s="3">
        <v>27</v>
      </c>
      <c r="B206" s="3" t="s">
        <v>619</v>
      </c>
      <c r="C206" s="3" t="s">
        <v>620</v>
      </c>
      <c r="D206" s="3" t="s">
        <v>680</v>
      </c>
      <c r="E206" s="3" t="s">
        <v>671</v>
      </c>
      <c r="F206" s="3" t="s">
        <v>458</v>
      </c>
      <c r="G206" s="3" t="s">
        <v>681</v>
      </c>
      <c r="H206" s="3">
        <v>4000</v>
      </c>
      <c r="I206" s="3">
        <v>0</v>
      </c>
      <c r="J206" s="3" t="s">
        <v>561</v>
      </c>
      <c r="K206" s="3" t="s">
        <v>10</v>
      </c>
      <c r="L206" s="3" t="s">
        <v>682</v>
      </c>
      <c r="M206" s="3" t="s">
        <v>683</v>
      </c>
      <c r="N206" s="4">
        <v>110</v>
      </c>
      <c r="O206" s="4">
        <v>0</v>
      </c>
      <c r="P206" s="4">
        <v>0</v>
      </c>
      <c r="Q206" s="4">
        <v>0</v>
      </c>
      <c r="R206" s="4">
        <v>0</v>
      </c>
      <c r="S206" s="3" t="s">
        <v>267</v>
      </c>
      <c r="T206" s="3"/>
      <c r="U206" s="3"/>
      <c r="V206" s="3" t="s">
        <v>684</v>
      </c>
      <c r="W206" s="3"/>
      <c r="Y206" s="30">
        <f t="shared" si="0"/>
        <v>0</v>
      </c>
      <c r="Z206" s="5">
        <v>110</v>
      </c>
    </row>
    <row r="207" spans="1:26" x14ac:dyDescent="0.3">
      <c r="A207" s="26">
        <v>27</v>
      </c>
      <c r="B207" s="26" t="s">
        <v>619</v>
      </c>
      <c r="C207" s="26" t="s">
        <v>620</v>
      </c>
      <c r="D207" s="26" t="s">
        <v>685</v>
      </c>
      <c r="E207" s="26" t="s">
        <v>686</v>
      </c>
      <c r="F207" s="26" t="s">
        <v>458</v>
      </c>
      <c r="G207" s="26" t="s">
        <v>687</v>
      </c>
      <c r="H207" s="26">
        <v>4000</v>
      </c>
      <c r="I207" s="26">
        <v>0</v>
      </c>
      <c r="J207" s="26" t="s">
        <v>561</v>
      </c>
      <c r="K207" s="3" t="s">
        <v>586</v>
      </c>
      <c r="L207" s="26" t="s">
        <v>685</v>
      </c>
      <c r="M207" s="26" t="s">
        <v>688</v>
      </c>
      <c r="N207" s="27">
        <v>600</v>
      </c>
      <c r="O207" s="4">
        <v>2000</v>
      </c>
      <c r="P207" s="4">
        <v>2000</v>
      </c>
      <c r="Q207" s="4">
        <v>2000</v>
      </c>
      <c r="R207" s="4">
        <v>2000</v>
      </c>
      <c r="S207" s="3" t="s">
        <v>50</v>
      </c>
      <c r="T207" s="3"/>
      <c r="U207" s="3"/>
      <c r="V207" s="3"/>
      <c r="W207" s="3"/>
      <c r="Y207" s="28">
        <f t="shared" si="0"/>
        <v>0</v>
      </c>
      <c r="Z207" s="29">
        <v>600</v>
      </c>
    </row>
    <row r="208" spans="1:26" x14ac:dyDescent="0.3">
      <c r="A208" s="26">
        <v>27</v>
      </c>
      <c r="B208" s="26" t="s">
        <v>619</v>
      </c>
      <c r="C208" s="26" t="s">
        <v>620</v>
      </c>
      <c r="D208" s="26" t="s">
        <v>689</v>
      </c>
      <c r="E208" s="26" t="s">
        <v>690</v>
      </c>
      <c r="F208" s="26" t="s">
        <v>458</v>
      </c>
      <c r="G208" s="26" t="s">
        <v>687</v>
      </c>
      <c r="H208" s="26"/>
      <c r="I208" s="26">
        <v>0</v>
      </c>
      <c r="J208" s="26" t="s">
        <v>561</v>
      </c>
      <c r="K208" s="3" t="s">
        <v>10</v>
      </c>
      <c r="L208" s="26" t="s">
        <v>691</v>
      </c>
      <c r="M208" s="26" t="s">
        <v>691</v>
      </c>
      <c r="N208" s="27"/>
      <c r="O208" s="37"/>
      <c r="P208" s="37"/>
      <c r="Q208" s="4">
        <v>0</v>
      </c>
      <c r="R208" s="4">
        <v>0</v>
      </c>
      <c r="S208" s="3" t="s">
        <v>50</v>
      </c>
      <c r="T208" s="3"/>
      <c r="U208" s="3"/>
      <c r="V208" s="3"/>
      <c r="W208" s="38" t="s">
        <v>692</v>
      </c>
      <c r="Y208" s="28">
        <f t="shared" si="0"/>
        <v>0</v>
      </c>
      <c r="Z208" s="29"/>
    </row>
    <row r="209" spans="1:26" x14ac:dyDescent="0.3">
      <c r="A209" s="3">
        <v>27</v>
      </c>
      <c r="B209" s="3" t="s">
        <v>619</v>
      </c>
      <c r="C209" s="3" t="s">
        <v>620</v>
      </c>
      <c r="D209" s="3" t="s">
        <v>693</v>
      </c>
      <c r="E209" s="3" t="s">
        <v>694</v>
      </c>
      <c r="F209" s="3" t="s">
        <v>458</v>
      </c>
      <c r="G209" s="3">
        <v>2025</v>
      </c>
      <c r="H209" s="3">
        <v>4000</v>
      </c>
      <c r="I209" s="3">
        <v>0</v>
      </c>
      <c r="J209" s="3" t="s">
        <v>561</v>
      </c>
      <c r="K209" s="3" t="s">
        <v>10</v>
      </c>
      <c r="L209" s="3" t="s">
        <v>695</v>
      </c>
      <c r="M209" s="3" t="s">
        <v>696</v>
      </c>
      <c r="N209" s="4">
        <v>140</v>
      </c>
      <c r="O209" s="4">
        <v>0</v>
      </c>
      <c r="P209" s="4">
        <v>0</v>
      </c>
      <c r="Q209" s="4">
        <v>0</v>
      </c>
      <c r="R209" s="4">
        <v>0</v>
      </c>
      <c r="S209" s="3" t="s">
        <v>50</v>
      </c>
      <c r="T209" s="3"/>
      <c r="U209" s="3"/>
      <c r="V209" s="3"/>
      <c r="W209" s="3"/>
      <c r="Y209" s="30">
        <f t="shared" si="0"/>
        <v>0</v>
      </c>
      <c r="Z209" s="5">
        <v>140</v>
      </c>
    </row>
    <row r="210" spans="1:26" x14ac:dyDescent="0.3">
      <c r="A210" s="3">
        <v>27</v>
      </c>
      <c r="B210" s="3" t="s">
        <v>619</v>
      </c>
      <c r="C210" s="3" t="s">
        <v>620</v>
      </c>
      <c r="D210" s="3" t="s">
        <v>697</v>
      </c>
      <c r="E210" s="3" t="s">
        <v>698</v>
      </c>
      <c r="F210" s="3" t="s">
        <v>458</v>
      </c>
      <c r="G210" s="3">
        <v>2025</v>
      </c>
      <c r="H210" s="3">
        <v>2830</v>
      </c>
      <c r="I210" s="3">
        <v>0</v>
      </c>
      <c r="J210" s="3" t="s">
        <v>561</v>
      </c>
      <c r="K210" s="3" t="s">
        <v>586</v>
      </c>
      <c r="L210" s="3" t="s">
        <v>699</v>
      </c>
      <c r="M210" s="3" t="s">
        <v>700</v>
      </c>
      <c r="N210" s="4">
        <v>1500</v>
      </c>
      <c r="O210" s="4">
        <v>3000</v>
      </c>
      <c r="P210" s="4">
        <v>3000</v>
      </c>
      <c r="Q210" s="4">
        <v>3000</v>
      </c>
      <c r="R210" s="4">
        <v>3000</v>
      </c>
      <c r="S210" s="3" t="s">
        <v>50</v>
      </c>
      <c r="T210" s="3"/>
      <c r="U210" s="3"/>
      <c r="V210" s="3" t="s">
        <v>626</v>
      </c>
      <c r="W210" s="3"/>
      <c r="Y210" s="30">
        <f t="shared" si="0"/>
        <v>0</v>
      </c>
      <c r="Z210" s="5">
        <v>1500</v>
      </c>
    </row>
    <row r="211" spans="1:26" x14ac:dyDescent="0.3">
      <c r="A211" s="26">
        <v>27</v>
      </c>
      <c r="B211" s="26" t="s">
        <v>619</v>
      </c>
      <c r="C211" s="26" t="s">
        <v>620</v>
      </c>
      <c r="D211" s="26" t="s">
        <v>697</v>
      </c>
      <c r="E211" s="26" t="s">
        <v>698</v>
      </c>
      <c r="F211" s="26" t="s">
        <v>458</v>
      </c>
      <c r="G211" s="26">
        <v>2025</v>
      </c>
      <c r="H211" s="26">
        <v>2830</v>
      </c>
      <c r="I211" s="26">
        <v>0</v>
      </c>
      <c r="J211" s="26" t="s">
        <v>561</v>
      </c>
      <c r="K211" s="3" t="s">
        <v>586</v>
      </c>
      <c r="L211" s="26" t="s">
        <v>701</v>
      </c>
      <c r="M211" s="26" t="s">
        <v>700</v>
      </c>
      <c r="N211" s="27"/>
      <c r="O211" s="4">
        <v>0</v>
      </c>
      <c r="P211" s="4">
        <v>0</v>
      </c>
      <c r="Q211" s="4">
        <v>0</v>
      </c>
      <c r="R211" s="4">
        <v>0</v>
      </c>
      <c r="S211" s="3" t="s">
        <v>50</v>
      </c>
      <c r="T211" s="3"/>
      <c r="U211" s="3"/>
      <c r="V211" s="3" t="s">
        <v>626</v>
      </c>
      <c r="W211" s="3"/>
      <c r="Y211" s="28">
        <f t="shared" si="0"/>
        <v>0</v>
      </c>
      <c r="Z211" s="29"/>
    </row>
    <row r="212" spans="1:26" x14ac:dyDescent="0.3">
      <c r="A212" s="3">
        <v>27</v>
      </c>
      <c r="B212" s="3" t="s">
        <v>619</v>
      </c>
      <c r="C212" s="3" t="s">
        <v>620</v>
      </c>
      <c r="D212" s="3" t="s">
        <v>702</v>
      </c>
      <c r="E212" s="3" t="s">
        <v>703</v>
      </c>
      <c r="F212" s="3" t="s">
        <v>458</v>
      </c>
      <c r="G212" s="3">
        <v>2025</v>
      </c>
      <c r="H212" s="3">
        <v>4000</v>
      </c>
      <c r="I212" s="3">
        <v>0</v>
      </c>
      <c r="J212" s="3" t="s">
        <v>561</v>
      </c>
      <c r="K212" s="3" t="s">
        <v>10</v>
      </c>
      <c r="L212" s="3" t="s">
        <v>704</v>
      </c>
      <c r="M212" s="3" t="s">
        <v>705</v>
      </c>
      <c r="N212" s="4">
        <v>10</v>
      </c>
      <c r="O212" s="4">
        <v>0</v>
      </c>
      <c r="P212" s="4">
        <v>0</v>
      </c>
      <c r="Q212" s="4">
        <v>0</v>
      </c>
      <c r="R212" s="4">
        <v>0</v>
      </c>
      <c r="S212" s="3" t="s">
        <v>50</v>
      </c>
      <c r="T212" s="3"/>
      <c r="U212" s="3"/>
      <c r="V212" s="3"/>
      <c r="W212" s="3"/>
      <c r="Y212" s="30">
        <f t="shared" si="0"/>
        <v>0</v>
      </c>
      <c r="Z212" s="5">
        <v>10</v>
      </c>
    </row>
    <row r="213" spans="1:26" x14ac:dyDescent="0.3">
      <c r="A213" s="3">
        <v>27</v>
      </c>
      <c r="B213" s="3" t="s">
        <v>619</v>
      </c>
      <c r="C213" s="3" t="s">
        <v>620</v>
      </c>
      <c r="D213" s="3" t="s">
        <v>706</v>
      </c>
      <c r="E213" s="3" t="s">
        <v>698</v>
      </c>
      <c r="F213" s="3" t="s">
        <v>458</v>
      </c>
      <c r="G213" s="3">
        <v>2025</v>
      </c>
      <c r="H213" s="39">
        <v>6060</v>
      </c>
      <c r="I213" s="3">
        <v>0</v>
      </c>
      <c r="J213" s="3" t="s">
        <v>561</v>
      </c>
      <c r="K213" s="3" t="s">
        <v>10</v>
      </c>
      <c r="L213" s="3" t="s">
        <v>707</v>
      </c>
      <c r="M213" s="3" t="s">
        <v>708</v>
      </c>
      <c r="N213" s="4">
        <v>500</v>
      </c>
      <c r="O213" s="4">
        <v>0</v>
      </c>
      <c r="P213" s="4">
        <v>0</v>
      </c>
      <c r="Q213" s="4">
        <v>0</v>
      </c>
      <c r="R213" s="4">
        <v>0</v>
      </c>
      <c r="S213" s="3" t="s">
        <v>50</v>
      </c>
      <c r="T213" s="3"/>
      <c r="U213" s="3"/>
      <c r="V213" s="3"/>
      <c r="W213" s="3" t="s">
        <v>709</v>
      </c>
      <c r="Y213" s="30">
        <f t="shared" si="0"/>
        <v>0</v>
      </c>
      <c r="Z213" s="5">
        <v>500</v>
      </c>
    </row>
    <row r="214" spans="1:26" x14ac:dyDescent="0.3">
      <c r="A214" s="3">
        <v>27</v>
      </c>
      <c r="B214" s="3" t="s">
        <v>619</v>
      </c>
      <c r="C214" s="3" t="s">
        <v>710</v>
      </c>
      <c r="D214" s="3" t="s">
        <v>711</v>
      </c>
      <c r="E214" s="3" t="s">
        <v>686</v>
      </c>
      <c r="F214" s="3" t="s">
        <v>710</v>
      </c>
      <c r="G214" s="3" t="s">
        <v>687</v>
      </c>
      <c r="H214" s="3"/>
      <c r="I214" s="34">
        <v>9</v>
      </c>
      <c r="J214" s="3" t="s">
        <v>561</v>
      </c>
      <c r="K214" s="3" t="s">
        <v>10</v>
      </c>
      <c r="L214" s="3" t="s">
        <v>712</v>
      </c>
      <c r="M214" s="3" t="s">
        <v>713</v>
      </c>
      <c r="N214" s="4"/>
      <c r="O214" s="4"/>
      <c r="P214" s="4"/>
      <c r="Q214" s="4"/>
      <c r="R214" s="4"/>
      <c r="S214" s="3" t="s">
        <v>50</v>
      </c>
      <c r="T214" s="3"/>
      <c r="U214" s="3"/>
      <c r="V214" s="3"/>
      <c r="W214" s="3" t="s">
        <v>714</v>
      </c>
      <c r="Y214" s="30">
        <f t="shared" si="0"/>
        <v>0</v>
      </c>
    </row>
    <row r="215" spans="1:26" s="29" customFormat="1" x14ac:dyDescent="0.3">
      <c r="A215" s="3">
        <v>27</v>
      </c>
      <c r="B215" s="3" t="s">
        <v>619</v>
      </c>
      <c r="C215" s="3" t="s">
        <v>710</v>
      </c>
      <c r="D215" s="3" t="s">
        <v>711</v>
      </c>
      <c r="E215" s="3" t="s">
        <v>698</v>
      </c>
      <c r="F215" s="3" t="s">
        <v>710</v>
      </c>
      <c r="G215" s="3">
        <v>2025</v>
      </c>
      <c r="H215" s="3"/>
      <c r="I215" s="34">
        <v>9</v>
      </c>
      <c r="J215" s="3" t="s">
        <v>561</v>
      </c>
      <c r="K215" s="3" t="s">
        <v>10</v>
      </c>
      <c r="L215" s="3" t="s">
        <v>715</v>
      </c>
      <c r="M215" s="3" t="s">
        <v>716</v>
      </c>
      <c r="N215" s="4"/>
      <c r="O215" s="4"/>
      <c r="P215" s="4"/>
      <c r="Q215" s="4"/>
      <c r="R215" s="4"/>
      <c r="S215" s="3" t="s">
        <v>50</v>
      </c>
      <c r="T215" s="3"/>
      <c r="U215" s="3"/>
      <c r="V215" s="3"/>
      <c r="W215" s="3" t="s">
        <v>714</v>
      </c>
      <c r="X215" s="5"/>
      <c r="Y215" s="30">
        <f t="shared" si="0"/>
        <v>0</v>
      </c>
      <c r="Z215" s="5"/>
    </row>
    <row r="216" spans="1:26" s="29" customFormat="1" x14ac:dyDescent="0.3">
      <c r="A216" s="26">
        <v>27</v>
      </c>
      <c r="B216" s="26" t="s">
        <v>619</v>
      </c>
      <c r="C216" s="26" t="s">
        <v>620</v>
      </c>
      <c r="D216" s="26" t="s">
        <v>717</v>
      </c>
      <c r="E216" s="26" t="s">
        <v>690</v>
      </c>
      <c r="F216" s="26" t="s">
        <v>458</v>
      </c>
      <c r="G216" s="26" t="s">
        <v>687</v>
      </c>
      <c r="H216" s="26">
        <v>4000</v>
      </c>
      <c r="I216" s="26">
        <v>0</v>
      </c>
      <c r="J216" s="26" t="s">
        <v>561</v>
      </c>
      <c r="K216" s="3" t="s">
        <v>10</v>
      </c>
      <c r="L216" s="26" t="s">
        <v>718</v>
      </c>
      <c r="M216" s="26" t="s">
        <v>719</v>
      </c>
      <c r="N216" s="27"/>
      <c r="O216" s="37"/>
      <c r="P216" s="37"/>
      <c r="Q216" s="4">
        <v>0</v>
      </c>
      <c r="R216" s="4">
        <v>0</v>
      </c>
      <c r="S216" s="3" t="s">
        <v>50</v>
      </c>
      <c r="T216" s="3"/>
      <c r="U216" s="3"/>
      <c r="V216" s="3"/>
      <c r="W216" s="38" t="s">
        <v>720</v>
      </c>
      <c r="X216" s="5"/>
      <c r="Y216" s="28">
        <f t="shared" si="0"/>
        <v>0</v>
      </c>
    </row>
    <row r="217" spans="1:26" x14ac:dyDescent="0.3">
      <c r="A217" s="3">
        <v>27</v>
      </c>
      <c r="B217" s="3" t="s">
        <v>619</v>
      </c>
      <c r="C217" s="3" t="s">
        <v>513</v>
      </c>
      <c r="D217" s="3" t="s">
        <v>721</v>
      </c>
      <c r="E217" s="3" t="s">
        <v>630</v>
      </c>
      <c r="F217" s="3" t="s">
        <v>458</v>
      </c>
      <c r="G217" s="3">
        <v>2025</v>
      </c>
      <c r="H217" s="3">
        <v>4000</v>
      </c>
      <c r="I217" s="3">
        <v>0</v>
      </c>
      <c r="J217" s="3" t="s">
        <v>561</v>
      </c>
      <c r="K217" s="3" t="s">
        <v>10</v>
      </c>
      <c r="L217" s="3" t="s">
        <v>722</v>
      </c>
      <c r="M217" s="3">
        <v>4410</v>
      </c>
      <c r="N217" s="4"/>
      <c r="O217" s="4">
        <v>0</v>
      </c>
      <c r="P217" s="4">
        <v>0</v>
      </c>
      <c r="Q217" s="4">
        <v>0</v>
      </c>
      <c r="R217" s="4">
        <v>0</v>
      </c>
      <c r="S217" s="3" t="s">
        <v>50</v>
      </c>
      <c r="T217" s="3"/>
      <c r="U217" s="3" t="s">
        <v>723</v>
      </c>
      <c r="V217" s="3" t="s">
        <v>724</v>
      </c>
      <c r="W217" s="6" t="s">
        <v>725</v>
      </c>
      <c r="Y217" s="30">
        <f t="shared" si="0"/>
        <v>0</v>
      </c>
    </row>
    <row r="218" spans="1:26" x14ac:dyDescent="0.3">
      <c r="A218" s="3">
        <v>27</v>
      </c>
      <c r="B218" s="3" t="s">
        <v>619</v>
      </c>
      <c r="C218" s="3" t="s">
        <v>726</v>
      </c>
      <c r="D218" s="3" t="s">
        <v>721</v>
      </c>
      <c r="E218" s="3" t="s">
        <v>727</v>
      </c>
      <c r="F218" s="3" t="s">
        <v>458</v>
      </c>
      <c r="G218" s="3">
        <v>2025</v>
      </c>
      <c r="H218" s="3">
        <v>4000</v>
      </c>
      <c r="I218" s="3">
        <v>0</v>
      </c>
      <c r="J218" s="3" t="s">
        <v>561</v>
      </c>
      <c r="K218" s="3" t="s">
        <v>10</v>
      </c>
      <c r="L218" s="3" t="s">
        <v>722</v>
      </c>
      <c r="M218" s="3">
        <v>4420</v>
      </c>
      <c r="N218" s="4"/>
      <c r="O218" s="4">
        <v>0</v>
      </c>
      <c r="P218" s="4">
        <v>0</v>
      </c>
      <c r="Q218" s="4">
        <v>0</v>
      </c>
      <c r="R218" s="4">
        <v>0</v>
      </c>
      <c r="S218" s="3" t="s">
        <v>50</v>
      </c>
      <c r="T218" s="3"/>
      <c r="U218" s="3" t="s">
        <v>723</v>
      </c>
      <c r="V218" s="3" t="s">
        <v>724</v>
      </c>
      <c r="W218" s="6" t="s">
        <v>728</v>
      </c>
      <c r="Y218" s="30">
        <f t="shared" si="0"/>
        <v>0</v>
      </c>
    </row>
    <row r="219" spans="1:26" x14ac:dyDescent="0.3">
      <c r="A219" s="15">
        <v>27</v>
      </c>
      <c r="B219" s="15" t="s">
        <v>729</v>
      </c>
      <c r="C219" s="15" t="s">
        <v>26</v>
      </c>
      <c r="D219" s="15" t="s">
        <v>26</v>
      </c>
      <c r="E219" s="15" t="s">
        <v>26</v>
      </c>
      <c r="F219" s="16" t="s">
        <v>26</v>
      </c>
      <c r="G219" s="15" t="s">
        <v>26</v>
      </c>
      <c r="H219" s="15">
        <v>4000</v>
      </c>
      <c r="I219" s="15">
        <v>0</v>
      </c>
      <c r="J219" s="40" t="s">
        <v>730</v>
      </c>
      <c r="K219" s="16" t="s">
        <v>731</v>
      </c>
      <c r="L219" s="15" t="s">
        <v>732</v>
      </c>
      <c r="M219" s="15" t="s">
        <v>733</v>
      </c>
      <c r="N219" s="41">
        <v>23000</v>
      </c>
      <c r="O219" s="41">
        <v>23000</v>
      </c>
      <c r="P219" s="41">
        <v>23000</v>
      </c>
      <c r="Q219" s="41">
        <v>0</v>
      </c>
      <c r="R219" s="41">
        <v>0</v>
      </c>
      <c r="S219" s="15" t="s">
        <v>734</v>
      </c>
      <c r="T219" s="15" t="s">
        <v>24</v>
      </c>
      <c r="U219" s="15" t="s">
        <v>735</v>
      </c>
      <c r="V219" s="15" t="s">
        <v>736</v>
      </c>
      <c r="W219" s="15" t="s">
        <v>737</v>
      </c>
      <c r="X219" s="42">
        <v>4300</v>
      </c>
      <c r="Y219" s="43" t="s">
        <v>738</v>
      </c>
      <c r="Z219" s="44" t="s">
        <v>739</v>
      </c>
    </row>
    <row r="220" spans="1:26" x14ac:dyDescent="0.3">
      <c r="A220" s="15">
        <v>27</v>
      </c>
      <c r="B220" s="15" t="s">
        <v>729</v>
      </c>
      <c r="C220" s="15" t="s">
        <v>26</v>
      </c>
      <c r="D220" s="15" t="s">
        <v>26</v>
      </c>
      <c r="E220" s="15" t="s">
        <v>26</v>
      </c>
      <c r="F220" s="16" t="s">
        <v>26</v>
      </c>
      <c r="G220" s="15" t="s">
        <v>26</v>
      </c>
      <c r="H220" s="15">
        <v>4000</v>
      </c>
      <c r="I220" s="15">
        <v>0</v>
      </c>
      <c r="J220" s="40" t="s">
        <v>730</v>
      </c>
      <c r="K220" s="16" t="s">
        <v>243</v>
      </c>
      <c r="L220" s="15" t="s">
        <v>740</v>
      </c>
      <c r="M220" s="15" t="s">
        <v>741</v>
      </c>
      <c r="N220" s="41">
        <v>100</v>
      </c>
      <c r="O220" s="41">
        <v>100</v>
      </c>
      <c r="P220" s="41">
        <v>100</v>
      </c>
      <c r="Q220" s="41">
        <v>100</v>
      </c>
      <c r="R220" s="41">
        <v>100</v>
      </c>
      <c r="S220" s="15" t="s">
        <v>50</v>
      </c>
      <c r="T220" s="15" t="s">
        <v>245</v>
      </c>
      <c r="U220" s="15"/>
      <c r="V220" s="15" t="s">
        <v>26</v>
      </c>
      <c r="W220" s="15"/>
      <c r="X220" s="42">
        <v>4300</v>
      </c>
      <c r="Y220" s="43" t="s">
        <v>738</v>
      </c>
      <c r="Z220" s="44" t="s">
        <v>742</v>
      </c>
    </row>
    <row r="221" spans="1:26" s="29" customFormat="1" x14ac:dyDescent="0.3">
      <c r="A221" s="15">
        <v>27</v>
      </c>
      <c r="B221" s="15" t="s">
        <v>729</v>
      </c>
      <c r="C221" s="15" t="s">
        <v>26</v>
      </c>
      <c r="D221" s="15" t="s">
        <v>26</v>
      </c>
      <c r="E221" s="15" t="s">
        <v>26</v>
      </c>
      <c r="F221" s="16" t="s">
        <v>26</v>
      </c>
      <c r="G221" s="15" t="s">
        <v>26</v>
      </c>
      <c r="H221" s="15">
        <v>2580</v>
      </c>
      <c r="I221" s="15">
        <v>0</v>
      </c>
      <c r="J221" s="40" t="s">
        <v>743</v>
      </c>
      <c r="K221" s="16" t="s">
        <v>580</v>
      </c>
      <c r="L221" s="15" t="s">
        <v>744</v>
      </c>
      <c r="M221" s="15" t="s">
        <v>745</v>
      </c>
      <c r="N221" s="45">
        <v>39186</v>
      </c>
      <c r="O221" s="45">
        <v>45455</v>
      </c>
      <c r="P221" s="45">
        <v>52728</v>
      </c>
      <c r="Q221" s="45">
        <v>61165</v>
      </c>
      <c r="R221" s="45">
        <v>70951</v>
      </c>
      <c r="S221" s="15" t="s">
        <v>50</v>
      </c>
      <c r="T221" s="15" t="s">
        <v>746</v>
      </c>
      <c r="U221" s="15"/>
      <c r="V221" s="15" t="s">
        <v>747</v>
      </c>
      <c r="W221" s="15" t="s">
        <v>748</v>
      </c>
      <c r="X221" s="42">
        <v>2580</v>
      </c>
      <c r="Y221" s="43" t="s">
        <v>749</v>
      </c>
      <c r="Z221" s="44" t="s">
        <v>750</v>
      </c>
    </row>
    <row r="222" spans="1:26" x14ac:dyDescent="0.3">
      <c r="A222" s="15">
        <v>27</v>
      </c>
      <c r="B222" s="15" t="s">
        <v>729</v>
      </c>
      <c r="C222" s="15" t="s">
        <v>26</v>
      </c>
      <c r="D222" s="15" t="s">
        <v>26</v>
      </c>
      <c r="E222" s="15" t="s">
        <v>26</v>
      </c>
      <c r="F222" s="16" t="s">
        <v>26</v>
      </c>
      <c r="G222" s="15" t="s">
        <v>26</v>
      </c>
      <c r="H222" s="15">
        <v>6230</v>
      </c>
      <c r="I222" s="46" t="s">
        <v>731</v>
      </c>
      <c r="J222" s="40" t="s">
        <v>743</v>
      </c>
      <c r="K222" s="16" t="s">
        <v>580</v>
      </c>
      <c r="L222" s="15" t="s">
        <v>751</v>
      </c>
      <c r="M222" s="15" t="s">
        <v>752</v>
      </c>
      <c r="N222" s="41">
        <v>12215</v>
      </c>
      <c r="O222" s="41">
        <v>2345</v>
      </c>
      <c r="P222" s="41">
        <v>6572</v>
      </c>
      <c r="Q222" s="41">
        <v>8894</v>
      </c>
      <c r="R222" s="41">
        <v>18450</v>
      </c>
      <c r="S222" s="15" t="s">
        <v>24</v>
      </c>
      <c r="T222" s="15" t="s">
        <v>24</v>
      </c>
      <c r="U222" s="15" t="s">
        <v>753</v>
      </c>
      <c r="V222" s="15" t="s">
        <v>747</v>
      </c>
      <c r="W222" s="15" t="s">
        <v>754</v>
      </c>
      <c r="X222" s="42">
        <v>6230</v>
      </c>
      <c r="Y222" s="43" t="s">
        <v>755</v>
      </c>
      <c r="Z222" s="44" t="s">
        <v>750</v>
      </c>
    </row>
    <row r="223" spans="1:26" x14ac:dyDescent="0.3">
      <c r="A223" s="15">
        <v>27</v>
      </c>
      <c r="B223" s="15" t="s">
        <v>729</v>
      </c>
      <c r="C223" s="15" t="s">
        <v>26</v>
      </c>
      <c r="D223" s="15" t="s">
        <v>26</v>
      </c>
      <c r="E223" s="15" t="s">
        <v>26</v>
      </c>
      <c r="F223" s="16" t="s">
        <v>26</v>
      </c>
      <c r="G223" s="15" t="s">
        <v>26</v>
      </c>
      <c r="H223" s="15">
        <v>2830</v>
      </c>
      <c r="I223" s="15">
        <v>0</v>
      </c>
      <c r="J223" s="40" t="s">
        <v>743</v>
      </c>
      <c r="K223" s="16" t="s">
        <v>580</v>
      </c>
      <c r="L223" s="15" t="s">
        <v>756</v>
      </c>
      <c r="M223" s="15" t="s">
        <v>752</v>
      </c>
      <c r="N223" s="41">
        <v>22624</v>
      </c>
      <c r="O223" s="41">
        <v>25661</v>
      </c>
      <c r="P223" s="41">
        <v>22437</v>
      </c>
      <c r="Q223" s="41">
        <v>30246</v>
      </c>
      <c r="R223" s="41">
        <v>32064</v>
      </c>
      <c r="S223" s="15" t="s">
        <v>24</v>
      </c>
      <c r="T223" s="15" t="s">
        <v>24</v>
      </c>
      <c r="U223" s="15" t="s">
        <v>753</v>
      </c>
      <c r="V223" s="15" t="s">
        <v>747</v>
      </c>
      <c r="W223" s="15" t="s">
        <v>754</v>
      </c>
      <c r="X223" s="42">
        <v>2830</v>
      </c>
      <c r="Y223" s="43" t="s">
        <v>757</v>
      </c>
      <c r="Z223" s="44" t="s">
        <v>750</v>
      </c>
    </row>
    <row r="224" spans="1:26" x14ac:dyDescent="0.3">
      <c r="A224" s="15">
        <v>27</v>
      </c>
      <c r="B224" s="15" t="s">
        <v>729</v>
      </c>
      <c r="C224" s="15" t="s">
        <v>26</v>
      </c>
      <c r="D224" s="15" t="s">
        <v>26</v>
      </c>
      <c r="E224" s="15" t="s">
        <v>26</v>
      </c>
      <c r="F224" s="16" t="s">
        <v>26</v>
      </c>
      <c r="G224" s="15" t="s">
        <v>26</v>
      </c>
      <c r="H224" s="15">
        <v>2830</v>
      </c>
      <c r="I224" s="15">
        <v>0</v>
      </c>
      <c r="J224" s="40" t="s">
        <v>730</v>
      </c>
      <c r="K224" s="16" t="s">
        <v>580</v>
      </c>
      <c r="L224" s="15" t="s">
        <v>758</v>
      </c>
      <c r="M224" s="15" t="s">
        <v>759</v>
      </c>
      <c r="N224" s="47">
        <v>39230</v>
      </c>
      <c r="O224" s="47">
        <v>47190</v>
      </c>
      <c r="P224" s="47">
        <v>44662</v>
      </c>
      <c r="Q224" s="41">
        <v>0</v>
      </c>
      <c r="R224" s="41">
        <v>0</v>
      </c>
      <c r="S224" s="15" t="s">
        <v>24</v>
      </c>
      <c r="T224" s="15" t="s">
        <v>24</v>
      </c>
      <c r="U224" s="15" t="s">
        <v>760</v>
      </c>
      <c r="V224" s="15" t="s">
        <v>747</v>
      </c>
      <c r="W224" s="15" t="s">
        <v>754</v>
      </c>
      <c r="X224" s="42">
        <v>2830</v>
      </c>
      <c r="Y224" s="43" t="s">
        <v>757</v>
      </c>
      <c r="Z224" s="44" t="s">
        <v>761</v>
      </c>
    </row>
    <row r="225" spans="1:26" x14ac:dyDescent="0.3">
      <c r="A225" s="15">
        <v>27</v>
      </c>
      <c r="B225" s="15" t="s">
        <v>729</v>
      </c>
      <c r="C225" s="15" t="s">
        <v>26</v>
      </c>
      <c r="D225" s="15" t="s">
        <v>26</v>
      </c>
      <c r="E225" s="15" t="s">
        <v>26</v>
      </c>
      <c r="F225" s="16" t="s">
        <v>26</v>
      </c>
      <c r="G225" s="15" t="s">
        <v>26</v>
      </c>
      <c r="H225" s="15">
        <v>6230</v>
      </c>
      <c r="I225" s="46" t="s">
        <v>731</v>
      </c>
      <c r="J225" s="40" t="s">
        <v>730</v>
      </c>
      <c r="K225" s="16" t="s">
        <v>580</v>
      </c>
      <c r="L225" s="15" t="s">
        <v>758</v>
      </c>
      <c r="M225" s="15" t="s">
        <v>759</v>
      </c>
      <c r="N225" s="47">
        <v>7235</v>
      </c>
      <c r="O225" s="47">
        <v>11910</v>
      </c>
      <c r="P225" s="47">
        <v>5851</v>
      </c>
      <c r="Q225" s="41">
        <v>0</v>
      </c>
      <c r="R225" s="41">
        <v>0</v>
      </c>
      <c r="S225" s="15" t="s">
        <v>24</v>
      </c>
      <c r="T225" s="15" t="s">
        <v>24</v>
      </c>
      <c r="U225" s="15" t="s">
        <v>760</v>
      </c>
      <c r="V225" s="15" t="s">
        <v>747</v>
      </c>
      <c r="W225" s="15" t="s">
        <v>754</v>
      </c>
      <c r="X225" s="42">
        <v>6230</v>
      </c>
      <c r="Y225" s="43" t="s">
        <v>755</v>
      </c>
      <c r="Z225" s="44" t="s">
        <v>761</v>
      </c>
    </row>
    <row r="226" spans="1:26" x14ac:dyDescent="0.3">
      <c r="A226" s="15">
        <v>27</v>
      </c>
      <c r="B226" s="15" t="s">
        <v>729</v>
      </c>
      <c r="C226" s="15" t="s">
        <v>26</v>
      </c>
      <c r="D226" s="15" t="s">
        <v>26</v>
      </c>
      <c r="E226" s="15" t="s">
        <v>26</v>
      </c>
      <c r="F226" s="16" t="s">
        <v>26</v>
      </c>
      <c r="G226" s="15" t="s">
        <v>26</v>
      </c>
      <c r="H226" s="15">
        <v>4000</v>
      </c>
      <c r="I226" s="15">
        <v>0</v>
      </c>
      <c r="J226" s="40" t="s">
        <v>762</v>
      </c>
      <c r="K226" s="16" t="s">
        <v>580</v>
      </c>
      <c r="L226" s="15" t="s">
        <v>763</v>
      </c>
      <c r="M226" s="15" t="s">
        <v>764</v>
      </c>
      <c r="N226" s="47">
        <v>68</v>
      </c>
      <c r="O226" s="47">
        <v>68</v>
      </c>
      <c r="P226" s="47">
        <v>68</v>
      </c>
      <c r="Q226" s="41">
        <v>0</v>
      </c>
      <c r="R226" s="41">
        <v>0</v>
      </c>
      <c r="S226" s="15" t="s">
        <v>50</v>
      </c>
      <c r="T226" s="15" t="s">
        <v>50</v>
      </c>
      <c r="U226" s="15" t="s">
        <v>26</v>
      </c>
      <c r="V226" s="15" t="s">
        <v>26</v>
      </c>
      <c r="W226" s="15" t="s">
        <v>765</v>
      </c>
      <c r="X226" s="42">
        <v>4360</v>
      </c>
      <c r="Y226" s="43" t="s">
        <v>766</v>
      </c>
      <c r="Z226" s="44" t="s">
        <v>761</v>
      </c>
    </row>
    <row r="227" spans="1:26" x14ac:dyDescent="0.3">
      <c r="A227" s="15">
        <v>27</v>
      </c>
      <c r="B227" s="15" t="s">
        <v>729</v>
      </c>
      <c r="C227" s="15" t="s">
        <v>26</v>
      </c>
      <c r="D227" s="15" t="s">
        <v>26</v>
      </c>
      <c r="E227" s="15" t="s">
        <v>26</v>
      </c>
      <c r="F227" s="16" t="s">
        <v>26</v>
      </c>
      <c r="G227" s="15" t="s">
        <v>26</v>
      </c>
      <c r="H227" s="15">
        <v>4000</v>
      </c>
      <c r="I227" s="15">
        <v>0</v>
      </c>
      <c r="J227" s="40" t="s">
        <v>762</v>
      </c>
      <c r="K227" s="16" t="s">
        <v>580</v>
      </c>
      <c r="L227" s="15" t="s">
        <v>767</v>
      </c>
      <c r="M227" s="16" t="s">
        <v>768</v>
      </c>
      <c r="N227" s="47">
        <v>40</v>
      </c>
      <c r="O227" s="47">
        <v>40</v>
      </c>
      <c r="P227" s="47">
        <v>40</v>
      </c>
      <c r="Q227" s="41">
        <v>0</v>
      </c>
      <c r="R227" s="41">
        <v>0</v>
      </c>
      <c r="S227" s="15" t="s">
        <v>50</v>
      </c>
      <c r="T227" s="15" t="s">
        <v>50</v>
      </c>
      <c r="U227" s="15"/>
      <c r="V227" s="15"/>
      <c r="W227" s="15"/>
      <c r="X227" s="42">
        <v>4360</v>
      </c>
      <c r="Y227" s="43" t="s">
        <v>766</v>
      </c>
      <c r="Z227" s="44" t="s">
        <v>761</v>
      </c>
    </row>
    <row r="228" spans="1:26" x14ac:dyDescent="0.3">
      <c r="A228" s="15">
        <v>27</v>
      </c>
      <c r="B228" s="15" t="s">
        <v>729</v>
      </c>
      <c r="C228" s="15" t="s">
        <v>26</v>
      </c>
      <c r="D228" s="15" t="s">
        <v>26</v>
      </c>
      <c r="E228" s="15" t="s">
        <v>26</v>
      </c>
      <c r="F228" s="16" t="s">
        <v>26</v>
      </c>
      <c r="G228" s="15" t="s">
        <v>26</v>
      </c>
      <c r="H228" s="15">
        <v>4000</v>
      </c>
      <c r="I228" s="15">
        <v>0</v>
      </c>
      <c r="J228" s="40" t="s">
        <v>762</v>
      </c>
      <c r="K228" s="16" t="s">
        <v>243</v>
      </c>
      <c r="L228" s="15" t="s">
        <v>769</v>
      </c>
      <c r="M228" s="15" t="s">
        <v>770</v>
      </c>
      <c r="N228" s="41">
        <f>22+4837+41</f>
        <v>4900</v>
      </c>
      <c r="O228" s="47">
        <f>4900</f>
        <v>4900</v>
      </c>
      <c r="P228" s="47">
        <f>4900</f>
        <v>4900</v>
      </c>
      <c r="Q228" s="41">
        <v>0</v>
      </c>
      <c r="R228" s="41">
        <v>0</v>
      </c>
      <c r="S228" s="15" t="s">
        <v>24</v>
      </c>
      <c r="T228" s="15" t="s">
        <v>24</v>
      </c>
      <c r="U228" s="15" t="s">
        <v>771</v>
      </c>
      <c r="V228" s="15" t="s">
        <v>772</v>
      </c>
      <c r="W228" s="15" t="s">
        <v>765</v>
      </c>
      <c r="X228" s="42">
        <v>4300</v>
      </c>
      <c r="Y228" s="43" t="s">
        <v>738</v>
      </c>
      <c r="Z228" s="44" t="s">
        <v>761</v>
      </c>
    </row>
    <row r="229" spans="1:26" x14ac:dyDescent="0.3">
      <c r="A229" s="15">
        <v>27</v>
      </c>
      <c r="B229" s="15" t="s">
        <v>729</v>
      </c>
      <c r="C229" s="15" t="s">
        <v>26</v>
      </c>
      <c r="D229" s="15" t="s">
        <v>26</v>
      </c>
      <c r="E229" s="15" t="s">
        <v>26</v>
      </c>
      <c r="F229" s="16" t="s">
        <v>26</v>
      </c>
      <c r="G229" s="15" t="s">
        <v>26</v>
      </c>
      <c r="H229" s="15">
        <v>4000</v>
      </c>
      <c r="I229" s="15">
        <v>0</v>
      </c>
      <c r="J229" s="40" t="s">
        <v>730</v>
      </c>
      <c r="K229" s="16" t="s">
        <v>580</v>
      </c>
      <c r="L229" s="15" t="s">
        <v>773</v>
      </c>
      <c r="M229" s="15" t="s">
        <v>774</v>
      </c>
      <c r="N229" s="41">
        <v>0</v>
      </c>
      <c r="O229" s="41">
        <v>0</v>
      </c>
      <c r="P229" s="41">
        <v>0</v>
      </c>
      <c r="Q229" s="41">
        <v>0</v>
      </c>
      <c r="R229" s="41">
        <v>0</v>
      </c>
      <c r="S229" s="15" t="s">
        <v>50</v>
      </c>
      <c r="T229" s="15" t="s">
        <v>26</v>
      </c>
      <c r="U229" s="15"/>
      <c r="V229" s="15" t="s">
        <v>26</v>
      </c>
      <c r="W229" s="15"/>
      <c r="X229" s="42">
        <v>4300</v>
      </c>
      <c r="Y229" s="43" t="s">
        <v>738</v>
      </c>
      <c r="Z229" s="44" t="s">
        <v>775</v>
      </c>
    </row>
    <row r="230" spans="1:26" x14ac:dyDescent="0.3">
      <c r="A230" s="15">
        <v>27</v>
      </c>
      <c r="B230" s="15" t="s">
        <v>729</v>
      </c>
      <c r="C230" s="15" t="s">
        <v>26</v>
      </c>
      <c r="D230" s="15" t="s">
        <v>26</v>
      </c>
      <c r="E230" s="15" t="s">
        <v>26</v>
      </c>
      <c r="F230" s="16" t="s">
        <v>26</v>
      </c>
      <c r="G230" s="15" t="s">
        <v>26</v>
      </c>
      <c r="H230" s="15">
        <v>2830</v>
      </c>
      <c r="I230" s="15">
        <v>0</v>
      </c>
      <c r="J230" s="40" t="s">
        <v>730</v>
      </c>
      <c r="K230" s="16" t="s">
        <v>580</v>
      </c>
      <c r="L230" s="15" t="s">
        <v>776</v>
      </c>
      <c r="M230" s="15" t="s">
        <v>777</v>
      </c>
      <c r="N230" s="41">
        <v>600</v>
      </c>
      <c r="O230" s="41">
        <v>0</v>
      </c>
      <c r="P230" s="41">
        <v>0</v>
      </c>
      <c r="Q230" s="41">
        <v>0</v>
      </c>
      <c r="R230" s="41">
        <v>0</v>
      </c>
      <c r="S230" s="15" t="s">
        <v>50</v>
      </c>
      <c r="T230" s="15" t="s">
        <v>26</v>
      </c>
      <c r="U230" s="15"/>
      <c r="V230" s="15" t="s">
        <v>26</v>
      </c>
      <c r="W230" s="15"/>
      <c r="X230" s="42">
        <v>2830</v>
      </c>
      <c r="Y230" s="43" t="s">
        <v>757</v>
      </c>
      <c r="Z230" s="44" t="s">
        <v>775</v>
      </c>
    </row>
    <row r="231" spans="1:26" x14ac:dyDescent="0.3">
      <c r="A231" s="15">
        <v>27</v>
      </c>
      <c r="B231" s="15" t="s">
        <v>729</v>
      </c>
      <c r="C231" s="15" t="s">
        <v>26</v>
      </c>
      <c r="D231" s="15" t="s">
        <v>26</v>
      </c>
      <c r="E231" s="15" t="s">
        <v>26</v>
      </c>
      <c r="F231" s="16" t="s">
        <v>26</v>
      </c>
      <c r="G231" s="15" t="s">
        <v>26</v>
      </c>
      <c r="H231" s="15">
        <v>2830</v>
      </c>
      <c r="I231" s="15">
        <v>0</v>
      </c>
      <c r="J231" s="40" t="s">
        <v>730</v>
      </c>
      <c r="K231" s="16" t="s">
        <v>580</v>
      </c>
      <c r="L231" s="15" t="s">
        <v>778</v>
      </c>
      <c r="M231" s="15" t="s">
        <v>779</v>
      </c>
      <c r="N231" s="41">
        <v>0</v>
      </c>
      <c r="O231" s="41">
        <v>0</v>
      </c>
      <c r="P231" s="41">
        <v>0</v>
      </c>
      <c r="Q231" s="41">
        <v>0</v>
      </c>
      <c r="R231" s="41">
        <v>0</v>
      </c>
      <c r="S231" s="15" t="s">
        <v>50</v>
      </c>
      <c r="T231" s="15" t="s">
        <v>26</v>
      </c>
      <c r="U231" s="15"/>
      <c r="V231" s="15" t="s">
        <v>26</v>
      </c>
      <c r="W231" s="15"/>
      <c r="X231" s="42">
        <v>2830</v>
      </c>
      <c r="Y231" s="43" t="s">
        <v>757</v>
      </c>
      <c r="Z231" s="44" t="s">
        <v>775</v>
      </c>
    </row>
    <row r="232" spans="1:26" x14ac:dyDescent="0.3">
      <c r="A232" s="15">
        <v>27</v>
      </c>
      <c r="B232" s="15" t="s">
        <v>729</v>
      </c>
      <c r="C232" s="15" t="s">
        <v>26</v>
      </c>
      <c r="D232" s="15" t="s">
        <v>26</v>
      </c>
      <c r="E232" s="15" t="s">
        <v>26</v>
      </c>
      <c r="F232" s="16" t="s">
        <v>26</v>
      </c>
      <c r="G232" s="15" t="s">
        <v>26</v>
      </c>
      <c r="H232" s="15">
        <v>2830</v>
      </c>
      <c r="I232" s="15">
        <v>0</v>
      </c>
      <c r="J232" s="40" t="s">
        <v>730</v>
      </c>
      <c r="K232" s="16" t="s">
        <v>580</v>
      </c>
      <c r="L232" s="15" t="s">
        <v>780</v>
      </c>
      <c r="M232" s="15" t="s">
        <v>781</v>
      </c>
      <c r="N232" s="41">
        <v>12000</v>
      </c>
      <c r="O232" s="41">
        <v>0</v>
      </c>
      <c r="P232" s="41">
        <v>0</v>
      </c>
      <c r="Q232" s="41">
        <v>0</v>
      </c>
      <c r="R232" s="41">
        <v>0</v>
      </c>
      <c r="S232" s="15" t="s">
        <v>50</v>
      </c>
      <c r="T232" s="15" t="s">
        <v>26</v>
      </c>
      <c r="U232" s="15"/>
      <c r="V232" s="15" t="s">
        <v>26</v>
      </c>
      <c r="W232" s="15"/>
      <c r="X232" s="42">
        <v>2830</v>
      </c>
      <c r="Y232" s="43" t="s">
        <v>757</v>
      </c>
      <c r="Z232" s="44" t="s">
        <v>775</v>
      </c>
    </row>
    <row r="233" spans="1:26" x14ac:dyDescent="0.3">
      <c r="A233" s="15">
        <v>27</v>
      </c>
      <c r="B233" s="15" t="s">
        <v>729</v>
      </c>
      <c r="C233" s="15" t="s">
        <v>26</v>
      </c>
      <c r="D233" s="15" t="s">
        <v>26</v>
      </c>
      <c r="E233" s="15" t="s">
        <v>26</v>
      </c>
      <c r="F233" s="16" t="s">
        <v>26</v>
      </c>
      <c r="G233" s="15" t="s">
        <v>26</v>
      </c>
      <c r="H233" s="15">
        <v>2800</v>
      </c>
      <c r="I233" s="15">
        <v>0</v>
      </c>
      <c r="J233" s="40" t="s">
        <v>782</v>
      </c>
      <c r="K233" s="16" t="s">
        <v>783</v>
      </c>
      <c r="L233" s="15" t="s">
        <v>784</v>
      </c>
      <c r="M233" s="15" t="s">
        <v>785</v>
      </c>
      <c r="N233" s="41">
        <v>915</v>
      </c>
      <c r="O233" s="41">
        <v>0</v>
      </c>
      <c r="P233" s="41">
        <v>0</v>
      </c>
      <c r="Q233" s="41">
        <v>0</v>
      </c>
      <c r="R233" s="41">
        <v>0</v>
      </c>
      <c r="S233" s="15" t="s">
        <v>24</v>
      </c>
      <c r="T233" s="15" t="s">
        <v>24</v>
      </c>
      <c r="U233" s="15" t="s">
        <v>786</v>
      </c>
      <c r="V233" s="15" t="s">
        <v>787</v>
      </c>
      <c r="W233" s="15"/>
      <c r="X233" s="42">
        <v>2800</v>
      </c>
      <c r="Y233" s="43" t="s">
        <v>757</v>
      </c>
      <c r="Z233" s="44" t="s">
        <v>775</v>
      </c>
    </row>
    <row r="234" spans="1:26" x14ac:dyDescent="0.3">
      <c r="A234" s="15">
        <v>27</v>
      </c>
      <c r="B234" s="15" t="s">
        <v>729</v>
      </c>
      <c r="C234" s="15" t="s">
        <v>26</v>
      </c>
      <c r="D234" s="15" t="s">
        <v>26</v>
      </c>
      <c r="E234" s="15" t="s">
        <v>26</v>
      </c>
      <c r="F234" s="16" t="s">
        <v>26</v>
      </c>
      <c r="G234" s="15" t="s">
        <v>26</v>
      </c>
      <c r="H234" s="15">
        <v>2830</v>
      </c>
      <c r="I234" s="15">
        <v>0</v>
      </c>
      <c r="J234" s="40" t="s">
        <v>782</v>
      </c>
      <c r="K234" s="16" t="s">
        <v>783</v>
      </c>
      <c r="L234" s="15" t="s">
        <v>784</v>
      </c>
      <c r="M234" s="15" t="s">
        <v>785</v>
      </c>
      <c r="N234" s="41">
        <v>171</v>
      </c>
      <c r="O234" s="41">
        <v>0</v>
      </c>
      <c r="P234" s="41">
        <v>0</v>
      </c>
      <c r="Q234" s="41">
        <v>0</v>
      </c>
      <c r="R234" s="41">
        <v>0</v>
      </c>
      <c r="S234" s="15" t="s">
        <v>24</v>
      </c>
      <c r="T234" s="15" t="s">
        <v>24</v>
      </c>
      <c r="U234" s="15" t="s">
        <v>786</v>
      </c>
      <c r="V234" s="15" t="s">
        <v>787</v>
      </c>
      <c r="W234" s="15"/>
      <c r="X234" s="42">
        <v>2830</v>
      </c>
      <c r="Y234" s="43" t="s">
        <v>757</v>
      </c>
      <c r="Z234" s="44" t="s">
        <v>775</v>
      </c>
    </row>
    <row r="235" spans="1:26" x14ac:dyDescent="0.3">
      <c r="A235" s="15">
        <v>27</v>
      </c>
      <c r="B235" s="15" t="s">
        <v>729</v>
      </c>
      <c r="C235" s="15" t="s">
        <v>26</v>
      </c>
      <c r="D235" s="15" t="s">
        <v>26</v>
      </c>
      <c r="E235" s="15" t="s">
        <v>26</v>
      </c>
      <c r="F235" s="16" t="s">
        <v>26</v>
      </c>
      <c r="G235" s="15" t="s">
        <v>26</v>
      </c>
      <c r="H235" s="15">
        <v>4000</v>
      </c>
      <c r="I235" s="15">
        <v>0</v>
      </c>
      <c r="J235" s="40" t="s">
        <v>730</v>
      </c>
      <c r="K235" s="16" t="s">
        <v>243</v>
      </c>
      <c r="L235" s="15" t="s">
        <v>788</v>
      </c>
      <c r="M235" s="15" t="s">
        <v>789</v>
      </c>
      <c r="N235" s="41">
        <v>0</v>
      </c>
      <c r="O235" s="41">
        <v>0</v>
      </c>
      <c r="P235" s="41">
        <v>0</v>
      </c>
      <c r="Q235" s="41">
        <v>0</v>
      </c>
      <c r="R235" s="41">
        <v>0</v>
      </c>
      <c r="S235" s="15" t="s">
        <v>50</v>
      </c>
      <c r="T235" s="15" t="s">
        <v>26</v>
      </c>
      <c r="U235" s="15"/>
      <c r="V235" s="15" t="s">
        <v>26</v>
      </c>
      <c r="W235" s="15"/>
      <c r="X235" s="42">
        <v>4300</v>
      </c>
      <c r="Y235" s="43" t="s">
        <v>738</v>
      </c>
      <c r="Z235" s="44" t="s">
        <v>750</v>
      </c>
    </row>
    <row r="236" spans="1:26" x14ac:dyDescent="0.3">
      <c r="A236" s="15">
        <v>27</v>
      </c>
      <c r="B236" s="15" t="s">
        <v>729</v>
      </c>
      <c r="C236" s="15" t="s">
        <v>26</v>
      </c>
      <c r="D236" s="15" t="s">
        <v>26</v>
      </c>
      <c r="E236" s="15" t="s">
        <v>26</v>
      </c>
      <c r="F236" s="16" t="s">
        <v>26</v>
      </c>
      <c r="G236" s="15" t="s">
        <v>26</v>
      </c>
      <c r="H236" s="15">
        <v>4000</v>
      </c>
      <c r="I236" s="15">
        <v>0</v>
      </c>
      <c r="J236" s="40" t="s">
        <v>730</v>
      </c>
      <c r="K236" s="16" t="s">
        <v>243</v>
      </c>
      <c r="L236" s="15" t="s">
        <v>790</v>
      </c>
      <c r="M236" s="15" t="s">
        <v>791</v>
      </c>
      <c r="N236" s="41">
        <v>0</v>
      </c>
      <c r="O236" s="41">
        <v>0</v>
      </c>
      <c r="P236" s="41">
        <v>0</v>
      </c>
      <c r="Q236" s="41">
        <v>0</v>
      </c>
      <c r="R236" s="41">
        <v>0</v>
      </c>
      <c r="S236" s="15" t="s">
        <v>50</v>
      </c>
      <c r="T236" s="15" t="s">
        <v>26</v>
      </c>
      <c r="U236" s="15" t="s">
        <v>245</v>
      </c>
      <c r="V236" s="15" t="s">
        <v>26</v>
      </c>
      <c r="W236" s="15"/>
      <c r="X236" s="42">
        <v>4300</v>
      </c>
      <c r="Y236" s="43" t="s">
        <v>738</v>
      </c>
      <c r="Z236" s="44" t="s">
        <v>750</v>
      </c>
    </row>
    <row r="237" spans="1:26" x14ac:dyDescent="0.3">
      <c r="A237" s="15">
        <v>27</v>
      </c>
      <c r="B237" s="15" t="s">
        <v>729</v>
      </c>
      <c r="C237" s="15" t="s">
        <v>26</v>
      </c>
      <c r="D237" s="15" t="s">
        <v>26</v>
      </c>
      <c r="E237" s="15" t="s">
        <v>26</v>
      </c>
      <c r="F237" s="16" t="s">
        <v>26</v>
      </c>
      <c r="G237" s="15" t="s">
        <v>26</v>
      </c>
      <c r="H237" s="15">
        <v>4000</v>
      </c>
      <c r="I237" s="15">
        <v>0</v>
      </c>
      <c r="J237" s="40" t="s">
        <v>730</v>
      </c>
      <c r="K237" s="16" t="s">
        <v>243</v>
      </c>
      <c r="L237" s="15" t="s">
        <v>792</v>
      </c>
      <c r="M237" s="15" t="s">
        <v>793</v>
      </c>
      <c r="N237" s="41">
        <v>0</v>
      </c>
      <c r="O237" s="41">
        <v>0</v>
      </c>
      <c r="P237" s="41">
        <v>0</v>
      </c>
      <c r="Q237" s="41">
        <v>0</v>
      </c>
      <c r="R237" s="41">
        <v>0</v>
      </c>
      <c r="S237" s="15" t="s">
        <v>50</v>
      </c>
      <c r="T237" s="15" t="s">
        <v>26</v>
      </c>
      <c r="U237" s="15"/>
      <c r="V237" s="15" t="s">
        <v>26</v>
      </c>
      <c r="W237" s="15"/>
      <c r="X237" s="42">
        <v>4300</v>
      </c>
      <c r="Y237" s="43" t="s">
        <v>738</v>
      </c>
      <c r="Z237" s="44" t="s">
        <v>750</v>
      </c>
    </row>
    <row r="238" spans="1:26" x14ac:dyDescent="0.3">
      <c r="A238" s="15">
        <v>27</v>
      </c>
      <c r="B238" s="15" t="s">
        <v>729</v>
      </c>
      <c r="C238" s="15" t="s">
        <v>26</v>
      </c>
      <c r="D238" s="15" t="s">
        <v>26</v>
      </c>
      <c r="E238" s="15" t="s">
        <v>26</v>
      </c>
      <c r="F238" s="16" t="s">
        <v>26</v>
      </c>
      <c r="G238" s="15" t="s">
        <v>26</v>
      </c>
      <c r="H238" s="15">
        <v>4000</v>
      </c>
      <c r="I238" s="15">
        <v>0</v>
      </c>
      <c r="J238" s="40" t="s">
        <v>730</v>
      </c>
      <c r="K238" s="16" t="s">
        <v>243</v>
      </c>
      <c r="L238" s="15" t="s">
        <v>794</v>
      </c>
      <c r="M238" s="15" t="s">
        <v>795</v>
      </c>
      <c r="N238" s="41">
        <v>0</v>
      </c>
      <c r="O238" s="41">
        <v>0</v>
      </c>
      <c r="P238" s="41">
        <v>0</v>
      </c>
      <c r="Q238" s="41">
        <v>0</v>
      </c>
      <c r="R238" s="41">
        <v>0</v>
      </c>
      <c r="S238" s="15" t="s">
        <v>50</v>
      </c>
      <c r="T238" s="15" t="s">
        <v>26</v>
      </c>
      <c r="U238" s="15"/>
      <c r="V238" s="15" t="s">
        <v>26</v>
      </c>
      <c r="W238" s="15"/>
      <c r="X238" s="42">
        <v>4210</v>
      </c>
      <c r="Y238" s="43" t="s">
        <v>796</v>
      </c>
      <c r="Z238" s="44" t="s">
        <v>775</v>
      </c>
    </row>
    <row r="239" spans="1:26" s="29" customFormat="1" x14ac:dyDescent="0.3">
      <c r="A239" s="15">
        <v>27</v>
      </c>
      <c r="B239" s="15" t="s">
        <v>729</v>
      </c>
      <c r="C239" s="15" t="s">
        <v>26</v>
      </c>
      <c r="D239" s="15" t="s">
        <v>26</v>
      </c>
      <c r="E239" s="15" t="s">
        <v>26</v>
      </c>
      <c r="F239" s="16" t="s">
        <v>26</v>
      </c>
      <c r="G239" s="15" t="s">
        <v>26</v>
      </c>
      <c r="H239" s="15">
        <v>4000</v>
      </c>
      <c r="I239" s="15">
        <v>0</v>
      </c>
      <c r="J239" s="40" t="s">
        <v>730</v>
      </c>
      <c r="K239" s="16" t="s">
        <v>243</v>
      </c>
      <c r="L239" s="15" t="s">
        <v>797</v>
      </c>
      <c r="M239" s="15" t="s">
        <v>798</v>
      </c>
      <c r="N239" s="41">
        <f>500+100</f>
        <v>600</v>
      </c>
      <c r="O239" s="41">
        <v>0</v>
      </c>
      <c r="P239" s="41">
        <v>0</v>
      </c>
      <c r="Q239" s="41">
        <v>0</v>
      </c>
      <c r="R239" s="41">
        <v>0</v>
      </c>
      <c r="S239" s="15" t="s">
        <v>50</v>
      </c>
      <c r="T239" s="15" t="s">
        <v>26</v>
      </c>
      <c r="U239" s="15"/>
      <c r="V239" s="15" t="s">
        <v>26</v>
      </c>
      <c r="W239" s="15" t="s">
        <v>799</v>
      </c>
      <c r="X239" s="42">
        <v>4300</v>
      </c>
      <c r="Y239" s="43" t="s">
        <v>738</v>
      </c>
      <c r="Z239" s="44" t="s">
        <v>775</v>
      </c>
    </row>
    <row r="240" spans="1:26" x14ac:dyDescent="0.3">
      <c r="A240" s="15">
        <v>27</v>
      </c>
      <c r="B240" s="15" t="s">
        <v>729</v>
      </c>
      <c r="C240" s="15" t="s">
        <v>26</v>
      </c>
      <c r="D240" s="15" t="s">
        <v>26</v>
      </c>
      <c r="E240" s="15" t="s">
        <v>26</v>
      </c>
      <c r="F240" s="16" t="s">
        <v>26</v>
      </c>
      <c r="G240" s="15" t="s">
        <v>26</v>
      </c>
      <c r="H240" s="15">
        <v>4000</v>
      </c>
      <c r="I240" s="15">
        <v>0</v>
      </c>
      <c r="J240" s="40" t="s">
        <v>730</v>
      </c>
      <c r="K240" s="16" t="s">
        <v>243</v>
      </c>
      <c r="L240" s="15" t="s">
        <v>800</v>
      </c>
      <c r="M240" s="15" t="s">
        <v>801</v>
      </c>
      <c r="N240" s="41">
        <f>10+2</f>
        <v>12</v>
      </c>
      <c r="O240" s="41">
        <v>0</v>
      </c>
      <c r="P240" s="41">
        <v>0</v>
      </c>
      <c r="Q240" s="41">
        <v>0</v>
      </c>
      <c r="R240" s="41">
        <v>0</v>
      </c>
      <c r="S240" s="15" t="s">
        <v>50</v>
      </c>
      <c r="T240" s="15" t="s">
        <v>26</v>
      </c>
      <c r="U240" s="15"/>
      <c r="V240" s="15" t="s">
        <v>26</v>
      </c>
      <c r="W240" s="15" t="s">
        <v>802</v>
      </c>
      <c r="X240" s="42">
        <v>4300</v>
      </c>
      <c r="Y240" s="43" t="s">
        <v>738</v>
      </c>
      <c r="Z240" s="44" t="s">
        <v>775</v>
      </c>
    </row>
    <row r="241" spans="1:26" x14ac:dyDescent="0.3">
      <c r="A241" s="15">
        <v>27</v>
      </c>
      <c r="B241" s="15" t="s">
        <v>729</v>
      </c>
      <c r="C241" s="15" t="s">
        <v>26</v>
      </c>
      <c r="D241" s="15" t="s">
        <v>26</v>
      </c>
      <c r="E241" s="15" t="s">
        <v>26</v>
      </c>
      <c r="F241" s="16" t="s">
        <v>26</v>
      </c>
      <c r="G241" s="15" t="s">
        <v>26</v>
      </c>
      <c r="H241" s="15">
        <v>4000</v>
      </c>
      <c r="I241" s="15">
        <v>0</v>
      </c>
      <c r="J241" s="40" t="s">
        <v>730</v>
      </c>
      <c r="K241" s="16" t="s">
        <v>243</v>
      </c>
      <c r="L241" s="15" t="s">
        <v>803</v>
      </c>
      <c r="M241" s="15" t="s">
        <v>804</v>
      </c>
      <c r="N241" s="41">
        <v>0</v>
      </c>
      <c r="O241" s="41">
        <v>0</v>
      </c>
      <c r="P241" s="41">
        <v>0</v>
      </c>
      <c r="Q241" s="41">
        <v>0</v>
      </c>
      <c r="R241" s="41">
        <v>0</v>
      </c>
      <c r="S241" s="15" t="s">
        <v>50</v>
      </c>
      <c r="T241" s="15" t="s">
        <v>26</v>
      </c>
      <c r="U241" s="15"/>
      <c r="V241" s="15" t="s">
        <v>26</v>
      </c>
      <c r="W241" s="15"/>
      <c r="X241" s="42">
        <v>4210</v>
      </c>
      <c r="Y241" s="43" t="s">
        <v>796</v>
      </c>
      <c r="Z241" s="44" t="s">
        <v>775</v>
      </c>
    </row>
    <row r="242" spans="1:26" x14ac:dyDescent="0.3">
      <c r="A242" s="15">
        <v>27</v>
      </c>
      <c r="B242" s="15" t="s">
        <v>729</v>
      </c>
      <c r="C242" s="15" t="s">
        <v>26</v>
      </c>
      <c r="D242" s="15" t="s">
        <v>26</v>
      </c>
      <c r="E242" s="15" t="s">
        <v>26</v>
      </c>
      <c r="F242" s="16" t="s">
        <v>26</v>
      </c>
      <c r="G242" s="15" t="s">
        <v>26</v>
      </c>
      <c r="H242" s="15">
        <v>4000</v>
      </c>
      <c r="I242" s="15">
        <v>0</v>
      </c>
      <c r="J242" s="40" t="s">
        <v>730</v>
      </c>
      <c r="K242" s="16" t="s">
        <v>243</v>
      </c>
      <c r="L242" s="15" t="s">
        <v>805</v>
      </c>
      <c r="M242" s="15" t="s">
        <v>806</v>
      </c>
      <c r="N242" s="41">
        <v>0</v>
      </c>
      <c r="O242" s="41">
        <v>0</v>
      </c>
      <c r="P242" s="41">
        <v>0</v>
      </c>
      <c r="Q242" s="41">
        <v>0</v>
      </c>
      <c r="R242" s="41">
        <v>0</v>
      </c>
      <c r="S242" s="15" t="s">
        <v>50</v>
      </c>
      <c r="T242" s="15" t="s">
        <v>26</v>
      </c>
      <c r="U242" s="15"/>
      <c r="V242" s="15" t="s">
        <v>26</v>
      </c>
      <c r="W242" s="15"/>
      <c r="X242" s="42">
        <v>4210</v>
      </c>
      <c r="Y242" s="43" t="s">
        <v>796</v>
      </c>
      <c r="Z242" s="44" t="s">
        <v>775</v>
      </c>
    </row>
    <row r="243" spans="1:26" x14ac:dyDescent="0.3">
      <c r="A243" s="15">
        <v>27</v>
      </c>
      <c r="B243" s="15" t="s">
        <v>729</v>
      </c>
      <c r="C243" s="15" t="s">
        <v>26</v>
      </c>
      <c r="D243" s="15" t="s">
        <v>26</v>
      </c>
      <c r="E243" s="15" t="s">
        <v>26</v>
      </c>
      <c r="F243" s="16" t="s">
        <v>26</v>
      </c>
      <c r="G243" s="15" t="s">
        <v>26</v>
      </c>
      <c r="H243" s="15">
        <v>4000</v>
      </c>
      <c r="I243" s="15">
        <v>0</v>
      </c>
      <c r="J243" s="40" t="s">
        <v>807</v>
      </c>
      <c r="K243" s="16" t="s">
        <v>243</v>
      </c>
      <c r="L243" s="15" t="s">
        <v>808</v>
      </c>
      <c r="M243" s="15" t="s">
        <v>809</v>
      </c>
      <c r="N243" s="41">
        <v>0</v>
      </c>
      <c r="O243" s="41">
        <v>0</v>
      </c>
      <c r="P243" s="41">
        <v>0</v>
      </c>
      <c r="Q243" s="41">
        <v>0</v>
      </c>
      <c r="R243" s="41">
        <v>0</v>
      </c>
      <c r="S243" s="15" t="s">
        <v>24</v>
      </c>
      <c r="T243" s="15" t="s">
        <v>24</v>
      </c>
      <c r="U243" s="15" t="s">
        <v>810</v>
      </c>
      <c r="V243" s="15" t="s">
        <v>811</v>
      </c>
      <c r="W243" s="15"/>
      <c r="X243" s="42">
        <v>4380</v>
      </c>
      <c r="Y243" s="43" t="s">
        <v>812</v>
      </c>
      <c r="Z243" s="44" t="s">
        <v>775</v>
      </c>
    </row>
    <row r="244" spans="1:26" x14ac:dyDescent="0.3">
      <c r="A244" s="15">
        <v>27</v>
      </c>
      <c r="B244" s="15" t="s">
        <v>729</v>
      </c>
      <c r="C244" s="15" t="s">
        <v>26</v>
      </c>
      <c r="D244" s="15" t="s">
        <v>26</v>
      </c>
      <c r="E244" s="15" t="s">
        <v>26</v>
      </c>
      <c r="F244" s="16" t="s">
        <v>26</v>
      </c>
      <c r="G244" s="15" t="s">
        <v>26</v>
      </c>
      <c r="H244" s="15">
        <v>4000</v>
      </c>
      <c r="I244" s="15">
        <v>0</v>
      </c>
      <c r="J244" s="40" t="s">
        <v>807</v>
      </c>
      <c r="K244" s="16" t="s">
        <v>243</v>
      </c>
      <c r="L244" s="15" t="s">
        <v>813</v>
      </c>
      <c r="M244" s="15" t="s">
        <v>814</v>
      </c>
      <c r="N244" s="41">
        <v>2</v>
      </c>
      <c r="O244" s="41">
        <v>0</v>
      </c>
      <c r="P244" s="41">
        <v>0</v>
      </c>
      <c r="Q244" s="41">
        <v>0</v>
      </c>
      <c r="R244" s="41">
        <v>0</v>
      </c>
      <c r="S244" s="15" t="s">
        <v>50</v>
      </c>
      <c r="T244" s="15" t="s">
        <v>26</v>
      </c>
      <c r="U244" s="15"/>
      <c r="V244" s="15" t="s">
        <v>26</v>
      </c>
      <c r="W244" s="15"/>
      <c r="X244" s="42">
        <v>4300</v>
      </c>
      <c r="Y244" s="43" t="s">
        <v>738</v>
      </c>
      <c r="Z244" s="44" t="s">
        <v>775</v>
      </c>
    </row>
    <row r="245" spans="1:26" x14ac:dyDescent="0.3">
      <c r="A245" s="15">
        <v>27</v>
      </c>
      <c r="B245" s="15" t="s">
        <v>729</v>
      </c>
      <c r="C245" s="15" t="s">
        <v>26</v>
      </c>
      <c r="D245" s="15" t="s">
        <v>26</v>
      </c>
      <c r="E245" s="15" t="s">
        <v>26</v>
      </c>
      <c r="F245" s="16" t="s">
        <v>26</v>
      </c>
      <c r="G245" s="15" t="s">
        <v>26</v>
      </c>
      <c r="H245" s="15">
        <v>4000</v>
      </c>
      <c r="I245" s="15">
        <v>0</v>
      </c>
      <c r="J245" s="40" t="s">
        <v>730</v>
      </c>
      <c r="K245" s="16" t="s">
        <v>243</v>
      </c>
      <c r="L245" s="15" t="s">
        <v>815</v>
      </c>
      <c r="M245" s="15" t="s">
        <v>816</v>
      </c>
      <c r="N245" s="41">
        <v>0</v>
      </c>
      <c r="O245" s="41">
        <v>0</v>
      </c>
      <c r="P245" s="41">
        <v>0</v>
      </c>
      <c r="Q245" s="41">
        <v>0</v>
      </c>
      <c r="R245" s="41">
        <v>0</v>
      </c>
      <c r="S245" s="15" t="s">
        <v>50</v>
      </c>
      <c r="T245" s="15" t="s">
        <v>26</v>
      </c>
      <c r="U245" s="15"/>
      <c r="V245" s="15" t="s">
        <v>26</v>
      </c>
      <c r="W245" s="15"/>
      <c r="X245" s="42">
        <v>4300</v>
      </c>
      <c r="Y245" s="43" t="s">
        <v>817</v>
      </c>
      <c r="Z245" s="44" t="s">
        <v>775</v>
      </c>
    </row>
    <row r="246" spans="1:26" x14ac:dyDescent="0.3">
      <c r="A246" s="15">
        <v>27</v>
      </c>
      <c r="B246" s="15" t="s">
        <v>729</v>
      </c>
      <c r="C246" s="15" t="s">
        <v>26</v>
      </c>
      <c r="D246" s="15" t="s">
        <v>26</v>
      </c>
      <c r="E246" s="15" t="s">
        <v>26</v>
      </c>
      <c r="F246" s="16" t="s">
        <v>26</v>
      </c>
      <c r="G246" s="15" t="s">
        <v>26</v>
      </c>
      <c r="H246" s="15">
        <v>4000</v>
      </c>
      <c r="I246" s="15">
        <v>0</v>
      </c>
      <c r="J246" s="40" t="s">
        <v>730</v>
      </c>
      <c r="K246" s="16" t="s">
        <v>243</v>
      </c>
      <c r="L246" s="15" t="s">
        <v>818</v>
      </c>
      <c r="M246" s="15" t="s">
        <v>819</v>
      </c>
      <c r="N246" s="41">
        <v>30</v>
      </c>
      <c r="O246" s="41">
        <v>0</v>
      </c>
      <c r="P246" s="41">
        <v>0</v>
      </c>
      <c r="Q246" s="41">
        <v>0</v>
      </c>
      <c r="R246" s="41">
        <v>0</v>
      </c>
      <c r="S246" s="15" t="s">
        <v>50</v>
      </c>
      <c r="T246" s="15" t="s">
        <v>26</v>
      </c>
      <c r="U246" s="15"/>
      <c r="V246" s="15" t="s">
        <v>26</v>
      </c>
      <c r="W246" s="15"/>
      <c r="X246" s="42">
        <v>4300</v>
      </c>
      <c r="Y246" s="43" t="s">
        <v>820</v>
      </c>
      <c r="Z246" s="44" t="s">
        <v>775</v>
      </c>
    </row>
    <row r="247" spans="1:26" x14ac:dyDescent="0.3">
      <c r="A247" s="15">
        <v>27</v>
      </c>
      <c r="B247" s="15" t="s">
        <v>729</v>
      </c>
      <c r="C247" s="15" t="s">
        <v>26</v>
      </c>
      <c r="D247" s="15" t="s">
        <v>26</v>
      </c>
      <c r="E247" s="15" t="s">
        <v>26</v>
      </c>
      <c r="F247" s="16" t="s">
        <v>26</v>
      </c>
      <c r="G247" s="15" t="s">
        <v>26</v>
      </c>
      <c r="H247" s="15">
        <v>4000</v>
      </c>
      <c r="I247" s="15">
        <v>0</v>
      </c>
      <c r="J247" s="40" t="s">
        <v>730</v>
      </c>
      <c r="K247" s="16" t="s">
        <v>243</v>
      </c>
      <c r="L247" s="15" t="s">
        <v>821</v>
      </c>
      <c r="M247" s="15" t="s">
        <v>819</v>
      </c>
      <c r="N247" s="41">
        <v>30</v>
      </c>
      <c r="O247" s="41">
        <v>0</v>
      </c>
      <c r="P247" s="41">
        <v>0</v>
      </c>
      <c r="Q247" s="41">
        <v>0</v>
      </c>
      <c r="R247" s="41">
        <v>0</v>
      </c>
      <c r="S247" s="15" t="s">
        <v>50</v>
      </c>
      <c r="T247" s="15" t="s">
        <v>26</v>
      </c>
      <c r="U247" s="15"/>
      <c r="V247" s="15" t="s">
        <v>26</v>
      </c>
      <c r="W247" s="15"/>
      <c r="X247" s="42">
        <v>4300</v>
      </c>
      <c r="Y247" s="43" t="s">
        <v>822</v>
      </c>
      <c r="Z247" s="44" t="s">
        <v>775</v>
      </c>
    </row>
    <row r="248" spans="1:26" x14ac:dyDescent="0.3">
      <c r="A248" s="15">
        <v>27</v>
      </c>
      <c r="B248" s="15" t="s">
        <v>729</v>
      </c>
      <c r="C248" s="15" t="s">
        <v>26</v>
      </c>
      <c r="D248" s="15" t="s">
        <v>26</v>
      </c>
      <c r="E248" s="15" t="s">
        <v>26</v>
      </c>
      <c r="F248" s="16" t="s">
        <v>26</v>
      </c>
      <c r="G248" s="15" t="s">
        <v>26</v>
      </c>
      <c r="H248" s="15">
        <v>4000</v>
      </c>
      <c r="I248" s="15">
        <v>0</v>
      </c>
      <c r="J248" s="40" t="s">
        <v>730</v>
      </c>
      <c r="K248" s="16" t="s">
        <v>243</v>
      </c>
      <c r="L248" s="15" t="s">
        <v>823</v>
      </c>
      <c r="M248" s="15" t="s">
        <v>824</v>
      </c>
      <c r="N248" s="41">
        <v>0</v>
      </c>
      <c r="O248" s="41">
        <v>0</v>
      </c>
      <c r="P248" s="41">
        <v>0</v>
      </c>
      <c r="Q248" s="41">
        <v>0</v>
      </c>
      <c r="R248" s="41">
        <v>0</v>
      </c>
      <c r="S248" s="15" t="s">
        <v>50</v>
      </c>
      <c r="T248" s="15" t="s">
        <v>26</v>
      </c>
      <c r="U248" s="15"/>
      <c r="V248" s="15" t="s">
        <v>26</v>
      </c>
      <c r="W248" s="15"/>
      <c r="X248" s="42">
        <v>4300</v>
      </c>
      <c r="Y248" s="43" t="s">
        <v>825</v>
      </c>
      <c r="Z248" s="44" t="s">
        <v>775</v>
      </c>
    </row>
    <row r="249" spans="1:26" x14ac:dyDescent="0.3">
      <c r="A249" s="15">
        <v>27</v>
      </c>
      <c r="B249" s="15" t="s">
        <v>729</v>
      </c>
      <c r="C249" s="15" t="s">
        <v>26</v>
      </c>
      <c r="D249" s="15" t="s">
        <v>26</v>
      </c>
      <c r="E249" s="15" t="s">
        <v>26</v>
      </c>
      <c r="F249" s="16" t="s">
        <v>26</v>
      </c>
      <c r="G249" s="15" t="s">
        <v>26</v>
      </c>
      <c r="H249" s="15">
        <v>4000</v>
      </c>
      <c r="I249" s="15">
        <v>0</v>
      </c>
      <c r="J249" s="40" t="s">
        <v>730</v>
      </c>
      <c r="K249" s="16" t="s">
        <v>243</v>
      </c>
      <c r="L249" s="15" t="s">
        <v>826</v>
      </c>
      <c r="M249" s="15" t="s">
        <v>819</v>
      </c>
      <c r="N249" s="41">
        <v>50</v>
      </c>
      <c r="O249" s="41">
        <v>0</v>
      </c>
      <c r="P249" s="41">
        <v>0</v>
      </c>
      <c r="Q249" s="41">
        <v>0</v>
      </c>
      <c r="R249" s="41">
        <v>0</v>
      </c>
      <c r="S249" s="15" t="s">
        <v>50</v>
      </c>
      <c r="T249" s="15" t="s">
        <v>26</v>
      </c>
      <c r="U249" s="15"/>
      <c r="V249" s="15" t="s">
        <v>26</v>
      </c>
      <c r="W249" s="15"/>
      <c r="X249" s="42">
        <v>4300</v>
      </c>
      <c r="Y249" s="43" t="s">
        <v>827</v>
      </c>
      <c r="Z249" s="44" t="s">
        <v>775</v>
      </c>
    </row>
    <row r="250" spans="1:26" x14ac:dyDescent="0.3">
      <c r="A250" s="15">
        <v>27</v>
      </c>
      <c r="B250" s="15" t="s">
        <v>729</v>
      </c>
      <c r="C250" s="15" t="s">
        <v>26</v>
      </c>
      <c r="D250" s="15" t="s">
        <v>26</v>
      </c>
      <c r="E250" s="15" t="s">
        <v>26</v>
      </c>
      <c r="F250" s="16" t="s">
        <v>26</v>
      </c>
      <c r="G250" s="15" t="s">
        <v>26</v>
      </c>
      <c r="H250" s="15">
        <v>4530</v>
      </c>
      <c r="I250" s="15">
        <v>0</v>
      </c>
      <c r="J250" s="40" t="s">
        <v>26</v>
      </c>
      <c r="K250" s="16" t="s">
        <v>10</v>
      </c>
      <c r="L250" s="15" t="s">
        <v>828</v>
      </c>
      <c r="M250" s="15" t="s">
        <v>829</v>
      </c>
      <c r="N250" s="41">
        <v>0</v>
      </c>
      <c r="O250" s="41">
        <v>0</v>
      </c>
      <c r="P250" s="41">
        <v>0</v>
      </c>
      <c r="Q250" s="41">
        <v>0</v>
      </c>
      <c r="R250" s="41">
        <v>0</v>
      </c>
      <c r="S250" s="15" t="s">
        <v>830</v>
      </c>
      <c r="T250" s="15" t="s">
        <v>26</v>
      </c>
      <c r="U250" s="15"/>
      <c r="V250" s="15" t="s">
        <v>26</v>
      </c>
      <c r="W250" s="15"/>
      <c r="X250" s="42">
        <v>4530</v>
      </c>
      <c r="Y250" s="43" t="s">
        <v>831</v>
      </c>
      <c r="Z250" s="44" t="s">
        <v>761</v>
      </c>
    </row>
    <row r="251" spans="1:26" s="29" customFormat="1" x14ac:dyDescent="0.3">
      <c r="A251" s="15">
        <v>27</v>
      </c>
      <c r="B251" s="15" t="s">
        <v>729</v>
      </c>
      <c r="C251" s="15" t="s">
        <v>26</v>
      </c>
      <c r="D251" s="15" t="s">
        <v>26</v>
      </c>
      <c r="E251" s="15" t="s">
        <v>26</v>
      </c>
      <c r="F251" s="16" t="s">
        <v>26</v>
      </c>
      <c r="G251" s="15" t="s">
        <v>26</v>
      </c>
      <c r="H251" s="15">
        <v>4000</v>
      </c>
      <c r="I251" s="15">
        <v>0</v>
      </c>
      <c r="J251" s="40" t="s">
        <v>28</v>
      </c>
      <c r="K251" s="16" t="s">
        <v>243</v>
      </c>
      <c r="L251" s="15" t="s">
        <v>832</v>
      </c>
      <c r="M251" s="15" t="s">
        <v>833</v>
      </c>
      <c r="N251" s="41">
        <v>0</v>
      </c>
      <c r="O251" s="41">
        <v>0</v>
      </c>
      <c r="P251" s="41">
        <v>0</v>
      </c>
      <c r="Q251" s="41">
        <v>0</v>
      </c>
      <c r="R251" s="41">
        <v>0</v>
      </c>
      <c r="S251" s="15" t="s">
        <v>50</v>
      </c>
      <c r="T251" s="15" t="s">
        <v>26</v>
      </c>
      <c r="U251" s="15"/>
      <c r="V251" s="15" t="s">
        <v>26</v>
      </c>
      <c r="W251" s="15"/>
      <c r="X251" s="42">
        <v>4210</v>
      </c>
      <c r="Y251" s="43" t="s">
        <v>796</v>
      </c>
      <c r="Z251" s="44" t="s">
        <v>834</v>
      </c>
    </row>
    <row r="252" spans="1:26" s="29" customFormat="1" x14ac:dyDescent="0.3">
      <c r="A252" s="15">
        <v>27</v>
      </c>
      <c r="B252" s="15" t="s">
        <v>729</v>
      </c>
      <c r="C252" s="15" t="s">
        <v>26</v>
      </c>
      <c r="D252" s="15" t="s">
        <v>26</v>
      </c>
      <c r="E252" s="15" t="s">
        <v>26</v>
      </c>
      <c r="F252" s="16" t="s">
        <v>26</v>
      </c>
      <c r="G252" s="15" t="s">
        <v>26</v>
      </c>
      <c r="H252" s="15">
        <v>4000</v>
      </c>
      <c r="I252" s="15">
        <v>0</v>
      </c>
      <c r="J252" s="40" t="s">
        <v>730</v>
      </c>
      <c r="K252" s="16" t="s">
        <v>243</v>
      </c>
      <c r="L252" s="15" t="s">
        <v>835</v>
      </c>
      <c r="M252" s="15" t="s">
        <v>836</v>
      </c>
      <c r="N252" s="41">
        <v>900</v>
      </c>
      <c r="O252" s="41">
        <v>0</v>
      </c>
      <c r="P252" s="41">
        <v>0</v>
      </c>
      <c r="Q252" s="41">
        <v>0</v>
      </c>
      <c r="R252" s="41">
        <v>0</v>
      </c>
      <c r="S252" s="15" t="s">
        <v>568</v>
      </c>
      <c r="T252" s="15" t="s">
        <v>26</v>
      </c>
      <c r="U252" s="15"/>
      <c r="V252" s="15" t="s">
        <v>26</v>
      </c>
      <c r="W252" s="15"/>
      <c r="X252" s="42">
        <v>4300</v>
      </c>
      <c r="Y252" s="43" t="s">
        <v>831</v>
      </c>
      <c r="Z252" s="44" t="s">
        <v>837</v>
      </c>
    </row>
    <row r="253" spans="1:26" x14ac:dyDescent="0.3">
      <c r="A253" s="15">
        <v>27</v>
      </c>
      <c r="B253" s="15" t="s">
        <v>729</v>
      </c>
      <c r="C253" s="15" t="s">
        <v>26</v>
      </c>
      <c r="D253" s="15" t="s">
        <v>26</v>
      </c>
      <c r="E253" s="15" t="s">
        <v>26</v>
      </c>
      <c r="F253" s="16" t="s">
        <v>26</v>
      </c>
      <c r="G253" s="15" t="s">
        <v>26</v>
      </c>
      <c r="H253" s="15">
        <v>4170</v>
      </c>
      <c r="I253" s="15">
        <v>0</v>
      </c>
      <c r="J253" s="40" t="s">
        <v>28</v>
      </c>
      <c r="K253" s="16" t="s">
        <v>243</v>
      </c>
      <c r="L253" s="15" t="s">
        <v>838</v>
      </c>
      <c r="M253" s="15" t="s">
        <v>839</v>
      </c>
      <c r="N253" s="41">
        <v>0</v>
      </c>
      <c r="O253" s="41">
        <v>0</v>
      </c>
      <c r="P253" s="41">
        <v>0</v>
      </c>
      <c r="Q253" s="41">
        <v>0</v>
      </c>
      <c r="R253" s="41">
        <v>0</v>
      </c>
      <c r="S253" s="15" t="s">
        <v>50</v>
      </c>
      <c r="T253" s="15" t="s">
        <v>26</v>
      </c>
      <c r="U253" s="15"/>
      <c r="V253" s="15" t="s">
        <v>26</v>
      </c>
      <c r="W253" s="15"/>
      <c r="X253" s="42">
        <v>4170</v>
      </c>
      <c r="Y253" s="43" t="s">
        <v>831</v>
      </c>
      <c r="Z253" s="44" t="s">
        <v>761</v>
      </c>
    </row>
    <row r="254" spans="1:26" x14ac:dyDescent="0.3">
      <c r="A254" s="15">
        <v>27</v>
      </c>
      <c r="B254" s="15" t="s">
        <v>729</v>
      </c>
      <c r="C254" s="15" t="s">
        <v>26</v>
      </c>
      <c r="D254" s="15" t="s">
        <v>26</v>
      </c>
      <c r="E254" s="15" t="s">
        <v>26</v>
      </c>
      <c r="F254" s="16" t="s">
        <v>26</v>
      </c>
      <c r="G254" s="15" t="s">
        <v>26</v>
      </c>
      <c r="H254" s="15">
        <v>4170</v>
      </c>
      <c r="I254" s="15">
        <v>0</v>
      </c>
      <c r="J254" s="40" t="s">
        <v>730</v>
      </c>
      <c r="K254" s="16" t="s">
        <v>243</v>
      </c>
      <c r="L254" s="15" t="s">
        <v>840</v>
      </c>
      <c r="M254" s="15" t="s">
        <v>841</v>
      </c>
      <c r="N254" s="41">
        <v>480</v>
      </c>
      <c r="O254" s="41">
        <v>0</v>
      </c>
      <c r="P254" s="41">
        <v>0</v>
      </c>
      <c r="Q254" s="41">
        <v>0</v>
      </c>
      <c r="R254" s="41">
        <v>0</v>
      </c>
      <c r="S254" s="15" t="s">
        <v>50</v>
      </c>
      <c r="T254" s="15" t="s">
        <v>26</v>
      </c>
      <c r="U254" s="15"/>
      <c r="V254" s="15" t="s">
        <v>26</v>
      </c>
      <c r="W254" s="15"/>
      <c r="X254" s="42">
        <v>4170</v>
      </c>
      <c r="Y254" s="43" t="s">
        <v>831</v>
      </c>
      <c r="Z254" s="44" t="s">
        <v>761</v>
      </c>
    </row>
    <row r="255" spans="1:26" s="29" customFormat="1" x14ac:dyDescent="0.3">
      <c r="A255" s="15">
        <v>27</v>
      </c>
      <c r="B255" s="15" t="s">
        <v>729</v>
      </c>
      <c r="C255" s="15" t="s">
        <v>26</v>
      </c>
      <c r="D255" s="15" t="s">
        <v>26</v>
      </c>
      <c r="E255" s="15" t="s">
        <v>26</v>
      </c>
      <c r="F255" s="16" t="s">
        <v>26</v>
      </c>
      <c r="G255" s="15" t="s">
        <v>26</v>
      </c>
      <c r="H255" s="15">
        <v>4000</v>
      </c>
      <c r="I255" s="15">
        <v>0</v>
      </c>
      <c r="J255" s="40" t="s">
        <v>743</v>
      </c>
      <c r="K255" s="16" t="s">
        <v>243</v>
      </c>
      <c r="L255" s="15" t="s">
        <v>842</v>
      </c>
      <c r="M255" s="15" t="s">
        <v>843</v>
      </c>
      <c r="N255" s="47">
        <v>0</v>
      </c>
      <c r="O255" s="47">
        <v>0</v>
      </c>
      <c r="P255" s="47">
        <v>0</v>
      </c>
      <c r="Q255" s="47">
        <v>0</v>
      </c>
      <c r="R255" s="47">
        <v>0</v>
      </c>
      <c r="S255" s="15" t="s">
        <v>50</v>
      </c>
      <c r="T255" s="15" t="s">
        <v>26</v>
      </c>
      <c r="U255" s="15"/>
      <c r="V255" s="15" t="s">
        <v>458</v>
      </c>
      <c r="W255" s="15"/>
      <c r="X255" s="42">
        <v>4210</v>
      </c>
      <c r="Y255" s="43" t="s">
        <v>844</v>
      </c>
      <c r="Z255" s="44" t="s">
        <v>845</v>
      </c>
    </row>
    <row r="256" spans="1:26" x14ac:dyDescent="0.3">
      <c r="A256" s="15">
        <v>27</v>
      </c>
      <c r="B256" s="15" t="s">
        <v>729</v>
      </c>
      <c r="C256" s="15" t="s">
        <v>26</v>
      </c>
      <c r="D256" s="15" t="s">
        <v>26</v>
      </c>
      <c r="E256" s="15" t="s">
        <v>26</v>
      </c>
      <c r="F256" s="16" t="s">
        <v>26</v>
      </c>
      <c r="G256" s="15" t="s">
        <v>26</v>
      </c>
      <c r="H256" s="15">
        <v>4170</v>
      </c>
      <c r="I256" s="15">
        <v>0</v>
      </c>
      <c r="J256" s="40" t="s">
        <v>807</v>
      </c>
      <c r="K256" s="16" t="s">
        <v>243</v>
      </c>
      <c r="L256" s="15" t="s">
        <v>846</v>
      </c>
      <c r="M256" s="15" t="s">
        <v>843</v>
      </c>
      <c r="N256" s="47">
        <v>0</v>
      </c>
      <c r="O256" s="47">
        <v>0</v>
      </c>
      <c r="P256" s="47">
        <v>0</v>
      </c>
      <c r="Q256" s="47">
        <v>0</v>
      </c>
      <c r="R256" s="47">
        <v>0</v>
      </c>
      <c r="S256" s="15" t="s">
        <v>50</v>
      </c>
      <c r="T256" s="15" t="s">
        <v>26</v>
      </c>
      <c r="U256" s="15"/>
      <c r="V256" s="15" t="s">
        <v>458</v>
      </c>
      <c r="W256" s="15"/>
      <c r="X256" s="42">
        <v>4170</v>
      </c>
      <c r="Y256" s="43" t="s">
        <v>844</v>
      </c>
      <c r="Z256" s="44" t="s">
        <v>845</v>
      </c>
    </row>
    <row r="257" spans="1:26" x14ac:dyDescent="0.3">
      <c r="A257" s="15">
        <v>27</v>
      </c>
      <c r="B257" s="15" t="s">
        <v>729</v>
      </c>
      <c r="C257" s="15" t="s">
        <v>26</v>
      </c>
      <c r="D257" s="15" t="s">
        <v>26</v>
      </c>
      <c r="E257" s="15" t="s">
        <v>26</v>
      </c>
      <c r="F257" s="16" t="s">
        <v>26</v>
      </c>
      <c r="G257" s="15" t="s">
        <v>26</v>
      </c>
      <c r="H257" s="15">
        <v>4170</v>
      </c>
      <c r="I257" s="15">
        <v>0</v>
      </c>
      <c r="J257" s="40" t="s">
        <v>807</v>
      </c>
      <c r="K257" s="16" t="s">
        <v>243</v>
      </c>
      <c r="L257" s="15" t="s">
        <v>847</v>
      </c>
      <c r="M257" s="15" t="s">
        <v>843</v>
      </c>
      <c r="N257" s="41">
        <v>30</v>
      </c>
      <c r="O257" s="41">
        <v>32</v>
      </c>
      <c r="P257" s="41">
        <v>0</v>
      </c>
      <c r="Q257" s="41">
        <v>0</v>
      </c>
      <c r="R257" s="41">
        <v>0</v>
      </c>
      <c r="S257" s="15" t="s">
        <v>50</v>
      </c>
      <c r="T257" s="15" t="s">
        <v>26</v>
      </c>
      <c r="U257" s="15"/>
      <c r="V257" s="15" t="s">
        <v>458</v>
      </c>
      <c r="W257" s="15"/>
      <c r="X257" s="42">
        <v>4170</v>
      </c>
      <c r="Y257" s="43" t="s">
        <v>831</v>
      </c>
      <c r="Z257" s="44" t="s">
        <v>845</v>
      </c>
    </row>
    <row r="258" spans="1:26" x14ac:dyDescent="0.3">
      <c r="A258" s="15">
        <v>27</v>
      </c>
      <c r="B258" s="15" t="s">
        <v>729</v>
      </c>
      <c r="C258" s="15" t="s">
        <v>26</v>
      </c>
      <c r="D258" s="15" t="s">
        <v>26</v>
      </c>
      <c r="E258" s="15" t="s">
        <v>26</v>
      </c>
      <c r="F258" s="16" t="s">
        <v>26</v>
      </c>
      <c r="G258" s="15" t="s">
        <v>26</v>
      </c>
      <c r="H258" s="15">
        <v>2830</v>
      </c>
      <c r="I258" s="15">
        <v>0</v>
      </c>
      <c r="J258" s="48" t="s">
        <v>762</v>
      </c>
      <c r="K258" s="16" t="s">
        <v>580</v>
      </c>
      <c r="L258" s="15" t="s">
        <v>848</v>
      </c>
      <c r="M258" s="15" t="s">
        <v>849</v>
      </c>
      <c r="N258" s="41">
        <v>0</v>
      </c>
      <c r="O258" s="41">
        <v>0</v>
      </c>
      <c r="P258" s="41">
        <v>0</v>
      </c>
      <c r="Q258" s="41">
        <v>0</v>
      </c>
      <c r="R258" s="41">
        <v>0</v>
      </c>
      <c r="S258" s="15" t="s">
        <v>50</v>
      </c>
      <c r="T258" s="15" t="s">
        <v>26</v>
      </c>
      <c r="U258" s="15"/>
      <c r="V258" s="15" t="s">
        <v>458</v>
      </c>
      <c r="W258" s="15" t="s">
        <v>850</v>
      </c>
      <c r="X258" s="42">
        <v>2830</v>
      </c>
      <c r="Y258" s="43" t="s">
        <v>844</v>
      </c>
      <c r="Z258" s="44" t="s">
        <v>845</v>
      </c>
    </row>
    <row r="259" spans="1:26" x14ac:dyDescent="0.3">
      <c r="A259" s="15">
        <v>27</v>
      </c>
      <c r="B259" s="15" t="s">
        <v>729</v>
      </c>
      <c r="C259" s="15" t="s">
        <v>26</v>
      </c>
      <c r="D259" s="15" t="s">
        <v>26</v>
      </c>
      <c r="E259" s="15" t="s">
        <v>26</v>
      </c>
      <c r="F259" s="16" t="s">
        <v>26</v>
      </c>
      <c r="G259" s="15" t="s">
        <v>26</v>
      </c>
      <c r="H259" s="15">
        <v>2830</v>
      </c>
      <c r="I259" s="15">
        <v>0</v>
      </c>
      <c r="J259" s="40" t="s">
        <v>743</v>
      </c>
      <c r="K259" s="16" t="s">
        <v>580</v>
      </c>
      <c r="L259" s="15" t="s">
        <v>851</v>
      </c>
      <c r="M259" s="15" t="s">
        <v>852</v>
      </c>
      <c r="N259" s="41">
        <v>0</v>
      </c>
      <c r="O259" s="41">
        <v>0</v>
      </c>
      <c r="P259" s="41">
        <v>0</v>
      </c>
      <c r="Q259" s="41">
        <v>0</v>
      </c>
      <c r="R259" s="41"/>
      <c r="S259" s="15" t="s">
        <v>50</v>
      </c>
      <c r="T259" s="15" t="s">
        <v>50</v>
      </c>
      <c r="U259" s="15"/>
      <c r="V259" s="15" t="s">
        <v>458</v>
      </c>
      <c r="W259" s="15"/>
      <c r="X259" s="42">
        <v>2830</v>
      </c>
      <c r="Y259" s="43" t="s">
        <v>757</v>
      </c>
      <c r="Z259" s="44" t="s">
        <v>845</v>
      </c>
    </row>
    <row r="260" spans="1:26" s="29" customFormat="1" x14ac:dyDescent="0.3">
      <c r="A260" s="15">
        <v>27</v>
      </c>
      <c r="B260" s="15" t="s">
        <v>729</v>
      </c>
      <c r="C260" s="15" t="s">
        <v>26</v>
      </c>
      <c r="D260" s="15" t="s">
        <v>26</v>
      </c>
      <c r="E260" s="15" t="s">
        <v>26</v>
      </c>
      <c r="F260" s="16" t="s">
        <v>26</v>
      </c>
      <c r="G260" s="15" t="s">
        <v>26</v>
      </c>
      <c r="H260" s="15">
        <v>6230</v>
      </c>
      <c r="I260" s="15">
        <v>0</v>
      </c>
      <c r="J260" s="40" t="s">
        <v>743</v>
      </c>
      <c r="K260" s="16" t="s">
        <v>580</v>
      </c>
      <c r="L260" s="15" t="s">
        <v>853</v>
      </c>
      <c r="M260" s="15" t="s">
        <v>852</v>
      </c>
      <c r="N260" s="41">
        <v>0</v>
      </c>
      <c r="O260" s="41">
        <v>0</v>
      </c>
      <c r="P260" s="41">
        <v>0</v>
      </c>
      <c r="Q260" s="41">
        <v>0</v>
      </c>
      <c r="R260" s="41">
        <v>0</v>
      </c>
      <c r="S260" s="15" t="s">
        <v>50</v>
      </c>
      <c r="T260" s="15" t="s">
        <v>50</v>
      </c>
      <c r="U260" s="15"/>
      <c r="V260" s="15" t="s">
        <v>458</v>
      </c>
      <c r="W260" s="15"/>
      <c r="X260" s="42">
        <v>6230</v>
      </c>
      <c r="Y260" s="43" t="s">
        <v>755</v>
      </c>
      <c r="Z260" s="44" t="s">
        <v>845</v>
      </c>
    </row>
    <row r="261" spans="1:26" x14ac:dyDescent="0.3">
      <c r="A261" s="15">
        <v>27</v>
      </c>
      <c r="B261" s="15" t="s">
        <v>729</v>
      </c>
      <c r="C261" s="15" t="s">
        <v>26</v>
      </c>
      <c r="D261" s="15" t="s">
        <v>26</v>
      </c>
      <c r="E261" s="15" t="s">
        <v>26</v>
      </c>
      <c r="F261" s="16" t="s">
        <v>26</v>
      </c>
      <c r="G261" s="15" t="s">
        <v>26</v>
      </c>
      <c r="H261" s="15">
        <v>4000</v>
      </c>
      <c r="I261" s="15">
        <v>0</v>
      </c>
      <c r="J261" s="40" t="s">
        <v>730</v>
      </c>
      <c r="K261" s="16" t="s">
        <v>243</v>
      </c>
      <c r="L261" s="15" t="s">
        <v>854</v>
      </c>
      <c r="M261" s="15" t="s">
        <v>855</v>
      </c>
      <c r="N261" s="41">
        <v>0</v>
      </c>
      <c r="O261" s="41">
        <v>0</v>
      </c>
      <c r="P261" s="41">
        <v>0</v>
      </c>
      <c r="Q261" s="41">
        <v>0</v>
      </c>
      <c r="R261" s="41">
        <v>0</v>
      </c>
      <c r="S261" s="15" t="s">
        <v>50</v>
      </c>
      <c r="T261" s="15" t="s">
        <v>26</v>
      </c>
      <c r="U261" s="15" t="s">
        <v>26</v>
      </c>
      <c r="V261" s="15" t="s">
        <v>26</v>
      </c>
      <c r="W261" s="15" t="s">
        <v>856</v>
      </c>
      <c r="X261" s="42">
        <v>4380</v>
      </c>
      <c r="Y261" s="43" t="s">
        <v>812</v>
      </c>
      <c r="Z261" s="44" t="s">
        <v>761</v>
      </c>
    </row>
    <row r="262" spans="1:26" x14ac:dyDescent="0.3">
      <c r="A262" s="15">
        <v>27</v>
      </c>
      <c r="B262" s="15" t="s">
        <v>729</v>
      </c>
      <c r="C262" s="15" t="s">
        <v>26</v>
      </c>
      <c r="D262" s="15" t="s">
        <v>26</v>
      </c>
      <c r="E262" s="15" t="s">
        <v>26</v>
      </c>
      <c r="F262" s="16" t="s">
        <v>26</v>
      </c>
      <c r="G262" s="15" t="s">
        <v>26</v>
      </c>
      <c r="H262" s="15">
        <v>4000</v>
      </c>
      <c r="I262" s="15">
        <v>0</v>
      </c>
      <c r="J262" s="40" t="s">
        <v>28</v>
      </c>
      <c r="K262" s="16" t="s">
        <v>243</v>
      </c>
      <c r="L262" s="15" t="s">
        <v>857</v>
      </c>
      <c r="M262" s="15" t="s">
        <v>858</v>
      </c>
      <c r="N262" s="41">
        <v>0</v>
      </c>
      <c r="O262" s="41">
        <v>0</v>
      </c>
      <c r="P262" s="41">
        <v>0</v>
      </c>
      <c r="Q262" s="41">
        <v>0</v>
      </c>
      <c r="R262" s="41">
        <v>0</v>
      </c>
      <c r="S262" s="15" t="s">
        <v>50</v>
      </c>
      <c r="T262" s="15" t="s">
        <v>26</v>
      </c>
      <c r="U262" s="15" t="s">
        <v>26</v>
      </c>
      <c r="V262" s="15" t="s">
        <v>26</v>
      </c>
      <c r="W262" s="15" t="s">
        <v>856</v>
      </c>
      <c r="X262" s="42">
        <v>4300</v>
      </c>
      <c r="Y262" s="43" t="s">
        <v>738</v>
      </c>
      <c r="Z262" s="44" t="s">
        <v>742</v>
      </c>
    </row>
    <row r="263" spans="1:26" s="8" customFormat="1" ht="14.4" x14ac:dyDescent="0.3">
      <c r="A263" s="15">
        <v>27</v>
      </c>
      <c r="B263" s="15" t="s">
        <v>729</v>
      </c>
      <c r="C263" s="15" t="s">
        <v>26</v>
      </c>
      <c r="D263" s="15" t="s">
        <v>26</v>
      </c>
      <c r="E263" s="15" t="s">
        <v>26</v>
      </c>
      <c r="F263" s="16" t="s">
        <v>26</v>
      </c>
      <c r="G263" s="15" t="s">
        <v>26</v>
      </c>
      <c r="H263" s="15">
        <v>4000</v>
      </c>
      <c r="I263" s="15">
        <v>0</v>
      </c>
      <c r="J263" s="40" t="s">
        <v>28</v>
      </c>
      <c r="K263" s="16" t="s">
        <v>243</v>
      </c>
      <c r="L263" s="15" t="s">
        <v>859</v>
      </c>
      <c r="M263" s="15" t="s">
        <v>860</v>
      </c>
      <c r="N263" s="41">
        <v>0</v>
      </c>
      <c r="O263" s="41">
        <v>0</v>
      </c>
      <c r="P263" s="41">
        <v>0</v>
      </c>
      <c r="Q263" s="41">
        <v>0</v>
      </c>
      <c r="R263" s="41">
        <v>0</v>
      </c>
      <c r="S263" s="15" t="s">
        <v>50</v>
      </c>
      <c r="T263" s="15" t="s">
        <v>26</v>
      </c>
      <c r="U263" s="15" t="s">
        <v>26</v>
      </c>
      <c r="V263" s="15" t="s">
        <v>26</v>
      </c>
      <c r="W263" s="15"/>
      <c r="X263" s="49">
        <v>4300</v>
      </c>
      <c r="Y263" s="50" t="s">
        <v>738</v>
      </c>
      <c r="Z263" s="51" t="s">
        <v>742</v>
      </c>
    </row>
    <row r="264" spans="1:26" s="8" customFormat="1" ht="14.7" customHeight="1" x14ac:dyDescent="0.3">
      <c r="A264" s="15">
        <v>27</v>
      </c>
      <c r="B264" s="15" t="s">
        <v>729</v>
      </c>
      <c r="C264" s="15" t="s">
        <v>26</v>
      </c>
      <c r="D264" s="15" t="s">
        <v>26</v>
      </c>
      <c r="E264" s="15" t="s">
        <v>26</v>
      </c>
      <c r="F264" s="16" t="s">
        <v>26</v>
      </c>
      <c r="G264" s="15" t="s">
        <v>26</v>
      </c>
      <c r="H264" s="15">
        <v>4000</v>
      </c>
      <c r="I264" s="15">
        <v>0</v>
      </c>
      <c r="J264" s="40" t="s">
        <v>730</v>
      </c>
      <c r="K264" s="16" t="s">
        <v>731</v>
      </c>
      <c r="L264" s="15" t="s">
        <v>861</v>
      </c>
      <c r="M264" s="15" t="s">
        <v>862</v>
      </c>
      <c r="N264" s="41">
        <v>10000</v>
      </c>
      <c r="O264" s="41">
        <v>10000</v>
      </c>
      <c r="P264" s="41">
        <v>10000</v>
      </c>
      <c r="Q264" s="41">
        <v>0</v>
      </c>
      <c r="R264" s="41">
        <v>0</v>
      </c>
      <c r="S264" s="15" t="s">
        <v>50</v>
      </c>
      <c r="T264" s="15" t="s">
        <v>26</v>
      </c>
      <c r="U264" s="15" t="s">
        <v>26</v>
      </c>
      <c r="V264" s="15" t="s">
        <v>26</v>
      </c>
      <c r="W264" s="15"/>
      <c r="X264" s="49">
        <v>4300</v>
      </c>
      <c r="Y264" s="50" t="s">
        <v>738</v>
      </c>
      <c r="Z264" s="51" t="s">
        <v>739</v>
      </c>
    </row>
    <row r="265" spans="1:26" s="8" customFormat="1" ht="14.4" x14ac:dyDescent="0.3">
      <c r="A265" s="15">
        <v>27</v>
      </c>
      <c r="B265" s="15" t="s">
        <v>729</v>
      </c>
      <c r="C265" s="15" t="s">
        <v>26</v>
      </c>
      <c r="D265" s="15" t="s">
        <v>26</v>
      </c>
      <c r="E265" s="15" t="s">
        <v>26</v>
      </c>
      <c r="F265" s="16" t="s">
        <v>26</v>
      </c>
      <c r="G265" s="15" t="s">
        <v>26</v>
      </c>
      <c r="H265" s="15">
        <v>4000</v>
      </c>
      <c r="I265" s="15">
        <v>0</v>
      </c>
      <c r="J265" s="40" t="s">
        <v>730</v>
      </c>
      <c r="K265" s="16" t="s">
        <v>731</v>
      </c>
      <c r="L265" s="15" t="s">
        <v>863</v>
      </c>
      <c r="M265" s="15" t="s">
        <v>864</v>
      </c>
      <c r="N265" s="47">
        <v>75</v>
      </c>
      <c r="O265" s="47">
        <v>75</v>
      </c>
      <c r="P265" s="47">
        <v>75</v>
      </c>
      <c r="Q265" s="41">
        <v>0</v>
      </c>
      <c r="R265" s="41">
        <v>0</v>
      </c>
      <c r="S265" s="15" t="s">
        <v>50</v>
      </c>
      <c r="T265" s="15" t="s">
        <v>26</v>
      </c>
      <c r="U265" s="15" t="s">
        <v>26</v>
      </c>
      <c r="V265" s="15" t="s">
        <v>26</v>
      </c>
      <c r="W265" s="15"/>
      <c r="X265" s="49">
        <v>4300</v>
      </c>
      <c r="Y265" s="50" t="s">
        <v>738</v>
      </c>
      <c r="Z265" s="51" t="s">
        <v>739</v>
      </c>
    </row>
    <row r="266" spans="1:26" s="8" customFormat="1" ht="14.4" x14ac:dyDescent="0.3">
      <c r="A266" s="15">
        <v>27</v>
      </c>
      <c r="B266" s="15" t="s">
        <v>729</v>
      </c>
      <c r="C266" s="15" t="s">
        <v>26</v>
      </c>
      <c r="D266" s="15" t="s">
        <v>26</v>
      </c>
      <c r="E266" s="15" t="s">
        <v>26</v>
      </c>
      <c r="F266" s="16" t="s">
        <v>26</v>
      </c>
      <c r="G266" s="15" t="s">
        <v>26</v>
      </c>
      <c r="H266" s="15">
        <v>4000</v>
      </c>
      <c r="I266" s="15">
        <v>0</v>
      </c>
      <c r="J266" s="40" t="s">
        <v>730</v>
      </c>
      <c r="K266" s="16" t="s">
        <v>731</v>
      </c>
      <c r="L266" s="15" t="s">
        <v>865</v>
      </c>
      <c r="M266" s="15" t="s">
        <v>866</v>
      </c>
      <c r="N266" s="47">
        <v>50</v>
      </c>
      <c r="O266" s="47">
        <v>50</v>
      </c>
      <c r="P266" s="47">
        <v>50</v>
      </c>
      <c r="Q266" s="41">
        <v>0</v>
      </c>
      <c r="R266" s="41">
        <v>0</v>
      </c>
      <c r="S266" s="15" t="s">
        <v>50</v>
      </c>
      <c r="T266" s="15" t="s">
        <v>26</v>
      </c>
      <c r="U266" s="15" t="s">
        <v>26</v>
      </c>
      <c r="V266" s="15" t="s">
        <v>26</v>
      </c>
      <c r="W266" s="15"/>
      <c r="X266" s="49">
        <v>4300</v>
      </c>
      <c r="Y266" s="50" t="s">
        <v>817</v>
      </c>
      <c r="Z266" s="51" t="s">
        <v>739</v>
      </c>
    </row>
    <row r="267" spans="1:26" s="8" customFormat="1" ht="13.5" customHeight="1" x14ac:dyDescent="0.3">
      <c r="A267" s="15">
        <v>27</v>
      </c>
      <c r="B267" s="15" t="s">
        <v>729</v>
      </c>
      <c r="C267" s="15" t="s">
        <v>26</v>
      </c>
      <c r="D267" s="15" t="s">
        <v>26</v>
      </c>
      <c r="E267" s="15" t="s">
        <v>26</v>
      </c>
      <c r="F267" s="16" t="s">
        <v>26</v>
      </c>
      <c r="G267" s="15" t="s">
        <v>26</v>
      </c>
      <c r="H267" s="15">
        <v>4420</v>
      </c>
      <c r="I267" s="15">
        <v>0</v>
      </c>
      <c r="J267" s="40" t="s">
        <v>730</v>
      </c>
      <c r="K267" s="16" t="s">
        <v>731</v>
      </c>
      <c r="L267" s="15" t="s">
        <v>867</v>
      </c>
      <c r="M267" s="15" t="s">
        <v>868</v>
      </c>
      <c r="N267" s="47">
        <v>0</v>
      </c>
      <c r="O267" s="47">
        <v>0</v>
      </c>
      <c r="P267" s="47">
        <v>0</v>
      </c>
      <c r="Q267" s="41">
        <v>0</v>
      </c>
      <c r="R267" s="41">
        <v>0</v>
      </c>
      <c r="S267" s="15" t="s">
        <v>50</v>
      </c>
      <c r="T267" s="15" t="s">
        <v>26</v>
      </c>
      <c r="U267" s="15" t="s">
        <v>26</v>
      </c>
      <c r="V267" s="15" t="s">
        <v>26</v>
      </c>
      <c r="W267" s="15"/>
      <c r="X267" s="49">
        <v>4420</v>
      </c>
      <c r="Y267" s="50" t="s">
        <v>869</v>
      </c>
      <c r="Z267" s="51" t="s">
        <v>739</v>
      </c>
    </row>
    <row r="268" spans="1:26" s="8" customFormat="1" ht="14.4" x14ac:dyDescent="0.3">
      <c r="A268" s="15">
        <v>27</v>
      </c>
      <c r="B268" s="15" t="s">
        <v>729</v>
      </c>
      <c r="C268" s="15" t="s">
        <v>26</v>
      </c>
      <c r="D268" s="15" t="s">
        <v>26</v>
      </c>
      <c r="E268" s="15" t="s">
        <v>26</v>
      </c>
      <c r="F268" s="16" t="s">
        <v>26</v>
      </c>
      <c r="G268" s="15" t="s">
        <v>26</v>
      </c>
      <c r="H268" s="15">
        <v>4410</v>
      </c>
      <c r="I268" s="15">
        <v>0</v>
      </c>
      <c r="J268" s="40" t="s">
        <v>730</v>
      </c>
      <c r="K268" s="16" t="s">
        <v>731</v>
      </c>
      <c r="L268" s="15" t="s">
        <v>870</v>
      </c>
      <c r="M268" s="15" t="s">
        <v>871</v>
      </c>
      <c r="N268" s="47">
        <v>0</v>
      </c>
      <c r="O268" s="47">
        <v>0</v>
      </c>
      <c r="P268" s="47">
        <v>0</v>
      </c>
      <c r="Q268" s="41">
        <v>0</v>
      </c>
      <c r="R268" s="41">
        <v>0</v>
      </c>
      <c r="S268" s="15" t="s">
        <v>50</v>
      </c>
      <c r="T268" s="15" t="s">
        <v>26</v>
      </c>
      <c r="U268" s="15" t="s">
        <v>26</v>
      </c>
      <c r="V268" s="15" t="s">
        <v>26</v>
      </c>
      <c r="W268" s="15"/>
      <c r="X268" s="49">
        <v>4410</v>
      </c>
      <c r="Y268" s="50" t="s">
        <v>872</v>
      </c>
      <c r="Z268" s="51" t="s">
        <v>739</v>
      </c>
    </row>
    <row r="269" spans="1:26" s="8" customFormat="1" ht="14.4" x14ac:dyDescent="0.3">
      <c r="A269" s="15">
        <v>27</v>
      </c>
      <c r="B269" s="15" t="s">
        <v>729</v>
      </c>
      <c r="C269" s="15" t="s">
        <v>26</v>
      </c>
      <c r="D269" s="15" t="s">
        <v>26</v>
      </c>
      <c r="E269" s="15" t="s">
        <v>26</v>
      </c>
      <c r="F269" s="16" t="s">
        <v>26</v>
      </c>
      <c r="G269" s="15" t="s">
        <v>26</v>
      </c>
      <c r="H269" s="15">
        <v>4610</v>
      </c>
      <c r="I269" s="15">
        <v>0</v>
      </c>
      <c r="J269" s="40" t="s">
        <v>762</v>
      </c>
      <c r="K269" s="16" t="s">
        <v>731</v>
      </c>
      <c r="L269" s="15" t="s">
        <v>873</v>
      </c>
      <c r="M269" s="15" t="s">
        <v>873</v>
      </c>
      <c r="N269" s="41">
        <v>201</v>
      </c>
      <c r="O269" s="41">
        <v>0</v>
      </c>
      <c r="P269" s="41">
        <v>0</v>
      </c>
      <c r="Q269" s="41">
        <v>0</v>
      </c>
      <c r="R269" s="41">
        <v>0</v>
      </c>
      <c r="S269" s="15" t="s">
        <v>50</v>
      </c>
      <c r="T269" s="15" t="s">
        <v>26</v>
      </c>
      <c r="U269" s="15" t="s">
        <v>26</v>
      </c>
      <c r="V269" s="15" t="s">
        <v>26</v>
      </c>
      <c r="W269" s="15"/>
      <c r="X269" s="49">
        <v>4610</v>
      </c>
      <c r="Y269" s="50" t="s">
        <v>831</v>
      </c>
      <c r="Z269" s="51" t="s">
        <v>761</v>
      </c>
    </row>
    <row r="270" spans="1:26" s="8" customFormat="1" ht="57.6" x14ac:dyDescent="0.3">
      <c r="A270" s="15">
        <v>27</v>
      </c>
      <c r="B270" s="15" t="s">
        <v>729</v>
      </c>
      <c r="C270" s="15" t="s">
        <v>26</v>
      </c>
      <c r="D270" s="15" t="s">
        <v>26</v>
      </c>
      <c r="E270" s="15" t="s">
        <v>26</v>
      </c>
      <c r="F270" s="16" t="s">
        <v>26</v>
      </c>
      <c r="G270" s="15" t="s">
        <v>26</v>
      </c>
      <c r="H270" s="15">
        <v>4530</v>
      </c>
      <c r="I270" s="15">
        <v>0</v>
      </c>
      <c r="J270" s="40" t="s">
        <v>762</v>
      </c>
      <c r="K270" s="16" t="s">
        <v>580</v>
      </c>
      <c r="L270" s="52" t="s">
        <v>874</v>
      </c>
      <c r="M270" s="52" t="s">
        <v>875</v>
      </c>
      <c r="N270" s="53">
        <v>1901</v>
      </c>
      <c r="O270" s="53">
        <v>2031</v>
      </c>
      <c r="P270" s="54">
        <v>0</v>
      </c>
      <c r="Q270" s="54">
        <v>0</v>
      </c>
      <c r="R270" s="54">
        <v>0</v>
      </c>
      <c r="S270" s="15" t="s">
        <v>50</v>
      </c>
      <c r="T270" s="15" t="s">
        <v>26</v>
      </c>
      <c r="U270" s="15" t="s">
        <v>26</v>
      </c>
      <c r="V270" s="15" t="s">
        <v>26</v>
      </c>
      <c r="W270" s="15" t="s">
        <v>747</v>
      </c>
      <c r="X270" s="42">
        <v>4530</v>
      </c>
      <c r="Y270" s="50" t="s">
        <v>876</v>
      </c>
      <c r="Z270" s="51" t="s">
        <v>761</v>
      </c>
    </row>
    <row r="271" spans="1:26" s="8" customFormat="1" ht="14.4" x14ac:dyDescent="0.3">
      <c r="A271" s="15">
        <v>27</v>
      </c>
      <c r="B271" s="15" t="s">
        <v>729</v>
      </c>
      <c r="C271" s="15" t="s">
        <v>26</v>
      </c>
      <c r="D271" s="15" t="s">
        <v>26</v>
      </c>
      <c r="E271" s="15" t="s">
        <v>26</v>
      </c>
      <c r="F271" s="16" t="s">
        <v>26</v>
      </c>
      <c r="G271" s="15" t="s">
        <v>26</v>
      </c>
      <c r="H271" s="15">
        <v>4530</v>
      </c>
      <c r="I271" s="15">
        <v>0</v>
      </c>
      <c r="J271" s="40" t="s">
        <v>762</v>
      </c>
      <c r="K271" s="16" t="s">
        <v>580</v>
      </c>
      <c r="L271" s="15" t="s">
        <v>877</v>
      </c>
      <c r="M271" s="15" t="s">
        <v>878</v>
      </c>
      <c r="N271" s="54">
        <v>886</v>
      </c>
      <c r="O271" s="54">
        <v>627</v>
      </c>
      <c r="P271" s="54">
        <v>0</v>
      </c>
      <c r="Q271" s="54">
        <v>0</v>
      </c>
      <c r="R271" s="54">
        <v>0</v>
      </c>
      <c r="S271" s="15" t="s">
        <v>50</v>
      </c>
      <c r="T271" s="15" t="s">
        <v>26</v>
      </c>
      <c r="U271" s="15" t="s">
        <v>26</v>
      </c>
      <c r="V271" s="15" t="s">
        <v>26</v>
      </c>
      <c r="W271" s="15" t="s">
        <v>747</v>
      </c>
      <c r="X271" s="49">
        <v>4530</v>
      </c>
      <c r="Y271" s="50" t="s">
        <v>876</v>
      </c>
      <c r="Z271" s="51" t="s">
        <v>761</v>
      </c>
    </row>
    <row r="272" spans="1:26" s="8" customFormat="1" ht="14.1" customHeight="1" x14ac:dyDescent="0.3">
      <c r="A272" s="15">
        <v>27</v>
      </c>
      <c r="B272" s="15" t="s">
        <v>729</v>
      </c>
      <c r="C272" s="15" t="s">
        <v>26</v>
      </c>
      <c r="D272" s="15" t="s">
        <v>26</v>
      </c>
      <c r="E272" s="15" t="s">
        <v>26</v>
      </c>
      <c r="F272" s="16" t="s">
        <v>26</v>
      </c>
      <c r="G272" s="15" t="s">
        <v>26</v>
      </c>
      <c r="H272" s="15">
        <v>4000</v>
      </c>
      <c r="I272" s="15">
        <v>0</v>
      </c>
      <c r="J272" s="40" t="s">
        <v>730</v>
      </c>
      <c r="K272" s="16" t="s">
        <v>879</v>
      </c>
      <c r="L272" s="15" t="s">
        <v>880</v>
      </c>
      <c r="M272" s="15" t="s">
        <v>881</v>
      </c>
      <c r="N272" s="55">
        <v>615</v>
      </c>
      <c r="O272" s="41">
        <v>0</v>
      </c>
      <c r="P272" s="41">
        <v>0</v>
      </c>
      <c r="Q272" s="41">
        <v>0</v>
      </c>
      <c r="R272" s="41"/>
      <c r="S272" s="15" t="s">
        <v>50</v>
      </c>
      <c r="T272" s="15" t="s">
        <v>26</v>
      </c>
      <c r="U272" s="15" t="s">
        <v>26</v>
      </c>
      <c r="V272" s="15" t="s">
        <v>26</v>
      </c>
      <c r="W272" s="15"/>
      <c r="X272" s="49">
        <v>4300</v>
      </c>
      <c r="Y272" s="50" t="s">
        <v>738</v>
      </c>
      <c r="Z272" s="51" t="s">
        <v>750</v>
      </c>
    </row>
    <row r="273" spans="1:26" s="56" customFormat="1" ht="14.4" x14ac:dyDescent="0.3">
      <c r="A273" s="15">
        <v>27</v>
      </c>
      <c r="B273" s="15" t="s">
        <v>729</v>
      </c>
      <c r="C273" s="15" t="s">
        <v>26</v>
      </c>
      <c r="D273" s="15" t="s">
        <v>26</v>
      </c>
      <c r="E273" s="15" t="s">
        <v>26</v>
      </c>
      <c r="F273" s="16" t="s">
        <v>26</v>
      </c>
      <c r="G273" s="15" t="s">
        <v>26</v>
      </c>
      <c r="H273" s="15">
        <v>4190</v>
      </c>
      <c r="I273" s="15">
        <v>0</v>
      </c>
      <c r="J273" s="40" t="s">
        <v>730</v>
      </c>
      <c r="K273" s="16" t="s">
        <v>731</v>
      </c>
      <c r="L273" s="15" t="s">
        <v>882</v>
      </c>
      <c r="M273" s="15" t="s">
        <v>883</v>
      </c>
      <c r="N273" s="41">
        <f>130</f>
        <v>130</v>
      </c>
      <c r="O273" s="41">
        <f>130</f>
        <v>130</v>
      </c>
      <c r="P273" s="41">
        <f>130</f>
        <v>130</v>
      </c>
      <c r="Q273" s="41">
        <f>130</f>
        <v>130</v>
      </c>
      <c r="R273" s="41">
        <f>130</f>
        <v>130</v>
      </c>
      <c r="S273" s="15" t="s">
        <v>50</v>
      </c>
      <c r="T273" s="15" t="s">
        <v>26</v>
      </c>
      <c r="U273" s="15" t="s">
        <v>26</v>
      </c>
      <c r="V273" s="15" t="s">
        <v>26</v>
      </c>
      <c r="W273" s="15" t="s">
        <v>884</v>
      </c>
      <c r="X273" s="49">
        <v>4190</v>
      </c>
      <c r="Y273" s="50" t="s">
        <v>831</v>
      </c>
      <c r="Z273" s="51" t="s">
        <v>775</v>
      </c>
    </row>
    <row r="274" spans="1:26" s="56" customFormat="1" ht="14.4" x14ac:dyDescent="0.3">
      <c r="A274" s="15">
        <v>27</v>
      </c>
      <c r="B274" s="15" t="s">
        <v>729</v>
      </c>
      <c r="C274" s="15" t="s">
        <v>26</v>
      </c>
      <c r="D274" s="15" t="s">
        <v>26</v>
      </c>
      <c r="E274" s="15" t="s">
        <v>26</v>
      </c>
      <c r="F274" s="16" t="s">
        <v>26</v>
      </c>
      <c r="G274" s="15" t="s">
        <v>26</v>
      </c>
      <c r="H274" s="15">
        <v>4000</v>
      </c>
      <c r="I274" s="15">
        <v>0</v>
      </c>
      <c r="J274" s="40" t="s">
        <v>730</v>
      </c>
      <c r="K274" s="16" t="s">
        <v>731</v>
      </c>
      <c r="L274" s="15" t="s">
        <v>885</v>
      </c>
      <c r="M274" s="15" t="s">
        <v>886</v>
      </c>
      <c r="N274" s="41">
        <v>20</v>
      </c>
      <c r="O274" s="41">
        <v>0</v>
      </c>
      <c r="P274" s="41">
        <v>0</v>
      </c>
      <c r="Q274" s="41">
        <v>0</v>
      </c>
      <c r="R274" s="41">
        <v>0</v>
      </c>
      <c r="S274" s="15" t="s">
        <v>50</v>
      </c>
      <c r="T274" s="15" t="s">
        <v>26</v>
      </c>
      <c r="U274" s="15" t="s">
        <v>26</v>
      </c>
      <c r="V274" s="15" t="s">
        <v>26</v>
      </c>
      <c r="W274" s="15" t="s">
        <v>799</v>
      </c>
      <c r="X274" s="49">
        <v>4300</v>
      </c>
      <c r="Y274" s="50" t="s">
        <v>738</v>
      </c>
      <c r="Z274" s="51" t="s">
        <v>775</v>
      </c>
    </row>
    <row r="275" spans="1:26" s="56" customFormat="1" ht="14.4" x14ac:dyDescent="0.3">
      <c r="A275" s="15">
        <v>27</v>
      </c>
      <c r="B275" s="15" t="s">
        <v>729</v>
      </c>
      <c r="C275" s="15" t="s">
        <v>26</v>
      </c>
      <c r="D275" s="15" t="s">
        <v>26</v>
      </c>
      <c r="E275" s="15" t="s">
        <v>26</v>
      </c>
      <c r="F275" s="16" t="s">
        <v>26</v>
      </c>
      <c r="G275" s="15" t="s">
        <v>26</v>
      </c>
      <c r="H275" s="15">
        <v>4000</v>
      </c>
      <c r="I275" s="15">
        <v>0</v>
      </c>
      <c r="J275" s="40" t="s">
        <v>730</v>
      </c>
      <c r="K275" s="16" t="s">
        <v>243</v>
      </c>
      <c r="L275" s="15" t="s">
        <v>887</v>
      </c>
      <c r="M275" s="15" t="s">
        <v>816</v>
      </c>
      <c r="N275" s="41">
        <v>130</v>
      </c>
      <c r="O275" s="41">
        <v>130</v>
      </c>
      <c r="P275" s="41">
        <v>130</v>
      </c>
      <c r="Q275" s="41">
        <v>130</v>
      </c>
      <c r="R275" s="41">
        <v>130</v>
      </c>
      <c r="S275" s="15" t="s">
        <v>50</v>
      </c>
      <c r="T275" s="15" t="s">
        <v>26</v>
      </c>
      <c r="U275" s="15" t="s">
        <v>26</v>
      </c>
      <c r="V275" s="15" t="s">
        <v>26</v>
      </c>
      <c r="W275" s="15"/>
      <c r="X275" s="49">
        <v>4300</v>
      </c>
      <c r="Y275" s="50" t="s">
        <v>738</v>
      </c>
      <c r="Z275" s="51" t="s">
        <v>775</v>
      </c>
    </row>
    <row r="276" spans="1:26" s="56" customFormat="1" ht="14.4" x14ac:dyDescent="0.3">
      <c r="A276" s="15">
        <v>27</v>
      </c>
      <c r="B276" s="15" t="s">
        <v>729</v>
      </c>
      <c r="C276" s="15" t="s">
        <v>26</v>
      </c>
      <c r="D276" s="15" t="s">
        <v>26</v>
      </c>
      <c r="E276" s="15" t="s">
        <v>26</v>
      </c>
      <c r="F276" s="16" t="s">
        <v>26</v>
      </c>
      <c r="G276" s="15" t="s">
        <v>26</v>
      </c>
      <c r="H276" s="15">
        <v>4410</v>
      </c>
      <c r="I276" s="15">
        <v>0</v>
      </c>
      <c r="J276" s="40" t="s">
        <v>730</v>
      </c>
      <c r="K276" s="16" t="s">
        <v>731</v>
      </c>
      <c r="L276" s="15" t="s">
        <v>888</v>
      </c>
      <c r="M276" s="15" t="s">
        <v>889</v>
      </c>
      <c r="N276" s="47">
        <v>0</v>
      </c>
      <c r="O276" s="47">
        <v>0</v>
      </c>
      <c r="P276" s="47">
        <v>0</v>
      </c>
      <c r="Q276" s="47">
        <v>0</v>
      </c>
      <c r="R276" s="47">
        <v>0</v>
      </c>
      <c r="S276" s="15" t="s">
        <v>50</v>
      </c>
      <c r="T276" s="15" t="s">
        <v>26</v>
      </c>
      <c r="U276" s="15" t="s">
        <v>26</v>
      </c>
      <c r="V276" s="15" t="s">
        <v>26</v>
      </c>
      <c r="W276" s="15"/>
      <c r="X276" s="49">
        <v>4410</v>
      </c>
      <c r="Y276" s="50" t="s">
        <v>872</v>
      </c>
      <c r="Z276" s="51" t="s">
        <v>775</v>
      </c>
    </row>
    <row r="277" spans="1:26" s="56" customFormat="1" ht="14.4" x14ac:dyDescent="0.3">
      <c r="A277" s="15">
        <v>27</v>
      </c>
      <c r="B277" s="15" t="s">
        <v>729</v>
      </c>
      <c r="C277" s="15" t="s">
        <v>26</v>
      </c>
      <c r="D277" s="15" t="s">
        <v>26</v>
      </c>
      <c r="E277" s="15" t="s">
        <v>26</v>
      </c>
      <c r="F277" s="16" t="s">
        <v>26</v>
      </c>
      <c r="G277" s="15" t="s">
        <v>26</v>
      </c>
      <c r="H277" s="15">
        <v>4000</v>
      </c>
      <c r="I277" s="15">
        <v>0</v>
      </c>
      <c r="J277" s="40" t="s">
        <v>730</v>
      </c>
      <c r="K277" s="16" t="s">
        <v>731</v>
      </c>
      <c r="L277" s="15" t="s">
        <v>890</v>
      </c>
      <c r="M277" s="16" t="s">
        <v>891</v>
      </c>
      <c r="N277" s="41">
        <v>15</v>
      </c>
      <c r="O277" s="41">
        <v>0</v>
      </c>
      <c r="P277" s="41">
        <v>0</v>
      </c>
      <c r="Q277" s="41">
        <v>0</v>
      </c>
      <c r="R277" s="41">
        <v>0</v>
      </c>
      <c r="S277" s="15" t="s">
        <v>50</v>
      </c>
      <c r="T277" s="15" t="s">
        <v>26</v>
      </c>
      <c r="U277" s="15" t="s">
        <v>26</v>
      </c>
      <c r="V277" s="15" t="s">
        <v>26</v>
      </c>
      <c r="W277" s="15"/>
      <c r="X277" s="49">
        <v>4380</v>
      </c>
      <c r="Y277" s="50" t="s">
        <v>812</v>
      </c>
      <c r="Z277" s="51" t="s">
        <v>775</v>
      </c>
    </row>
    <row r="278" spans="1:26" s="56" customFormat="1" ht="14.4" x14ac:dyDescent="0.3">
      <c r="A278" s="15">
        <v>27</v>
      </c>
      <c r="B278" s="15" t="s">
        <v>729</v>
      </c>
      <c r="C278" s="15" t="s">
        <v>26</v>
      </c>
      <c r="D278" s="15" t="s">
        <v>26</v>
      </c>
      <c r="E278" s="15" t="s">
        <v>26</v>
      </c>
      <c r="F278" s="16" t="s">
        <v>26</v>
      </c>
      <c r="G278" s="15" t="s">
        <v>26</v>
      </c>
      <c r="H278" s="15">
        <v>4000</v>
      </c>
      <c r="I278" s="15">
        <v>0</v>
      </c>
      <c r="J278" s="57" t="s">
        <v>730</v>
      </c>
      <c r="K278" s="15" t="s">
        <v>879</v>
      </c>
      <c r="L278" s="15" t="s">
        <v>892</v>
      </c>
      <c r="M278" s="15" t="s">
        <v>893</v>
      </c>
      <c r="N278" s="47">
        <v>200</v>
      </c>
      <c r="O278" s="41">
        <v>0</v>
      </c>
      <c r="P278" s="41">
        <v>0</v>
      </c>
      <c r="Q278" s="41">
        <v>0</v>
      </c>
      <c r="R278" s="41">
        <v>0</v>
      </c>
      <c r="S278" s="15" t="s">
        <v>50</v>
      </c>
      <c r="T278" s="15" t="s">
        <v>26</v>
      </c>
      <c r="U278" s="15" t="s">
        <v>26</v>
      </c>
      <c r="V278" s="15" t="s">
        <v>26</v>
      </c>
      <c r="W278" s="15"/>
      <c r="X278" s="49">
        <v>4300</v>
      </c>
      <c r="Y278" s="50" t="s">
        <v>738</v>
      </c>
      <c r="Z278" s="58" t="s">
        <v>837</v>
      </c>
    </row>
    <row r="279" spans="1:26" s="56" customFormat="1" ht="14.4" x14ac:dyDescent="0.3">
      <c r="A279" s="15">
        <v>27</v>
      </c>
      <c r="B279" s="15" t="s">
        <v>729</v>
      </c>
      <c r="C279" s="15" t="s">
        <v>26</v>
      </c>
      <c r="D279" s="15" t="s">
        <v>26</v>
      </c>
      <c r="E279" s="15" t="s">
        <v>26</v>
      </c>
      <c r="F279" s="16" t="s">
        <v>26</v>
      </c>
      <c r="G279" s="15" t="s">
        <v>26</v>
      </c>
      <c r="H279" s="15">
        <v>4000</v>
      </c>
      <c r="I279" s="15">
        <v>0</v>
      </c>
      <c r="J279" s="57" t="s">
        <v>730</v>
      </c>
      <c r="K279" s="15" t="s">
        <v>879</v>
      </c>
      <c r="L279" s="15" t="s">
        <v>894</v>
      </c>
      <c r="M279" s="15" t="s">
        <v>895</v>
      </c>
      <c r="N279" s="47">
        <v>1600</v>
      </c>
      <c r="O279" s="41">
        <v>0</v>
      </c>
      <c r="P279" s="41">
        <v>0</v>
      </c>
      <c r="Q279" s="41">
        <v>0</v>
      </c>
      <c r="R279" s="41">
        <v>0</v>
      </c>
      <c r="S279" s="15" t="s">
        <v>50</v>
      </c>
      <c r="T279" s="15" t="s">
        <v>26</v>
      </c>
      <c r="U279" s="15" t="s">
        <v>26</v>
      </c>
      <c r="V279" s="15" t="s">
        <v>26</v>
      </c>
      <c r="W279" s="15"/>
      <c r="X279" s="49">
        <v>4300</v>
      </c>
      <c r="Y279" s="50" t="s">
        <v>738</v>
      </c>
      <c r="Z279" s="58" t="s">
        <v>837</v>
      </c>
    </row>
    <row r="280" spans="1:26" s="56" customFormat="1" ht="14.4" x14ac:dyDescent="0.3">
      <c r="A280" s="15">
        <v>27</v>
      </c>
      <c r="B280" s="15" t="s">
        <v>729</v>
      </c>
      <c r="C280" s="15" t="s">
        <v>26</v>
      </c>
      <c r="D280" s="15" t="s">
        <v>26</v>
      </c>
      <c r="E280" s="15" t="s">
        <v>26</v>
      </c>
      <c r="F280" s="16" t="s">
        <v>26</v>
      </c>
      <c r="G280" s="15" t="s">
        <v>26</v>
      </c>
      <c r="H280" s="15">
        <v>4000</v>
      </c>
      <c r="I280" s="15">
        <v>0</v>
      </c>
      <c r="J280" s="57" t="s">
        <v>730</v>
      </c>
      <c r="K280" s="15" t="s">
        <v>879</v>
      </c>
      <c r="L280" s="15" t="s">
        <v>896</v>
      </c>
      <c r="M280" s="15" t="s">
        <v>897</v>
      </c>
      <c r="N280" s="47">
        <v>400</v>
      </c>
      <c r="O280" s="41">
        <v>0</v>
      </c>
      <c r="P280" s="41">
        <v>0</v>
      </c>
      <c r="Q280" s="41">
        <v>0</v>
      </c>
      <c r="R280" s="41">
        <v>0</v>
      </c>
      <c r="S280" s="15" t="s">
        <v>50</v>
      </c>
      <c r="T280" s="15" t="s">
        <v>26</v>
      </c>
      <c r="U280" s="15" t="s">
        <v>26</v>
      </c>
      <c r="V280" s="15" t="s">
        <v>26</v>
      </c>
      <c r="W280" s="15"/>
      <c r="X280" s="49">
        <v>4300</v>
      </c>
      <c r="Y280" s="50" t="s">
        <v>738</v>
      </c>
      <c r="Z280" s="58" t="s">
        <v>837</v>
      </c>
    </row>
    <row r="281" spans="1:26" s="56" customFormat="1" ht="14.4" x14ac:dyDescent="0.3">
      <c r="A281" s="15">
        <v>27</v>
      </c>
      <c r="B281" s="15" t="s">
        <v>729</v>
      </c>
      <c r="C281" s="15" t="s">
        <v>26</v>
      </c>
      <c r="D281" s="15" t="s">
        <v>26</v>
      </c>
      <c r="E281" s="15" t="s">
        <v>26</v>
      </c>
      <c r="F281" s="16" t="s">
        <v>26</v>
      </c>
      <c r="G281" s="15" t="s">
        <v>26</v>
      </c>
      <c r="H281" s="15">
        <v>4410</v>
      </c>
      <c r="I281" s="15">
        <v>0</v>
      </c>
      <c r="J281" s="57" t="s">
        <v>730</v>
      </c>
      <c r="K281" s="15" t="s">
        <v>879</v>
      </c>
      <c r="L281" s="15" t="s">
        <v>513</v>
      </c>
      <c r="M281" s="15" t="s">
        <v>898</v>
      </c>
      <c r="N281" s="47">
        <v>0</v>
      </c>
      <c r="O281" s="41">
        <v>0</v>
      </c>
      <c r="P281" s="41">
        <v>0</v>
      </c>
      <c r="Q281" s="41">
        <v>0</v>
      </c>
      <c r="R281" s="41">
        <v>0</v>
      </c>
      <c r="S281" s="15" t="s">
        <v>50</v>
      </c>
      <c r="T281" s="15" t="s">
        <v>26</v>
      </c>
      <c r="U281" s="15" t="s">
        <v>26</v>
      </c>
      <c r="V281" s="15" t="s">
        <v>26</v>
      </c>
      <c r="W281" s="15"/>
      <c r="X281" s="49">
        <v>4410</v>
      </c>
      <c r="Y281" s="50" t="s">
        <v>869</v>
      </c>
      <c r="Z281" s="58" t="s">
        <v>837</v>
      </c>
    </row>
    <row r="282" spans="1:26" s="56" customFormat="1" ht="14.4" x14ac:dyDescent="0.3">
      <c r="A282" s="15">
        <v>27</v>
      </c>
      <c r="B282" s="15" t="s">
        <v>729</v>
      </c>
      <c r="C282" s="15" t="s">
        <v>26</v>
      </c>
      <c r="D282" s="15" t="s">
        <v>26</v>
      </c>
      <c r="E282" s="15" t="s">
        <v>26</v>
      </c>
      <c r="F282" s="16" t="s">
        <v>26</v>
      </c>
      <c r="G282" s="15" t="s">
        <v>26</v>
      </c>
      <c r="H282" s="15">
        <v>4420</v>
      </c>
      <c r="I282" s="15">
        <v>0</v>
      </c>
      <c r="J282" s="57" t="s">
        <v>730</v>
      </c>
      <c r="K282" s="15" t="s">
        <v>879</v>
      </c>
      <c r="L282" s="15" t="s">
        <v>899</v>
      </c>
      <c r="M282" s="15" t="s">
        <v>900</v>
      </c>
      <c r="N282" s="47">
        <v>0</v>
      </c>
      <c r="O282" s="41">
        <v>0</v>
      </c>
      <c r="P282" s="41">
        <v>0</v>
      </c>
      <c r="Q282" s="41">
        <v>0</v>
      </c>
      <c r="R282" s="41">
        <v>0</v>
      </c>
      <c r="S282" s="15" t="s">
        <v>50</v>
      </c>
      <c r="T282" s="15" t="s">
        <v>26</v>
      </c>
      <c r="U282" s="15" t="s">
        <v>26</v>
      </c>
      <c r="V282" s="15" t="s">
        <v>26</v>
      </c>
      <c r="W282" s="15"/>
      <c r="X282" s="49">
        <v>4420</v>
      </c>
      <c r="Y282" s="50" t="s">
        <v>872</v>
      </c>
      <c r="Z282" s="51" t="s">
        <v>837</v>
      </c>
    </row>
    <row r="283" spans="1:26" s="56" customFormat="1" ht="14.4" x14ac:dyDescent="0.3">
      <c r="A283" s="15">
        <v>27</v>
      </c>
      <c r="B283" s="15" t="s">
        <v>729</v>
      </c>
      <c r="C283" s="15" t="s">
        <v>26</v>
      </c>
      <c r="D283" s="15" t="s">
        <v>26</v>
      </c>
      <c r="E283" s="15" t="s">
        <v>26</v>
      </c>
      <c r="F283" s="16" t="s">
        <v>26</v>
      </c>
      <c r="G283" s="15" t="s">
        <v>26</v>
      </c>
      <c r="H283" s="15">
        <v>4000</v>
      </c>
      <c r="I283" s="15">
        <v>0</v>
      </c>
      <c r="J283" s="57" t="s">
        <v>730</v>
      </c>
      <c r="K283" s="15" t="s">
        <v>879</v>
      </c>
      <c r="L283" s="15" t="s">
        <v>901</v>
      </c>
      <c r="M283" s="15" t="s">
        <v>902</v>
      </c>
      <c r="N283" s="47">
        <v>20</v>
      </c>
      <c r="O283" s="41">
        <v>0</v>
      </c>
      <c r="P283" s="41">
        <v>0</v>
      </c>
      <c r="Q283" s="41">
        <v>0</v>
      </c>
      <c r="R283" s="41">
        <v>0</v>
      </c>
      <c r="S283" s="15" t="s">
        <v>50</v>
      </c>
      <c r="T283" s="15" t="s">
        <v>26</v>
      </c>
      <c r="U283" s="15" t="s">
        <v>26</v>
      </c>
      <c r="V283" s="15" t="s">
        <v>26</v>
      </c>
      <c r="W283" s="15"/>
      <c r="X283" s="49">
        <v>4380</v>
      </c>
      <c r="Y283" s="50" t="s">
        <v>812</v>
      </c>
      <c r="Z283" s="58" t="s">
        <v>837</v>
      </c>
    </row>
    <row r="284" spans="1:26" s="56" customFormat="1" ht="14.4" x14ac:dyDescent="0.3">
      <c r="A284" s="15">
        <v>27</v>
      </c>
      <c r="B284" s="15" t="s">
        <v>729</v>
      </c>
      <c r="C284" s="15" t="s">
        <v>26</v>
      </c>
      <c r="D284" s="15" t="s">
        <v>26</v>
      </c>
      <c r="E284" s="15" t="s">
        <v>26</v>
      </c>
      <c r="F284" s="16" t="s">
        <v>26</v>
      </c>
      <c r="G284" s="15" t="s">
        <v>26</v>
      </c>
      <c r="H284" s="15">
        <v>4000</v>
      </c>
      <c r="I284" s="15">
        <v>0</v>
      </c>
      <c r="J284" s="57" t="s">
        <v>730</v>
      </c>
      <c r="K284" s="15" t="s">
        <v>879</v>
      </c>
      <c r="L284" s="15" t="s">
        <v>903</v>
      </c>
      <c r="M284" s="15" t="s">
        <v>904</v>
      </c>
      <c r="N284" s="47">
        <v>1000</v>
      </c>
      <c r="O284" s="41">
        <v>0</v>
      </c>
      <c r="P284" s="41">
        <v>0</v>
      </c>
      <c r="Q284" s="41">
        <v>0</v>
      </c>
      <c r="R284" s="41">
        <v>0</v>
      </c>
      <c r="S284" s="15" t="s">
        <v>50</v>
      </c>
      <c r="T284" s="15" t="s">
        <v>26</v>
      </c>
      <c r="U284" s="15" t="s">
        <v>26</v>
      </c>
      <c r="V284" s="15" t="s">
        <v>26</v>
      </c>
      <c r="W284" s="15"/>
      <c r="X284" s="49">
        <v>4300</v>
      </c>
      <c r="Y284" s="50" t="s">
        <v>738</v>
      </c>
      <c r="Z284" s="58" t="s">
        <v>837</v>
      </c>
    </row>
    <row r="285" spans="1:26" s="56" customFormat="1" ht="14.4" x14ac:dyDescent="0.3">
      <c r="A285" s="15">
        <v>27</v>
      </c>
      <c r="B285" s="15" t="s">
        <v>729</v>
      </c>
      <c r="C285" s="15" t="s">
        <v>26</v>
      </c>
      <c r="D285" s="15" t="s">
        <v>26</v>
      </c>
      <c r="E285" s="15" t="s">
        <v>26</v>
      </c>
      <c r="F285" s="16" t="s">
        <v>26</v>
      </c>
      <c r="G285" s="15" t="s">
        <v>26</v>
      </c>
      <c r="H285" s="15">
        <v>4000</v>
      </c>
      <c r="I285" s="15">
        <v>0</v>
      </c>
      <c r="J285" s="57" t="s">
        <v>730</v>
      </c>
      <c r="K285" s="15" t="s">
        <v>879</v>
      </c>
      <c r="L285" s="15" t="s">
        <v>905</v>
      </c>
      <c r="M285" s="15" t="s">
        <v>906</v>
      </c>
      <c r="N285" s="47">
        <v>250</v>
      </c>
      <c r="O285" s="41">
        <v>0</v>
      </c>
      <c r="P285" s="41">
        <v>0</v>
      </c>
      <c r="Q285" s="41">
        <v>0</v>
      </c>
      <c r="R285" s="41">
        <v>0</v>
      </c>
      <c r="S285" s="15" t="s">
        <v>50</v>
      </c>
      <c r="T285" s="15" t="s">
        <v>26</v>
      </c>
      <c r="U285" s="15" t="s">
        <v>26</v>
      </c>
      <c r="V285" s="15" t="s">
        <v>26</v>
      </c>
      <c r="W285" s="15"/>
      <c r="X285" s="49">
        <v>4300</v>
      </c>
      <c r="Y285" s="50" t="s">
        <v>738</v>
      </c>
      <c r="Z285" s="58" t="s">
        <v>837</v>
      </c>
    </row>
    <row r="286" spans="1:26" s="56" customFormat="1" ht="14.4" x14ac:dyDescent="0.3">
      <c r="A286" s="15">
        <v>27</v>
      </c>
      <c r="B286" s="15" t="s">
        <v>729</v>
      </c>
      <c r="C286" s="15" t="s">
        <v>26</v>
      </c>
      <c r="D286" s="15" t="s">
        <v>26</v>
      </c>
      <c r="E286" s="15" t="s">
        <v>26</v>
      </c>
      <c r="F286" s="16" t="s">
        <v>26</v>
      </c>
      <c r="G286" s="15" t="s">
        <v>26</v>
      </c>
      <c r="H286" s="15">
        <v>4170</v>
      </c>
      <c r="I286" s="15">
        <v>0</v>
      </c>
      <c r="J286" s="57" t="s">
        <v>743</v>
      </c>
      <c r="K286" s="15" t="s">
        <v>879</v>
      </c>
      <c r="L286" s="15" t="s">
        <v>840</v>
      </c>
      <c r="M286" s="15" t="s">
        <v>907</v>
      </c>
      <c r="N286" s="47">
        <v>135</v>
      </c>
      <c r="O286" s="41">
        <v>0</v>
      </c>
      <c r="P286" s="41">
        <v>0</v>
      </c>
      <c r="Q286" s="41">
        <v>0</v>
      </c>
      <c r="R286" s="41">
        <v>0</v>
      </c>
      <c r="S286" s="15" t="s">
        <v>50</v>
      </c>
      <c r="T286" s="15" t="s">
        <v>26</v>
      </c>
      <c r="U286" s="15" t="s">
        <v>26</v>
      </c>
      <c r="V286" s="15" t="s">
        <v>26</v>
      </c>
      <c r="W286" s="15"/>
      <c r="X286" s="49">
        <v>4170</v>
      </c>
      <c r="Y286" s="50" t="s">
        <v>831</v>
      </c>
      <c r="Z286" s="58" t="s">
        <v>837</v>
      </c>
    </row>
    <row r="287" spans="1:26" s="56" customFormat="1" ht="14.4" x14ac:dyDescent="0.3">
      <c r="A287" s="15">
        <v>27</v>
      </c>
      <c r="B287" s="15" t="s">
        <v>729</v>
      </c>
      <c r="C287" s="15" t="s">
        <v>26</v>
      </c>
      <c r="D287" s="15" t="s">
        <v>26</v>
      </c>
      <c r="E287" s="15" t="s">
        <v>26</v>
      </c>
      <c r="F287" s="16" t="s">
        <v>26</v>
      </c>
      <c r="G287" s="15" t="s">
        <v>26</v>
      </c>
      <c r="H287" s="15">
        <v>4410</v>
      </c>
      <c r="I287" s="15">
        <v>0</v>
      </c>
      <c r="J287" s="40" t="s">
        <v>28</v>
      </c>
      <c r="K287" s="16" t="s">
        <v>243</v>
      </c>
      <c r="L287" s="15" t="s">
        <v>908</v>
      </c>
      <c r="M287" s="15" t="s">
        <v>909</v>
      </c>
      <c r="N287" s="41">
        <v>0</v>
      </c>
      <c r="O287" s="41">
        <v>0</v>
      </c>
      <c r="P287" s="41">
        <v>0</v>
      </c>
      <c r="Q287" s="41">
        <v>0</v>
      </c>
      <c r="R287" s="41">
        <v>0</v>
      </c>
      <c r="S287" s="15" t="s">
        <v>50</v>
      </c>
      <c r="T287" s="15" t="s">
        <v>26</v>
      </c>
      <c r="U287" s="15" t="s">
        <v>26</v>
      </c>
      <c r="V287" s="15" t="s">
        <v>26</v>
      </c>
      <c r="W287" s="15"/>
      <c r="X287" s="49">
        <v>4410</v>
      </c>
      <c r="Y287" s="50" t="s">
        <v>872</v>
      </c>
      <c r="Z287" s="51" t="s">
        <v>834</v>
      </c>
    </row>
    <row r="288" spans="1:26" s="56" customFormat="1" ht="14.4" x14ac:dyDescent="0.3">
      <c r="A288" s="15">
        <v>27</v>
      </c>
      <c r="B288" s="15" t="s">
        <v>729</v>
      </c>
      <c r="C288" s="15" t="s">
        <v>26</v>
      </c>
      <c r="D288" s="15" t="s">
        <v>26</v>
      </c>
      <c r="E288" s="15" t="s">
        <v>26</v>
      </c>
      <c r="F288" s="16" t="s">
        <v>26</v>
      </c>
      <c r="G288" s="15" t="s">
        <v>26</v>
      </c>
      <c r="H288" s="15">
        <v>4000</v>
      </c>
      <c r="I288" s="15">
        <v>0</v>
      </c>
      <c r="J288" s="40" t="s">
        <v>28</v>
      </c>
      <c r="K288" s="16" t="s">
        <v>243</v>
      </c>
      <c r="L288" s="15" t="s">
        <v>910</v>
      </c>
      <c r="M288" s="15" t="s">
        <v>911</v>
      </c>
      <c r="N288" s="47">
        <f>20+10</f>
        <v>30</v>
      </c>
      <c r="O288" s="47">
        <v>0</v>
      </c>
      <c r="P288" s="47">
        <v>0</v>
      </c>
      <c r="Q288" s="47">
        <v>0</v>
      </c>
      <c r="R288" s="47">
        <v>0</v>
      </c>
      <c r="S288" s="15" t="s">
        <v>50</v>
      </c>
      <c r="T288" s="15" t="s">
        <v>26</v>
      </c>
      <c r="U288" s="15" t="s">
        <v>26</v>
      </c>
      <c r="V288" s="15" t="s">
        <v>26</v>
      </c>
      <c r="W288" s="15"/>
      <c r="X288" s="49">
        <v>4210</v>
      </c>
      <c r="Y288" s="50" t="s">
        <v>796</v>
      </c>
      <c r="Z288" s="51" t="s">
        <v>834</v>
      </c>
    </row>
    <row r="289" spans="1:26" s="56" customFormat="1" ht="14.4" x14ac:dyDescent="0.3">
      <c r="A289" s="15">
        <v>27</v>
      </c>
      <c r="B289" s="15" t="s">
        <v>729</v>
      </c>
      <c r="C289" s="15" t="s">
        <v>26</v>
      </c>
      <c r="D289" s="15" t="s">
        <v>26</v>
      </c>
      <c r="E289" s="15" t="s">
        <v>26</v>
      </c>
      <c r="F289" s="16" t="s">
        <v>26</v>
      </c>
      <c r="G289" s="15" t="s">
        <v>26</v>
      </c>
      <c r="H289" s="15">
        <v>6060</v>
      </c>
      <c r="I289" s="15">
        <v>0</v>
      </c>
      <c r="J289" s="40" t="s">
        <v>28</v>
      </c>
      <c r="K289" s="16" t="s">
        <v>243</v>
      </c>
      <c r="L289" s="15" t="s">
        <v>912</v>
      </c>
      <c r="M289" s="15" t="s">
        <v>913</v>
      </c>
      <c r="N289" s="47">
        <v>70</v>
      </c>
      <c r="O289" s="47">
        <v>0</v>
      </c>
      <c r="P289" s="47">
        <v>0</v>
      </c>
      <c r="Q289" s="47">
        <v>0</v>
      </c>
      <c r="R289" s="47">
        <v>0</v>
      </c>
      <c r="S289" s="15" t="s">
        <v>50</v>
      </c>
      <c r="T289" s="15" t="s">
        <v>26</v>
      </c>
      <c r="U289" s="15" t="s">
        <v>26</v>
      </c>
      <c r="V289" s="15" t="s">
        <v>26</v>
      </c>
      <c r="W289" s="15"/>
      <c r="X289" s="49">
        <v>6060</v>
      </c>
      <c r="Y289" s="50" t="s">
        <v>831</v>
      </c>
      <c r="Z289" s="51" t="s">
        <v>834</v>
      </c>
    </row>
    <row r="290" spans="1:26" s="56" customFormat="1" ht="14.4" x14ac:dyDescent="0.3">
      <c r="A290" s="59">
        <v>27</v>
      </c>
      <c r="B290" s="15" t="s">
        <v>729</v>
      </c>
      <c r="C290" s="15" t="s">
        <v>26</v>
      </c>
      <c r="D290" s="15" t="s">
        <v>26</v>
      </c>
      <c r="E290" s="15" t="s">
        <v>26</v>
      </c>
      <c r="F290" s="16" t="s">
        <v>26</v>
      </c>
      <c r="G290" s="15" t="s">
        <v>26</v>
      </c>
      <c r="H290" s="60">
        <v>4420</v>
      </c>
      <c r="I290" s="59">
        <v>0</v>
      </c>
      <c r="J290" s="61" t="s">
        <v>730</v>
      </c>
      <c r="K290" s="62" t="s">
        <v>879</v>
      </c>
      <c r="L290" s="63" t="s">
        <v>914</v>
      </c>
      <c r="M290" s="15" t="s">
        <v>915</v>
      </c>
      <c r="N290" s="47">
        <v>0</v>
      </c>
      <c r="O290" s="47">
        <v>0</v>
      </c>
      <c r="P290" s="47">
        <v>0</v>
      </c>
      <c r="Q290" s="47">
        <v>0</v>
      </c>
      <c r="R290" s="47">
        <v>0</v>
      </c>
      <c r="S290" s="15" t="s">
        <v>50</v>
      </c>
      <c r="T290" s="15" t="s">
        <v>26</v>
      </c>
      <c r="U290" s="15" t="s">
        <v>26</v>
      </c>
      <c r="V290" s="15" t="s">
        <v>26</v>
      </c>
      <c r="W290" s="15"/>
      <c r="X290" s="49">
        <v>4420</v>
      </c>
      <c r="Y290" s="50" t="s">
        <v>869</v>
      </c>
      <c r="Z290" s="51" t="s">
        <v>750</v>
      </c>
    </row>
    <row r="291" spans="1:26" s="56" customFormat="1" ht="14.4" x14ac:dyDescent="0.3">
      <c r="A291" s="59">
        <v>27</v>
      </c>
      <c r="B291" s="15" t="s">
        <v>729</v>
      </c>
      <c r="C291" s="15" t="s">
        <v>26</v>
      </c>
      <c r="D291" s="15" t="s">
        <v>26</v>
      </c>
      <c r="E291" s="15" t="s">
        <v>26</v>
      </c>
      <c r="F291" s="16" t="s">
        <v>26</v>
      </c>
      <c r="G291" s="15" t="s">
        <v>26</v>
      </c>
      <c r="H291" s="60">
        <v>4420</v>
      </c>
      <c r="I291" s="59">
        <v>0</v>
      </c>
      <c r="J291" s="61" t="s">
        <v>807</v>
      </c>
      <c r="K291" s="62" t="s">
        <v>879</v>
      </c>
      <c r="L291" s="63" t="s">
        <v>916</v>
      </c>
      <c r="M291" s="15" t="s">
        <v>917</v>
      </c>
      <c r="N291" s="47">
        <v>0</v>
      </c>
      <c r="O291" s="47">
        <v>0</v>
      </c>
      <c r="P291" s="47">
        <v>0</v>
      </c>
      <c r="Q291" s="47">
        <v>0</v>
      </c>
      <c r="R291" s="47">
        <v>0</v>
      </c>
      <c r="S291" s="15" t="s">
        <v>50</v>
      </c>
      <c r="T291" s="15" t="s">
        <v>26</v>
      </c>
      <c r="U291" s="15" t="s">
        <v>26</v>
      </c>
      <c r="V291" s="15" t="s">
        <v>26</v>
      </c>
      <c r="W291" s="15"/>
      <c r="X291" s="49">
        <v>4420</v>
      </c>
      <c r="Y291" s="50" t="s">
        <v>869</v>
      </c>
      <c r="Z291" s="51" t="s">
        <v>750</v>
      </c>
    </row>
    <row r="292" spans="1:26" s="56" customFormat="1" ht="14.4" x14ac:dyDescent="0.3">
      <c r="A292" s="21">
        <v>27</v>
      </c>
      <c r="B292" s="15" t="s">
        <v>729</v>
      </c>
      <c r="C292" s="15" t="s">
        <v>26</v>
      </c>
      <c r="D292" s="15" t="s">
        <v>26</v>
      </c>
      <c r="E292" s="15" t="s">
        <v>26</v>
      </c>
      <c r="F292" s="16" t="s">
        <v>26</v>
      </c>
      <c r="G292" s="15" t="s">
        <v>26</v>
      </c>
      <c r="H292" s="21">
        <v>4410</v>
      </c>
      <c r="I292" s="21">
        <v>0</v>
      </c>
      <c r="J292" s="61" t="s">
        <v>730</v>
      </c>
      <c r="K292" s="62" t="s">
        <v>879</v>
      </c>
      <c r="L292" s="21" t="s">
        <v>513</v>
      </c>
      <c r="M292" s="21" t="s">
        <v>918</v>
      </c>
      <c r="N292" s="47">
        <v>0</v>
      </c>
      <c r="O292" s="47">
        <v>0</v>
      </c>
      <c r="P292" s="41">
        <v>0</v>
      </c>
      <c r="Q292" s="41">
        <v>0</v>
      </c>
      <c r="R292" s="41">
        <v>0</v>
      </c>
      <c r="S292" s="15" t="s">
        <v>50</v>
      </c>
      <c r="T292" s="15" t="s">
        <v>26</v>
      </c>
      <c r="U292" s="15" t="s">
        <v>26</v>
      </c>
      <c r="V292" s="15" t="s">
        <v>26</v>
      </c>
      <c r="W292" s="15"/>
      <c r="X292" s="49">
        <v>4410</v>
      </c>
      <c r="Y292" s="50" t="s">
        <v>872</v>
      </c>
      <c r="Z292" s="51" t="s">
        <v>750</v>
      </c>
    </row>
    <row r="293" spans="1:26" s="56" customFormat="1" ht="14.4" x14ac:dyDescent="0.3">
      <c r="A293" s="15">
        <v>27</v>
      </c>
      <c r="B293" s="15" t="s">
        <v>729</v>
      </c>
      <c r="C293" s="15" t="s">
        <v>26</v>
      </c>
      <c r="D293" s="15" t="s">
        <v>26</v>
      </c>
      <c r="E293" s="15" t="s">
        <v>26</v>
      </c>
      <c r="F293" s="16" t="s">
        <v>26</v>
      </c>
      <c r="G293" s="15" t="s">
        <v>26</v>
      </c>
      <c r="H293" s="15">
        <v>4000</v>
      </c>
      <c r="I293" s="16">
        <v>0</v>
      </c>
      <c r="J293" s="64" t="s">
        <v>730</v>
      </c>
      <c r="K293" s="54" t="s">
        <v>731</v>
      </c>
      <c r="L293" s="15" t="s">
        <v>919</v>
      </c>
      <c r="M293" s="15" t="s">
        <v>920</v>
      </c>
      <c r="N293" s="53">
        <v>60</v>
      </c>
      <c r="O293" s="53">
        <v>0</v>
      </c>
      <c r="P293" s="53">
        <v>0</v>
      </c>
      <c r="Q293" s="53">
        <v>0</v>
      </c>
      <c r="R293" s="53">
        <v>0</v>
      </c>
      <c r="S293" s="15" t="s">
        <v>50</v>
      </c>
      <c r="T293" s="15" t="s">
        <v>26</v>
      </c>
      <c r="U293" s="15" t="s">
        <v>26</v>
      </c>
      <c r="V293" s="15" t="s">
        <v>26</v>
      </c>
      <c r="W293" s="15"/>
      <c r="X293" s="49">
        <v>4300</v>
      </c>
      <c r="Y293" s="50" t="s">
        <v>738</v>
      </c>
      <c r="Z293" s="51" t="s">
        <v>742</v>
      </c>
    </row>
    <row r="294" spans="1:26" s="56" customFormat="1" ht="14.4" x14ac:dyDescent="0.3">
      <c r="A294" s="15">
        <v>27</v>
      </c>
      <c r="B294" s="15" t="s">
        <v>729</v>
      </c>
      <c r="C294" s="15" t="s">
        <v>26</v>
      </c>
      <c r="D294" s="15" t="s">
        <v>26</v>
      </c>
      <c r="E294" s="15" t="s">
        <v>26</v>
      </c>
      <c r="F294" s="16" t="s">
        <v>26</v>
      </c>
      <c r="G294" s="15" t="s">
        <v>26</v>
      </c>
      <c r="H294" s="15">
        <v>4000</v>
      </c>
      <c r="I294" s="16">
        <v>0</v>
      </c>
      <c r="J294" s="64" t="s">
        <v>730</v>
      </c>
      <c r="K294" s="54" t="s">
        <v>731</v>
      </c>
      <c r="L294" s="15" t="s">
        <v>921</v>
      </c>
      <c r="M294" s="15" t="s">
        <v>922</v>
      </c>
      <c r="N294" s="53">
        <v>310</v>
      </c>
      <c r="O294" s="53">
        <v>0</v>
      </c>
      <c r="P294" s="53">
        <v>0</v>
      </c>
      <c r="Q294" s="53">
        <v>0</v>
      </c>
      <c r="R294" s="53">
        <v>0</v>
      </c>
      <c r="S294" s="15" t="s">
        <v>50</v>
      </c>
      <c r="T294" s="15" t="s">
        <v>26</v>
      </c>
      <c r="U294" s="15" t="s">
        <v>26</v>
      </c>
      <c r="V294" s="15" t="s">
        <v>26</v>
      </c>
      <c r="W294" s="15"/>
      <c r="X294" s="49">
        <v>4300</v>
      </c>
      <c r="Y294" s="50" t="s">
        <v>738</v>
      </c>
      <c r="Z294" s="51" t="s">
        <v>742</v>
      </c>
    </row>
    <row r="295" spans="1:26" s="56" customFormat="1" ht="14.4" x14ac:dyDescent="0.3">
      <c r="A295" s="15">
        <v>27</v>
      </c>
      <c r="B295" s="15" t="s">
        <v>729</v>
      </c>
      <c r="C295" s="15" t="s">
        <v>26</v>
      </c>
      <c r="D295" s="15" t="s">
        <v>26</v>
      </c>
      <c r="E295" s="15" t="s">
        <v>26</v>
      </c>
      <c r="F295" s="16" t="s">
        <v>26</v>
      </c>
      <c r="G295" s="15" t="s">
        <v>26</v>
      </c>
      <c r="H295" s="15">
        <v>2830</v>
      </c>
      <c r="I295" s="16">
        <v>0</v>
      </c>
      <c r="J295" s="40" t="s">
        <v>762</v>
      </c>
      <c r="K295" s="16" t="s">
        <v>580</v>
      </c>
      <c r="L295" s="61" t="s">
        <v>923</v>
      </c>
      <c r="M295" s="21" t="s">
        <v>924</v>
      </c>
      <c r="N295" s="65">
        <v>2962</v>
      </c>
      <c r="O295" s="65">
        <v>2962</v>
      </c>
      <c r="P295" s="65">
        <v>2962</v>
      </c>
      <c r="Q295" s="65">
        <v>2962</v>
      </c>
      <c r="R295" s="65">
        <v>0</v>
      </c>
      <c r="S295" s="66" t="s">
        <v>925</v>
      </c>
      <c r="T295" s="15" t="s">
        <v>26</v>
      </c>
      <c r="U295" s="15" t="s">
        <v>26</v>
      </c>
      <c r="V295" s="15" t="s">
        <v>26</v>
      </c>
      <c r="W295" s="15" t="s">
        <v>747</v>
      </c>
      <c r="X295" s="49">
        <v>2830</v>
      </c>
      <c r="Y295" s="50" t="s">
        <v>757</v>
      </c>
      <c r="Z295" s="51" t="s">
        <v>926</v>
      </c>
    </row>
    <row r="296" spans="1:26" s="56" customFormat="1" ht="14.4" x14ac:dyDescent="0.3">
      <c r="A296" s="15">
        <v>27</v>
      </c>
      <c r="B296" s="15" t="s">
        <v>729</v>
      </c>
      <c r="C296" s="15" t="s">
        <v>26</v>
      </c>
      <c r="D296" s="15" t="s">
        <v>26</v>
      </c>
      <c r="E296" s="15" t="s">
        <v>26</v>
      </c>
      <c r="F296" s="16" t="s">
        <v>26</v>
      </c>
      <c r="G296" s="15" t="s">
        <v>26</v>
      </c>
      <c r="H296" s="15">
        <v>4190</v>
      </c>
      <c r="I296" s="16">
        <v>0</v>
      </c>
      <c r="J296" s="40" t="s">
        <v>730</v>
      </c>
      <c r="K296" s="54" t="s">
        <v>731</v>
      </c>
      <c r="L296" s="15" t="s">
        <v>927</v>
      </c>
      <c r="M296" s="15" t="s">
        <v>928</v>
      </c>
      <c r="N296" s="45">
        <v>35</v>
      </c>
      <c r="O296" s="45">
        <v>0</v>
      </c>
      <c r="P296" s="45">
        <v>0</v>
      </c>
      <c r="Q296" s="45">
        <v>0</v>
      </c>
      <c r="R296" s="45">
        <v>0</v>
      </c>
      <c r="S296" s="67" t="s">
        <v>26</v>
      </c>
      <c r="T296" s="15" t="s">
        <v>26</v>
      </c>
      <c r="U296" s="15" t="s">
        <v>26</v>
      </c>
      <c r="V296" s="15" t="s">
        <v>26</v>
      </c>
      <c r="W296" s="15"/>
      <c r="X296" s="49">
        <v>4190</v>
      </c>
      <c r="Y296" s="50" t="s">
        <v>831</v>
      </c>
      <c r="Z296" s="51" t="s">
        <v>926</v>
      </c>
    </row>
    <row r="297" spans="1:26" s="56" customFormat="1" ht="28.8" x14ac:dyDescent="0.3">
      <c r="A297" s="15">
        <v>27</v>
      </c>
      <c r="B297" s="15" t="s">
        <v>729</v>
      </c>
      <c r="C297" s="15" t="s">
        <v>26</v>
      </c>
      <c r="D297" s="15" t="s">
        <v>26</v>
      </c>
      <c r="E297" s="15" t="s">
        <v>26</v>
      </c>
      <c r="F297" s="16" t="s">
        <v>26</v>
      </c>
      <c r="G297" s="15" t="s">
        <v>26</v>
      </c>
      <c r="H297" s="15">
        <v>2830</v>
      </c>
      <c r="I297" s="16">
        <v>0</v>
      </c>
      <c r="J297" s="40" t="s">
        <v>762</v>
      </c>
      <c r="K297" s="16" t="s">
        <v>580</v>
      </c>
      <c r="L297" s="15" t="s">
        <v>929</v>
      </c>
      <c r="M297" s="16" t="s">
        <v>930</v>
      </c>
      <c r="N297" s="68">
        <v>1540</v>
      </c>
      <c r="O297" s="45">
        <v>0</v>
      </c>
      <c r="P297" s="45">
        <v>0</v>
      </c>
      <c r="Q297" s="45">
        <v>0</v>
      </c>
      <c r="R297" s="45">
        <v>0</v>
      </c>
      <c r="S297" s="69" t="s">
        <v>931</v>
      </c>
      <c r="T297" s="15" t="s">
        <v>26</v>
      </c>
      <c r="U297" s="15" t="s">
        <v>26</v>
      </c>
      <c r="V297" s="15" t="s">
        <v>26</v>
      </c>
      <c r="W297" s="16" t="s">
        <v>932</v>
      </c>
      <c r="X297" s="49">
        <v>2830</v>
      </c>
      <c r="Y297" s="50" t="s">
        <v>757</v>
      </c>
      <c r="Z297" s="51" t="s">
        <v>926</v>
      </c>
    </row>
    <row r="298" spans="1:26" s="56" customFormat="1" ht="28.8" x14ac:dyDescent="0.3">
      <c r="A298" s="15">
        <v>27</v>
      </c>
      <c r="B298" s="15" t="s">
        <v>729</v>
      </c>
      <c r="C298" s="15" t="s">
        <v>26</v>
      </c>
      <c r="D298" s="15" t="s">
        <v>26</v>
      </c>
      <c r="E298" s="15" t="s">
        <v>26</v>
      </c>
      <c r="F298" s="16" t="s">
        <v>26</v>
      </c>
      <c r="G298" s="15" t="s">
        <v>26</v>
      </c>
      <c r="H298" s="15">
        <v>6230</v>
      </c>
      <c r="I298" s="16">
        <v>0</v>
      </c>
      <c r="J298" s="40" t="s">
        <v>762</v>
      </c>
      <c r="K298" s="16" t="s">
        <v>580</v>
      </c>
      <c r="L298" s="15" t="s">
        <v>933</v>
      </c>
      <c r="M298" s="16" t="s">
        <v>930</v>
      </c>
      <c r="N298" s="68">
        <v>60</v>
      </c>
      <c r="O298" s="45">
        <v>0</v>
      </c>
      <c r="P298" s="45">
        <v>0</v>
      </c>
      <c r="Q298" s="45">
        <v>0</v>
      </c>
      <c r="R298" s="45">
        <v>0</v>
      </c>
      <c r="S298" s="69" t="s">
        <v>931</v>
      </c>
      <c r="T298" s="15" t="s">
        <v>26</v>
      </c>
      <c r="U298" s="15" t="s">
        <v>26</v>
      </c>
      <c r="V298" s="15" t="s">
        <v>26</v>
      </c>
      <c r="W298" s="16" t="s">
        <v>932</v>
      </c>
      <c r="X298" s="49">
        <v>6230</v>
      </c>
      <c r="Y298" s="50" t="s">
        <v>755</v>
      </c>
      <c r="Z298" s="51" t="s">
        <v>926</v>
      </c>
    </row>
    <row r="299" spans="1:26" s="56" customFormat="1" ht="14.4" x14ac:dyDescent="0.3">
      <c r="A299" s="15">
        <v>27</v>
      </c>
      <c r="B299" s="15" t="s">
        <v>729</v>
      </c>
      <c r="C299" s="15" t="s">
        <v>26</v>
      </c>
      <c r="D299" s="15" t="s">
        <v>26</v>
      </c>
      <c r="E299" s="15" t="s">
        <v>26</v>
      </c>
      <c r="F299" s="16" t="s">
        <v>26</v>
      </c>
      <c r="G299" s="67">
        <v>2025</v>
      </c>
      <c r="H299" s="15">
        <v>4000</v>
      </c>
      <c r="I299" s="16">
        <v>0</v>
      </c>
      <c r="J299" s="40" t="s">
        <v>730</v>
      </c>
      <c r="K299" s="54" t="s">
        <v>731</v>
      </c>
      <c r="L299" s="15" t="s">
        <v>934</v>
      </c>
      <c r="M299" s="15" t="s">
        <v>935</v>
      </c>
      <c r="N299" s="45">
        <v>210</v>
      </c>
      <c r="O299" s="45">
        <v>0</v>
      </c>
      <c r="P299" s="45">
        <v>0</v>
      </c>
      <c r="Q299" s="45">
        <v>0</v>
      </c>
      <c r="R299" s="45">
        <v>0</v>
      </c>
      <c r="S299" s="67" t="s">
        <v>245</v>
      </c>
      <c r="T299" s="15" t="s">
        <v>26</v>
      </c>
      <c r="U299" s="15" t="s">
        <v>26</v>
      </c>
      <c r="V299" s="15" t="s">
        <v>26</v>
      </c>
      <c r="W299" s="15"/>
      <c r="X299" s="49">
        <v>4300</v>
      </c>
      <c r="Y299" s="50" t="s">
        <v>738</v>
      </c>
      <c r="Z299" s="51" t="s">
        <v>926</v>
      </c>
    </row>
    <row r="300" spans="1:26" s="56" customFormat="1" ht="14.1" customHeight="1" x14ac:dyDescent="0.3">
      <c r="A300" s="15">
        <v>27</v>
      </c>
      <c r="B300" s="15" t="s">
        <v>729</v>
      </c>
      <c r="C300" s="15" t="s">
        <v>26</v>
      </c>
      <c r="D300" s="15" t="s">
        <v>26</v>
      </c>
      <c r="E300" s="15" t="s">
        <v>26</v>
      </c>
      <c r="F300" s="16" t="s">
        <v>26</v>
      </c>
      <c r="G300" s="15" t="s">
        <v>936</v>
      </c>
      <c r="H300" s="15">
        <v>2830</v>
      </c>
      <c r="I300" s="70">
        <v>0</v>
      </c>
      <c r="J300" s="40" t="s">
        <v>730</v>
      </c>
      <c r="K300" s="16" t="s">
        <v>580</v>
      </c>
      <c r="L300" s="71" t="s">
        <v>937</v>
      </c>
      <c r="M300" s="71" t="s">
        <v>938</v>
      </c>
      <c r="N300" s="72">
        <v>7330</v>
      </c>
      <c r="O300" s="72">
        <v>8416</v>
      </c>
      <c r="P300" s="72">
        <v>10024</v>
      </c>
      <c r="Q300" s="72">
        <v>11785</v>
      </c>
      <c r="R300" s="72">
        <v>0</v>
      </c>
      <c r="S300" s="15" t="s">
        <v>939</v>
      </c>
      <c r="T300" s="15" t="s">
        <v>26</v>
      </c>
      <c r="U300" s="15" t="s">
        <v>940</v>
      </c>
      <c r="V300" s="15" t="s">
        <v>747</v>
      </c>
      <c r="W300" s="16" t="s">
        <v>747</v>
      </c>
      <c r="X300" s="49">
        <v>2830</v>
      </c>
      <c r="Y300" s="50" t="s">
        <v>757</v>
      </c>
      <c r="Z300" s="51" t="s">
        <v>845</v>
      </c>
    </row>
    <row r="301" spans="1:26" s="56" customFormat="1" ht="14.4" x14ac:dyDescent="0.3">
      <c r="A301" s="15">
        <v>27</v>
      </c>
      <c r="B301" s="15" t="s">
        <v>729</v>
      </c>
      <c r="C301" s="15" t="s">
        <v>26</v>
      </c>
      <c r="D301" s="15" t="s">
        <v>26</v>
      </c>
      <c r="E301" s="15" t="s">
        <v>26</v>
      </c>
      <c r="F301" s="16" t="s">
        <v>26</v>
      </c>
      <c r="G301" s="16" t="s">
        <v>26</v>
      </c>
      <c r="H301" s="15">
        <v>4020</v>
      </c>
      <c r="I301" s="70">
        <v>0</v>
      </c>
      <c r="J301" s="73" t="s">
        <v>743</v>
      </c>
      <c r="K301" s="54" t="s">
        <v>731</v>
      </c>
      <c r="L301" s="71" t="s">
        <v>941</v>
      </c>
      <c r="M301" s="71" t="s">
        <v>843</v>
      </c>
      <c r="N301" s="74">
        <v>0</v>
      </c>
      <c r="O301" s="74">
        <v>0</v>
      </c>
      <c r="P301" s="74">
        <v>0</v>
      </c>
      <c r="Q301" s="74">
        <v>0</v>
      </c>
      <c r="R301" s="74">
        <v>0</v>
      </c>
      <c r="S301" s="15" t="s">
        <v>50</v>
      </c>
      <c r="T301" s="15" t="s">
        <v>26</v>
      </c>
      <c r="U301" s="15" t="s">
        <v>26</v>
      </c>
      <c r="V301" s="15" t="s">
        <v>26</v>
      </c>
      <c r="W301" s="15"/>
      <c r="X301" s="49">
        <v>4020</v>
      </c>
      <c r="Y301" s="50" t="s">
        <v>831</v>
      </c>
      <c r="Z301" s="51" t="s">
        <v>845</v>
      </c>
    </row>
    <row r="302" spans="1:26" s="56" customFormat="1" ht="14.4" x14ac:dyDescent="0.3">
      <c r="A302" s="15">
        <v>27</v>
      </c>
      <c r="B302" s="15" t="s">
        <v>729</v>
      </c>
      <c r="C302" s="15" t="s">
        <v>26</v>
      </c>
      <c r="D302" s="15" t="s">
        <v>26</v>
      </c>
      <c r="E302" s="15" t="s">
        <v>26</v>
      </c>
      <c r="F302" s="16" t="s">
        <v>26</v>
      </c>
      <c r="G302" s="16" t="s">
        <v>26</v>
      </c>
      <c r="H302" s="15">
        <v>4110</v>
      </c>
      <c r="I302" s="70">
        <v>0</v>
      </c>
      <c r="J302" s="73" t="s">
        <v>743</v>
      </c>
      <c r="K302" s="54" t="s">
        <v>731</v>
      </c>
      <c r="L302" s="71" t="s">
        <v>942</v>
      </c>
      <c r="M302" s="71" t="s">
        <v>943</v>
      </c>
      <c r="N302" s="74">
        <v>0</v>
      </c>
      <c r="O302" s="74">
        <v>0</v>
      </c>
      <c r="P302" s="74">
        <v>0</v>
      </c>
      <c r="Q302" s="74">
        <v>0</v>
      </c>
      <c r="R302" s="74">
        <v>0</v>
      </c>
      <c r="S302" s="15" t="s">
        <v>50</v>
      </c>
      <c r="T302" s="15" t="s">
        <v>26</v>
      </c>
      <c r="U302" s="15" t="s">
        <v>26</v>
      </c>
      <c r="V302" s="15" t="s">
        <v>26</v>
      </c>
      <c r="W302" s="15"/>
      <c r="X302" s="49">
        <v>4110</v>
      </c>
      <c r="Y302" s="50" t="s">
        <v>831</v>
      </c>
      <c r="Z302" s="51" t="s">
        <v>845</v>
      </c>
    </row>
    <row r="303" spans="1:26" s="56" customFormat="1" ht="14.4" x14ac:dyDescent="0.3">
      <c r="A303" s="15">
        <v>27</v>
      </c>
      <c r="B303" s="15" t="s">
        <v>729</v>
      </c>
      <c r="C303" s="15" t="s">
        <v>26</v>
      </c>
      <c r="D303" s="15" t="s">
        <v>26</v>
      </c>
      <c r="E303" s="15" t="s">
        <v>26</v>
      </c>
      <c r="F303" s="16" t="s">
        <v>26</v>
      </c>
      <c r="G303" s="16" t="s">
        <v>26</v>
      </c>
      <c r="H303" s="15">
        <v>4110</v>
      </c>
      <c r="I303" s="70">
        <v>0</v>
      </c>
      <c r="J303" s="73" t="s">
        <v>743</v>
      </c>
      <c r="K303" s="54" t="s">
        <v>731</v>
      </c>
      <c r="L303" s="71" t="s">
        <v>944</v>
      </c>
      <c r="M303" s="71" t="s">
        <v>843</v>
      </c>
      <c r="N303" s="74">
        <v>0</v>
      </c>
      <c r="O303" s="74">
        <v>0</v>
      </c>
      <c r="P303" s="74">
        <v>0</v>
      </c>
      <c r="Q303" s="74">
        <v>0</v>
      </c>
      <c r="R303" s="74">
        <v>0</v>
      </c>
      <c r="S303" s="15" t="s">
        <v>50</v>
      </c>
      <c r="T303" s="15" t="s">
        <v>26</v>
      </c>
      <c r="U303" s="15" t="s">
        <v>26</v>
      </c>
      <c r="V303" s="15" t="s">
        <v>26</v>
      </c>
      <c r="W303" s="15"/>
      <c r="X303" s="49">
        <v>4110</v>
      </c>
      <c r="Y303" s="50" t="s">
        <v>831</v>
      </c>
      <c r="Z303" s="51" t="s">
        <v>845</v>
      </c>
    </row>
    <row r="304" spans="1:26" s="56" customFormat="1" ht="14.4" x14ac:dyDescent="0.3">
      <c r="A304" s="15">
        <v>27</v>
      </c>
      <c r="B304" s="15" t="s">
        <v>729</v>
      </c>
      <c r="C304" s="15" t="s">
        <v>26</v>
      </c>
      <c r="D304" s="15" t="s">
        <v>26</v>
      </c>
      <c r="E304" s="15" t="s">
        <v>26</v>
      </c>
      <c r="F304" s="16" t="s">
        <v>26</v>
      </c>
      <c r="G304" s="16" t="s">
        <v>26</v>
      </c>
      <c r="H304" s="15">
        <v>4120</v>
      </c>
      <c r="I304" s="70">
        <v>0</v>
      </c>
      <c r="J304" s="73" t="s">
        <v>743</v>
      </c>
      <c r="K304" s="54" t="s">
        <v>731</v>
      </c>
      <c r="L304" s="71" t="s">
        <v>945</v>
      </c>
      <c r="M304" s="71" t="s">
        <v>843</v>
      </c>
      <c r="N304" s="74">
        <v>0</v>
      </c>
      <c r="O304" s="74">
        <v>0</v>
      </c>
      <c r="P304" s="74">
        <v>0</v>
      </c>
      <c r="Q304" s="74">
        <v>0</v>
      </c>
      <c r="R304" s="74">
        <v>0</v>
      </c>
      <c r="S304" s="15" t="s">
        <v>50</v>
      </c>
      <c r="T304" s="15" t="s">
        <v>26</v>
      </c>
      <c r="U304" s="15" t="s">
        <v>26</v>
      </c>
      <c r="V304" s="15" t="s">
        <v>26</v>
      </c>
      <c r="W304" s="15"/>
      <c r="X304" s="49">
        <v>4120</v>
      </c>
      <c r="Y304" s="50" t="s">
        <v>831</v>
      </c>
      <c r="Z304" s="51" t="s">
        <v>845</v>
      </c>
    </row>
    <row r="305" spans="1:26" s="56" customFormat="1" ht="14.4" x14ac:dyDescent="0.3">
      <c r="A305" s="15">
        <v>27</v>
      </c>
      <c r="B305" s="15" t="s">
        <v>729</v>
      </c>
      <c r="C305" s="15" t="s">
        <v>26</v>
      </c>
      <c r="D305" s="15" t="s">
        <v>26</v>
      </c>
      <c r="E305" s="15" t="s">
        <v>26</v>
      </c>
      <c r="F305" s="16" t="s">
        <v>26</v>
      </c>
      <c r="G305" s="16" t="s">
        <v>26</v>
      </c>
      <c r="H305" s="15">
        <v>4170</v>
      </c>
      <c r="I305" s="70">
        <v>0</v>
      </c>
      <c r="J305" s="73" t="s">
        <v>807</v>
      </c>
      <c r="K305" s="54" t="s">
        <v>731</v>
      </c>
      <c r="L305" s="71" t="s">
        <v>846</v>
      </c>
      <c r="M305" s="71" t="s">
        <v>843</v>
      </c>
      <c r="N305" s="75">
        <v>315</v>
      </c>
      <c r="O305" s="76">
        <v>315</v>
      </c>
      <c r="P305" s="76">
        <v>315</v>
      </c>
      <c r="Q305" s="76">
        <v>315</v>
      </c>
      <c r="R305" s="45">
        <v>315</v>
      </c>
      <c r="S305" s="15" t="s">
        <v>50</v>
      </c>
      <c r="T305" s="15" t="s">
        <v>26</v>
      </c>
      <c r="U305" s="15" t="s">
        <v>26</v>
      </c>
      <c r="V305" s="15" t="s">
        <v>26</v>
      </c>
      <c r="W305" s="15"/>
      <c r="X305" s="49">
        <v>4170</v>
      </c>
      <c r="Y305" s="50" t="s">
        <v>831</v>
      </c>
      <c r="Z305" s="51" t="s">
        <v>845</v>
      </c>
    </row>
    <row r="306" spans="1:26" s="56" customFormat="1" ht="14.4" x14ac:dyDescent="0.3">
      <c r="A306" s="15">
        <v>27</v>
      </c>
      <c r="B306" s="15" t="s">
        <v>729</v>
      </c>
      <c r="C306" s="15" t="s">
        <v>26</v>
      </c>
      <c r="D306" s="15" t="s">
        <v>26</v>
      </c>
      <c r="E306" s="15" t="s">
        <v>26</v>
      </c>
      <c r="F306" s="16" t="s">
        <v>26</v>
      </c>
      <c r="G306" s="16" t="s">
        <v>26</v>
      </c>
      <c r="H306" s="15">
        <v>4000</v>
      </c>
      <c r="I306" s="70">
        <v>0</v>
      </c>
      <c r="J306" s="73" t="s">
        <v>743</v>
      </c>
      <c r="K306" s="54" t="s">
        <v>731</v>
      </c>
      <c r="L306" s="71" t="s">
        <v>842</v>
      </c>
      <c r="M306" s="71" t="s">
        <v>843</v>
      </c>
      <c r="N306" s="75">
        <v>27</v>
      </c>
      <c r="O306" s="76">
        <v>0</v>
      </c>
      <c r="P306" s="76">
        <v>0</v>
      </c>
      <c r="Q306" s="76">
        <v>0</v>
      </c>
      <c r="R306" s="45">
        <v>0</v>
      </c>
      <c r="S306" s="15" t="s">
        <v>50</v>
      </c>
      <c r="T306" s="15" t="s">
        <v>26</v>
      </c>
      <c r="U306" s="15" t="s">
        <v>26</v>
      </c>
      <c r="V306" s="15" t="s">
        <v>26</v>
      </c>
      <c r="W306" s="15"/>
      <c r="X306" s="77">
        <v>4210</v>
      </c>
      <c r="Y306" s="50" t="s">
        <v>831</v>
      </c>
      <c r="Z306" s="51" t="s">
        <v>845</v>
      </c>
    </row>
    <row r="307" spans="1:26" s="56" customFormat="1" ht="14.4" x14ac:dyDescent="0.3">
      <c r="A307" s="15">
        <v>27</v>
      </c>
      <c r="B307" s="15" t="s">
        <v>729</v>
      </c>
      <c r="C307" s="15" t="s">
        <v>26</v>
      </c>
      <c r="D307" s="15" t="s">
        <v>26</v>
      </c>
      <c r="E307" s="15" t="s">
        <v>26</v>
      </c>
      <c r="F307" s="16" t="s">
        <v>26</v>
      </c>
      <c r="G307" s="16" t="s">
        <v>26</v>
      </c>
      <c r="H307" s="15">
        <v>4710</v>
      </c>
      <c r="I307" s="70">
        <v>0</v>
      </c>
      <c r="J307" s="73" t="s">
        <v>743</v>
      </c>
      <c r="K307" s="54" t="s">
        <v>731</v>
      </c>
      <c r="L307" s="71" t="s">
        <v>946</v>
      </c>
      <c r="M307" s="71" t="s">
        <v>843</v>
      </c>
      <c r="N307" s="75">
        <v>6</v>
      </c>
      <c r="O307" s="76">
        <v>6</v>
      </c>
      <c r="P307" s="76">
        <v>6</v>
      </c>
      <c r="Q307" s="76">
        <v>6</v>
      </c>
      <c r="R307" s="45">
        <v>6</v>
      </c>
      <c r="S307" s="15" t="s">
        <v>50</v>
      </c>
      <c r="T307" s="15" t="s">
        <v>26</v>
      </c>
      <c r="U307" s="15" t="s">
        <v>26</v>
      </c>
      <c r="V307" s="15" t="s">
        <v>26</v>
      </c>
      <c r="W307" s="21"/>
      <c r="X307" s="77">
        <v>4710</v>
      </c>
      <c r="Y307" s="50" t="s">
        <v>831</v>
      </c>
      <c r="Z307" s="51" t="s">
        <v>845</v>
      </c>
    </row>
    <row r="308" spans="1:26" s="56" customFormat="1" ht="14.4" x14ac:dyDescent="0.3">
      <c r="A308" s="15">
        <v>27</v>
      </c>
      <c r="B308" s="15" t="s">
        <v>729</v>
      </c>
      <c r="C308" s="15" t="s">
        <v>26</v>
      </c>
      <c r="D308" s="15" t="s">
        <v>26</v>
      </c>
      <c r="E308" s="15" t="s">
        <v>26</v>
      </c>
      <c r="F308" s="16" t="s">
        <v>26</v>
      </c>
      <c r="G308" s="16" t="s">
        <v>26</v>
      </c>
      <c r="H308" s="15">
        <v>6230</v>
      </c>
      <c r="I308" s="70">
        <v>0</v>
      </c>
      <c r="J308" s="40" t="s">
        <v>730</v>
      </c>
      <c r="K308" s="16" t="s">
        <v>580</v>
      </c>
      <c r="L308" s="15" t="s">
        <v>947</v>
      </c>
      <c r="M308" s="71" t="s">
        <v>948</v>
      </c>
      <c r="N308" s="72">
        <v>322</v>
      </c>
      <c r="O308" s="72">
        <v>67</v>
      </c>
      <c r="P308" s="72">
        <v>356</v>
      </c>
      <c r="Q308" s="72">
        <v>75</v>
      </c>
      <c r="R308" s="72">
        <v>0</v>
      </c>
      <c r="S308" s="21" t="s">
        <v>939</v>
      </c>
      <c r="T308" s="15" t="s">
        <v>26</v>
      </c>
      <c r="U308" s="21" t="s">
        <v>940</v>
      </c>
      <c r="V308" s="21" t="s">
        <v>747</v>
      </c>
      <c r="W308" s="16" t="s">
        <v>747</v>
      </c>
      <c r="X308" s="49">
        <v>6230</v>
      </c>
      <c r="Y308" s="50" t="s">
        <v>755</v>
      </c>
      <c r="Z308" s="51" t="s">
        <v>845</v>
      </c>
    </row>
    <row r="309" spans="1:26" s="56" customFormat="1" ht="14.4" x14ac:dyDescent="0.3">
      <c r="A309" s="15">
        <v>27</v>
      </c>
      <c r="B309" s="15" t="s">
        <v>729</v>
      </c>
      <c r="C309" s="15" t="s">
        <v>26</v>
      </c>
      <c r="D309" s="15" t="s">
        <v>26</v>
      </c>
      <c r="E309" s="15" t="s">
        <v>26</v>
      </c>
      <c r="F309" s="16" t="s">
        <v>26</v>
      </c>
      <c r="G309" s="16" t="s">
        <v>26</v>
      </c>
      <c r="H309" s="15">
        <v>4000</v>
      </c>
      <c r="I309" s="70">
        <v>0</v>
      </c>
      <c r="J309" s="73" t="s">
        <v>743</v>
      </c>
      <c r="K309" s="54" t="s">
        <v>731</v>
      </c>
      <c r="L309" s="71" t="s">
        <v>949</v>
      </c>
      <c r="M309" s="71" t="s">
        <v>950</v>
      </c>
      <c r="N309" s="75">
        <v>50</v>
      </c>
      <c r="O309" s="76">
        <v>0</v>
      </c>
      <c r="P309" s="76">
        <v>0</v>
      </c>
      <c r="Q309" s="76">
        <v>0</v>
      </c>
      <c r="R309" s="45">
        <v>0</v>
      </c>
      <c r="S309" s="15" t="s">
        <v>951</v>
      </c>
      <c r="T309" s="15" t="s">
        <v>26</v>
      </c>
      <c r="U309" s="15" t="s">
        <v>26</v>
      </c>
      <c r="V309" s="16" t="s">
        <v>26</v>
      </c>
      <c r="W309" s="15"/>
      <c r="X309" s="49">
        <v>4300</v>
      </c>
      <c r="Y309" s="50" t="s">
        <v>738</v>
      </c>
      <c r="Z309" s="51" t="s">
        <v>845</v>
      </c>
    </row>
    <row r="310" spans="1:26" s="56" customFormat="1" ht="14.4" x14ac:dyDescent="0.3">
      <c r="A310" s="15">
        <v>27</v>
      </c>
      <c r="B310" s="15" t="s">
        <v>729</v>
      </c>
      <c r="C310" s="15" t="s">
        <v>26</v>
      </c>
      <c r="D310" s="15" t="s">
        <v>26</v>
      </c>
      <c r="E310" s="15" t="s">
        <v>26</v>
      </c>
      <c r="F310" s="16" t="s">
        <v>26</v>
      </c>
      <c r="G310" s="16" t="s">
        <v>26</v>
      </c>
      <c r="H310" s="15">
        <v>4020</v>
      </c>
      <c r="I310" s="70">
        <v>0</v>
      </c>
      <c r="J310" s="73" t="s">
        <v>743</v>
      </c>
      <c r="K310" s="54" t="s">
        <v>731</v>
      </c>
      <c r="L310" s="71" t="s">
        <v>952</v>
      </c>
      <c r="M310" s="71" t="s">
        <v>953</v>
      </c>
      <c r="N310" s="47">
        <v>0</v>
      </c>
      <c r="O310" s="47">
        <v>0</v>
      </c>
      <c r="P310" s="47">
        <v>0</v>
      </c>
      <c r="Q310" s="47">
        <v>0</v>
      </c>
      <c r="R310" s="47">
        <v>0</v>
      </c>
      <c r="S310" s="15" t="s">
        <v>26</v>
      </c>
      <c r="T310" s="15" t="s">
        <v>26</v>
      </c>
      <c r="U310" s="15" t="s">
        <v>26</v>
      </c>
      <c r="V310" s="16" t="s">
        <v>26</v>
      </c>
      <c r="W310" s="15"/>
      <c r="X310" s="49">
        <v>4020</v>
      </c>
      <c r="Y310" s="50" t="s">
        <v>954</v>
      </c>
      <c r="Z310" s="51" t="s">
        <v>845</v>
      </c>
    </row>
    <row r="311" spans="1:26" s="56" customFormat="1" ht="14.4" x14ac:dyDescent="0.3">
      <c r="A311" s="15">
        <v>27</v>
      </c>
      <c r="B311" s="15" t="s">
        <v>729</v>
      </c>
      <c r="C311" s="15" t="s">
        <v>26</v>
      </c>
      <c r="D311" s="15" t="s">
        <v>26</v>
      </c>
      <c r="E311" s="15" t="s">
        <v>26</v>
      </c>
      <c r="F311" s="16" t="s">
        <v>26</v>
      </c>
      <c r="G311" s="16" t="s">
        <v>26</v>
      </c>
      <c r="H311" s="15">
        <v>4040</v>
      </c>
      <c r="I311" s="70">
        <v>0</v>
      </c>
      <c r="J311" s="73" t="s">
        <v>743</v>
      </c>
      <c r="K311" s="54" t="s">
        <v>731</v>
      </c>
      <c r="L311" s="71" t="s">
        <v>955</v>
      </c>
      <c r="M311" s="71" t="s">
        <v>956</v>
      </c>
      <c r="N311" s="47">
        <v>0</v>
      </c>
      <c r="O311" s="47">
        <v>0</v>
      </c>
      <c r="P311" s="47">
        <v>0</v>
      </c>
      <c r="Q311" s="47">
        <v>0</v>
      </c>
      <c r="R311" s="47">
        <v>0</v>
      </c>
      <c r="S311" s="15" t="s">
        <v>26</v>
      </c>
      <c r="T311" s="15" t="s">
        <v>26</v>
      </c>
      <c r="U311" s="15" t="s">
        <v>26</v>
      </c>
      <c r="V311" s="16" t="s">
        <v>26</v>
      </c>
      <c r="W311" s="15"/>
      <c r="X311" s="49">
        <v>4040</v>
      </c>
      <c r="Y311" s="50" t="s">
        <v>954</v>
      </c>
      <c r="Z311" s="51" t="s">
        <v>845</v>
      </c>
    </row>
    <row r="312" spans="1:26" s="56" customFormat="1" ht="14.4" x14ac:dyDescent="0.3">
      <c r="A312" s="15">
        <v>27</v>
      </c>
      <c r="B312" s="15" t="s">
        <v>729</v>
      </c>
      <c r="C312" s="15" t="s">
        <v>26</v>
      </c>
      <c r="D312" s="15" t="s">
        <v>26</v>
      </c>
      <c r="E312" s="15" t="s">
        <v>26</v>
      </c>
      <c r="F312" s="16" t="s">
        <v>26</v>
      </c>
      <c r="G312" s="16" t="s">
        <v>26</v>
      </c>
      <c r="H312" s="15">
        <v>4110</v>
      </c>
      <c r="I312" s="70">
        <v>0</v>
      </c>
      <c r="J312" s="40" t="s">
        <v>743</v>
      </c>
      <c r="K312" s="54" t="s">
        <v>731</v>
      </c>
      <c r="L312" s="71" t="s">
        <v>957</v>
      </c>
      <c r="M312" s="71" t="s">
        <v>958</v>
      </c>
      <c r="N312" s="47">
        <v>0</v>
      </c>
      <c r="O312" s="47">
        <v>0</v>
      </c>
      <c r="P312" s="47">
        <v>0</v>
      </c>
      <c r="Q312" s="47">
        <v>0</v>
      </c>
      <c r="R312" s="47">
        <v>0</v>
      </c>
      <c r="S312" s="15" t="s">
        <v>26</v>
      </c>
      <c r="T312" s="15" t="s">
        <v>26</v>
      </c>
      <c r="U312" s="15" t="s">
        <v>26</v>
      </c>
      <c r="V312" s="16" t="s">
        <v>26</v>
      </c>
      <c r="W312" s="15"/>
      <c r="X312" s="49">
        <v>4110</v>
      </c>
      <c r="Y312" s="50" t="s">
        <v>954</v>
      </c>
      <c r="Z312" s="51" t="s">
        <v>845</v>
      </c>
    </row>
    <row r="313" spans="1:26" s="56" customFormat="1" ht="14.4" x14ac:dyDescent="0.3">
      <c r="A313" s="15">
        <v>27</v>
      </c>
      <c r="B313" s="15" t="s">
        <v>729</v>
      </c>
      <c r="C313" s="15" t="s">
        <v>26</v>
      </c>
      <c r="D313" s="15" t="s">
        <v>26</v>
      </c>
      <c r="E313" s="15" t="s">
        <v>26</v>
      </c>
      <c r="F313" s="16" t="s">
        <v>26</v>
      </c>
      <c r="G313" s="16" t="s">
        <v>26</v>
      </c>
      <c r="H313" s="15">
        <v>4120</v>
      </c>
      <c r="I313" s="70">
        <v>0</v>
      </c>
      <c r="J313" s="40" t="s">
        <v>743</v>
      </c>
      <c r="K313" s="54" t="s">
        <v>731</v>
      </c>
      <c r="L313" s="71" t="s">
        <v>959</v>
      </c>
      <c r="M313" s="71" t="s">
        <v>960</v>
      </c>
      <c r="N313" s="47">
        <v>0</v>
      </c>
      <c r="O313" s="47">
        <v>0</v>
      </c>
      <c r="P313" s="47">
        <v>0</v>
      </c>
      <c r="Q313" s="47">
        <v>0</v>
      </c>
      <c r="R313" s="47">
        <v>0</v>
      </c>
      <c r="S313" s="15" t="s">
        <v>26</v>
      </c>
      <c r="T313" s="15" t="s">
        <v>26</v>
      </c>
      <c r="U313" s="15" t="s">
        <v>26</v>
      </c>
      <c r="V313" s="16" t="s">
        <v>26</v>
      </c>
      <c r="W313" s="15"/>
      <c r="X313" s="49">
        <v>4120</v>
      </c>
      <c r="Y313" s="50" t="s">
        <v>954</v>
      </c>
      <c r="Z313" s="51" t="s">
        <v>845</v>
      </c>
    </row>
    <row r="314" spans="1:26" s="56" customFormat="1" ht="14.4" x14ac:dyDescent="0.3">
      <c r="A314" s="15">
        <v>27</v>
      </c>
      <c r="B314" s="15" t="s">
        <v>729</v>
      </c>
      <c r="C314" s="15" t="s">
        <v>26</v>
      </c>
      <c r="D314" s="15" t="s">
        <v>26</v>
      </c>
      <c r="E314" s="15" t="s">
        <v>26</v>
      </c>
      <c r="F314" s="16" t="s">
        <v>26</v>
      </c>
      <c r="G314" s="16" t="s">
        <v>26</v>
      </c>
      <c r="H314" s="15">
        <v>4120</v>
      </c>
      <c r="I314" s="70">
        <v>0</v>
      </c>
      <c r="J314" s="40" t="s">
        <v>743</v>
      </c>
      <c r="K314" s="54" t="s">
        <v>731</v>
      </c>
      <c r="L314" s="71" t="s">
        <v>961</v>
      </c>
      <c r="M314" s="71" t="s">
        <v>962</v>
      </c>
      <c r="N314" s="47">
        <v>0</v>
      </c>
      <c r="O314" s="47">
        <v>0</v>
      </c>
      <c r="P314" s="47">
        <v>0</v>
      </c>
      <c r="Q314" s="47">
        <v>0</v>
      </c>
      <c r="R314" s="47">
        <v>0</v>
      </c>
      <c r="S314" s="15" t="s">
        <v>26</v>
      </c>
      <c r="T314" s="15" t="s">
        <v>26</v>
      </c>
      <c r="U314" s="15" t="s">
        <v>26</v>
      </c>
      <c r="V314" s="16" t="s">
        <v>26</v>
      </c>
      <c r="W314" s="15"/>
      <c r="X314" s="49">
        <v>4120</v>
      </c>
      <c r="Y314" s="50" t="s">
        <v>954</v>
      </c>
      <c r="Z314" s="51" t="s">
        <v>845</v>
      </c>
    </row>
    <row r="315" spans="1:26" s="56" customFormat="1" ht="14.4" x14ac:dyDescent="0.3">
      <c r="A315" s="15">
        <v>27</v>
      </c>
      <c r="B315" s="15" t="s">
        <v>729</v>
      </c>
      <c r="C315" s="15" t="s">
        <v>26</v>
      </c>
      <c r="D315" s="15" t="s">
        <v>26</v>
      </c>
      <c r="E315" s="15" t="s">
        <v>26</v>
      </c>
      <c r="F315" s="16" t="s">
        <v>26</v>
      </c>
      <c r="G315" s="16" t="s">
        <v>26</v>
      </c>
      <c r="H315" s="15">
        <v>4710</v>
      </c>
      <c r="I315" s="70">
        <v>0</v>
      </c>
      <c r="J315" s="40" t="s">
        <v>743</v>
      </c>
      <c r="K315" s="54" t="s">
        <v>731</v>
      </c>
      <c r="L315" s="71" t="s">
        <v>963</v>
      </c>
      <c r="M315" s="71" t="s">
        <v>964</v>
      </c>
      <c r="N315" s="47">
        <v>0</v>
      </c>
      <c r="O315" s="47">
        <v>0</v>
      </c>
      <c r="P315" s="47">
        <v>0</v>
      </c>
      <c r="Q315" s="47">
        <v>0</v>
      </c>
      <c r="R315" s="47">
        <v>0</v>
      </c>
      <c r="S315" s="15" t="s">
        <v>26</v>
      </c>
      <c r="T315" s="15" t="s">
        <v>26</v>
      </c>
      <c r="U315" s="15" t="s">
        <v>26</v>
      </c>
      <c r="V315" s="16" t="s">
        <v>26</v>
      </c>
      <c r="W315" s="15"/>
      <c r="X315" s="49">
        <v>4710</v>
      </c>
      <c r="Y315" s="50" t="s">
        <v>954</v>
      </c>
      <c r="Z315" s="51" t="s">
        <v>845</v>
      </c>
    </row>
    <row r="316" spans="1:26" s="56" customFormat="1" ht="14.4" x14ac:dyDescent="0.3">
      <c r="A316" s="15">
        <v>27</v>
      </c>
      <c r="B316" s="15" t="s">
        <v>729</v>
      </c>
      <c r="C316" s="15" t="s">
        <v>26</v>
      </c>
      <c r="D316" s="15" t="s">
        <v>26</v>
      </c>
      <c r="E316" s="15" t="s">
        <v>26</v>
      </c>
      <c r="F316" s="16" t="s">
        <v>26</v>
      </c>
      <c r="G316" s="16" t="s">
        <v>26</v>
      </c>
      <c r="H316" s="15">
        <v>4000</v>
      </c>
      <c r="I316" s="70">
        <v>0</v>
      </c>
      <c r="J316" s="40" t="s">
        <v>743</v>
      </c>
      <c r="K316" s="54" t="s">
        <v>731</v>
      </c>
      <c r="L316" s="71" t="s">
        <v>965</v>
      </c>
      <c r="M316" s="71" t="s">
        <v>966</v>
      </c>
      <c r="N316" s="47">
        <v>0</v>
      </c>
      <c r="O316" s="47">
        <v>0</v>
      </c>
      <c r="P316" s="47">
        <v>0</v>
      </c>
      <c r="Q316" s="47">
        <v>0</v>
      </c>
      <c r="R316" s="47">
        <v>0</v>
      </c>
      <c r="S316" s="15" t="s">
        <v>26</v>
      </c>
      <c r="T316" s="15" t="s">
        <v>26</v>
      </c>
      <c r="U316" s="15" t="s">
        <v>26</v>
      </c>
      <c r="V316" s="16" t="s">
        <v>26</v>
      </c>
      <c r="W316" s="15"/>
      <c r="X316" s="49">
        <v>4210</v>
      </c>
      <c r="Y316" s="50" t="s">
        <v>954</v>
      </c>
      <c r="Z316" s="51" t="s">
        <v>845</v>
      </c>
    </row>
    <row r="317" spans="1:26" s="56" customFormat="1" ht="14.4" x14ac:dyDescent="0.3">
      <c r="A317" s="15">
        <v>27</v>
      </c>
      <c r="B317" s="15" t="s">
        <v>729</v>
      </c>
      <c r="C317" s="15" t="s">
        <v>26</v>
      </c>
      <c r="D317" s="15" t="s">
        <v>26</v>
      </c>
      <c r="E317" s="15" t="s">
        <v>26</v>
      </c>
      <c r="F317" s="16" t="s">
        <v>26</v>
      </c>
      <c r="G317" s="16" t="s">
        <v>26</v>
      </c>
      <c r="H317" s="15">
        <v>2580</v>
      </c>
      <c r="I317" s="70">
        <v>0</v>
      </c>
      <c r="J317" s="40" t="s">
        <v>762</v>
      </c>
      <c r="K317" s="16" t="s">
        <v>580</v>
      </c>
      <c r="L317" s="16" t="s">
        <v>967</v>
      </c>
      <c r="M317" s="71" t="s">
        <v>968</v>
      </c>
      <c r="N317" s="41">
        <v>0</v>
      </c>
      <c r="O317" s="41">
        <v>0</v>
      </c>
      <c r="P317" s="41">
        <v>0</v>
      </c>
      <c r="Q317" s="41">
        <v>0</v>
      </c>
      <c r="R317" s="41">
        <v>0</v>
      </c>
      <c r="S317" s="15" t="s">
        <v>26</v>
      </c>
      <c r="T317" s="15" t="s">
        <v>26</v>
      </c>
      <c r="U317" s="15" t="s">
        <v>26</v>
      </c>
      <c r="V317" s="16" t="s">
        <v>26</v>
      </c>
      <c r="W317" s="15" t="s">
        <v>747</v>
      </c>
      <c r="X317" s="49" t="s">
        <v>969</v>
      </c>
      <c r="Y317" s="50" t="s">
        <v>954</v>
      </c>
      <c r="Z317" s="51" t="s">
        <v>845</v>
      </c>
    </row>
    <row r="318" spans="1:26" s="56" customFormat="1" ht="14.4" x14ac:dyDescent="0.3">
      <c r="A318" s="15">
        <v>27</v>
      </c>
      <c r="B318" s="15" t="s">
        <v>729</v>
      </c>
      <c r="C318" s="15" t="s">
        <v>26</v>
      </c>
      <c r="D318" s="15" t="s">
        <v>26</v>
      </c>
      <c r="E318" s="15" t="s">
        <v>26</v>
      </c>
      <c r="F318" s="16" t="s">
        <v>26</v>
      </c>
      <c r="G318" s="16" t="s">
        <v>26</v>
      </c>
      <c r="H318" s="15">
        <v>2830</v>
      </c>
      <c r="I318" s="70">
        <v>0</v>
      </c>
      <c r="J318" s="40" t="s">
        <v>762</v>
      </c>
      <c r="K318" s="16" t="s">
        <v>580</v>
      </c>
      <c r="L318" s="16" t="s">
        <v>970</v>
      </c>
      <c r="M318" s="71" t="s">
        <v>971</v>
      </c>
      <c r="N318" s="41">
        <v>0</v>
      </c>
      <c r="O318" s="41">
        <v>0</v>
      </c>
      <c r="P318" s="41">
        <v>0</v>
      </c>
      <c r="Q318" s="41">
        <v>0</v>
      </c>
      <c r="R318" s="41">
        <v>0</v>
      </c>
      <c r="S318" s="15" t="s">
        <v>26</v>
      </c>
      <c r="T318" s="15" t="s">
        <v>26</v>
      </c>
      <c r="U318" s="15" t="s">
        <v>26</v>
      </c>
      <c r="V318" s="16" t="s">
        <v>26</v>
      </c>
      <c r="W318" s="15" t="s">
        <v>747</v>
      </c>
      <c r="X318" s="49" t="s">
        <v>972</v>
      </c>
      <c r="Y318" s="50" t="s">
        <v>954</v>
      </c>
      <c r="Z318" s="51" t="s">
        <v>845</v>
      </c>
    </row>
    <row r="319" spans="1:26" s="56" customFormat="1" ht="14.4" x14ac:dyDescent="0.3">
      <c r="A319" s="15">
        <v>27</v>
      </c>
      <c r="B319" s="15" t="s">
        <v>729</v>
      </c>
      <c r="C319" s="15" t="s">
        <v>26</v>
      </c>
      <c r="D319" s="15" t="s">
        <v>26</v>
      </c>
      <c r="E319" s="15" t="s">
        <v>26</v>
      </c>
      <c r="F319" s="16" t="s">
        <v>26</v>
      </c>
      <c r="G319" s="16" t="s">
        <v>26</v>
      </c>
      <c r="H319" s="15">
        <v>6230</v>
      </c>
      <c r="I319" s="70">
        <v>0</v>
      </c>
      <c r="J319" s="40" t="s">
        <v>762</v>
      </c>
      <c r="K319" s="16" t="s">
        <v>580</v>
      </c>
      <c r="L319" s="15" t="s">
        <v>970</v>
      </c>
      <c r="M319" s="71" t="s">
        <v>971</v>
      </c>
      <c r="N319" s="41">
        <v>0</v>
      </c>
      <c r="O319" s="41">
        <v>0</v>
      </c>
      <c r="P319" s="41">
        <v>0</v>
      </c>
      <c r="Q319" s="41">
        <v>0</v>
      </c>
      <c r="R319" s="41">
        <v>0</v>
      </c>
      <c r="S319" s="15" t="s">
        <v>26</v>
      </c>
      <c r="T319" s="15" t="s">
        <v>26</v>
      </c>
      <c r="U319" s="15" t="s">
        <v>26</v>
      </c>
      <c r="V319" s="16" t="s">
        <v>26</v>
      </c>
      <c r="W319" s="15" t="s">
        <v>747</v>
      </c>
      <c r="X319" s="49" t="s">
        <v>973</v>
      </c>
      <c r="Y319" s="50" t="s">
        <v>755</v>
      </c>
      <c r="Z319" s="51" t="s">
        <v>845</v>
      </c>
    </row>
    <row r="320" spans="1:26" s="56" customFormat="1" ht="14.4" x14ac:dyDescent="0.3">
      <c r="A320" s="15">
        <v>27</v>
      </c>
      <c r="B320" s="15" t="s">
        <v>729</v>
      </c>
      <c r="C320" s="15" t="s">
        <v>26</v>
      </c>
      <c r="D320" s="15" t="s">
        <v>26</v>
      </c>
      <c r="E320" s="15" t="s">
        <v>26</v>
      </c>
      <c r="F320" s="16" t="s">
        <v>26</v>
      </c>
      <c r="G320" s="16" t="s">
        <v>26</v>
      </c>
      <c r="H320" s="15">
        <v>4000</v>
      </c>
      <c r="I320" s="70">
        <v>0</v>
      </c>
      <c r="J320" s="40" t="s">
        <v>743</v>
      </c>
      <c r="K320" s="54" t="s">
        <v>731</v>
      </c>
      <c r="L320" s="16" t="s">
        <v>974</v>
      </c>
      <c r="M320" s="71" t="s">
        <v>975</v>
      </c>
      <c r="N320" s="47">
        <v>0</v>
      </c>
      <c r="O320" s="47">
        <v>0</v>
      </c>
      <c r="P320" s="47">
        <v>0</v>
      </c>
      <c r="Q320" s="47">
        <v>0</v>
      </c>
      <c r="R320" s="47">
        <v>0</v>
      </c>
      <c r="S320" s="15" t="s">
        <v>26</v>
      </c>
      <c r="T320" s="15" t="s">
        <v>26</v>
      </c>
      <c r="U320" s="15" t="s">
        <v>26</v>
      </c>
      <c r="V320" s="16" t="s">
        <v>26</v>
      </c>
      <c r="W320" s="15"/>
      <c r="X320" s="49">
        <v>4390</v>
      </c>
      <c r="Y320" s="50" t="s">
        <v>954</v>
      </c>
      <c r="Z320" s="51" t="s">
        <v>845</v>
      </c>
    </row>
    <row r="321" spans="1:26" s="56" customFormat="1" ht="14.4" x14ac:dyDescent="0.3">
      <c r="A321" s="15">
        <v>27</v>
      </c>
      <c r="B321" s="15" t="s">
        <v>729</v>
      </c>
      <c r="C321" s="15" t="s">
        <v>26</v>
      </c>
      <c r="D321" s="15" t="s">
        <v>26</v>
      </c>
      <c r="E321" s="15" t="s">
        <v>26</v>
      </c>
      <c r="F321" s="16" t="s">
        <v>26</v>
      </c>
      <c r="G321" s="16" t="s">
        <v>26</v>
      </c>
      <c r="H321" s="15">
        <v>4000</v>
      </c>
      <c r="I321" s="70">
        <v>0</v>
      </c>
      <c r="J321" s="40" t="s">
        <v>762</v>
      </c>
      <c r="K321" s="54" t="s">
        <v>731</v>
      </c>
      <c r="L321" s="16" t="s">
        <v>976</v>
      </c>
      <c r="M321" s="71" t="s">
        <v>977</v>
      </c>
      <c r="N321" s="47">
        <v>0</v>
      </c>
      <c r="O321" s="47">
        <v>0</v>
      </c>
      <c r="P321" s="47">
        <v>0</v>
      </c>
      <c r="Q321" s="47">
        <v>0</v>
      </c>
      <c r="R321" s="47">
        <v>0</v>
      </c>
      <c r="S321" s="15" t="s">
        <v>26</v>
      </c>
      <c r="T321" s="15" t="s">
        <v>26</v>
      </c>
      <c r="U321" s="15" t="s">
        <v>26</v>
      </c>
      <c r="V321" s="16" t="s">
        <v>26</v>
      </c>
      <c r="W321" s="15"/>
      <c r="X321" s="49">
        <v>4000</v>
      </c>
      <c r="Y321" s="50" t="s">
        <v>954</v>
      </c>
      <c r="Z321" s="51" t="s">
        <v>845</v>
      </c>
    </row>
    <row r="322" spans="1:26" s="56" customFormat="1" ht="16.5" customHeight="1" x14ac:dyDescent="0.3">
      <c r="A322" s="15">
        <v>27</v>
      </c>
      <c r="B322" s="15" t="s">
        <v>729</v>
      </c>
      <c r="C322" s="15" t="s">
        <v>26</v>
      </c>
      <c r="D322" s="15" t="s">
        <v>26</v>
      </c>
      <c r="E322" s="15" t="s">
        <v>26</v>
      </c>
      <c r="F322" s="16" t="s">
        <v>26</v>
      </c>
      <c r="G322" s="16" t="s">
        <v>26</v>
      </c>
      <c r="H322" s="15">
        <v>4020</v>
      </c>
      <c r="I322" s="70">
        <v>0</v>
      </c>
      <c r="J322" s="40" t="s">
        <v>743</v>
      </c>
      <c r="K322" s="54" t="s">
        <v>731</v>
      </c>
      <c r="L322" s="16" t="s">
        <v>978</v>
      </c>
      <c r="M322" s="71" t="s">
        <v>979</v>
      </c>
      <c r="N322" s="47">
        <v>0</v>
      </c>
      <c r="O322" s="47">
        <v>0</v>
      </c>
      <c r="P322" s="47">
        <v>0</v>
      </c>
      <c r="Q322" s="47">
        <v>0</v>
      </c>
      <c r="R322" s="47">
        <v>0</v>
      </c>
      <c r="S322" s="15" t="s">
        <v>26</v>
      </c>
      <c r="T322" s="15" t="s">
        <v>26</v>
      </c>
      <c r="U322" s="15" t="s">
        <v>26</v>
      </c>
      <c r="V322" s="16" t="s">
        <v>26</v>
      </c>
      <c r="W322" s="15"/>
      <c r="X322" s="49">
        <v>4020</v>
      </c>
      <c r="Y322" s="50" t="s">
        <v>954</v>
      </c>
      <c r="Z322" s="51" t="s">
        <v>845</v>
      </c>
    </row>
    <row r="323" spans="1:26" s="56" customFormat="1" ht="14.4" x14ac:dyDescent="0.3">
      <c r="A323" s="15">
        <v>27</v>
      </c>
      <c r="B323" s="15" t="s">
        <v>729</v>
      </c>
      <c r="C323" s="15" t="s">
        <v>26</v>
      </c>
      <c r="D323" s="15" t="s">
        <v>26</v>
      </c>
      <c r="E323" s="15" t="s">
        <v>26</v>
      </c>
      <c r="F323" s="16" t="s">
        <v>26</v>
      </c>
      <c r="G323" s="16" t="s">
        <v>26</v>
      </c>
      <c r="H323" s="15">
        <v>4040</v>
      </c>
      <c r="I323" s="70">
        <v>0</v>
      </c>
      <c r="J323" s="40" t="s">
        <v>743</v>
      </c>
      <c r="K323" s="54" t="s">
        <v>731</v>
      </c>
      <c r="L323" s="16" t="s">
        <v>980</v>
      </c>
      <c r="M323" s="71" t="s">
        <v>981</v>
      </c>
      <c r="N323" s="47">
        <v>0</v>
      </c>
      <c r="O323" s="47">
        <v>0</v>
      </c>
      <c r="P323" s="47">
        <v>0</v>
      </c>
      <c r="Q323" s="47">
        <v>0</v>
      </c>
      <c r="R323" s="47">
        <v>0</v>
      </c>
      <c r="S323" s="15" t="s">
        <v>26</v>
      </c>
      <c r="T323" s="15" t="s">
        <v>26</v>
      </c>
      <c r="U323" s="15" t="s">
        <v>26</v>
      </c>
      <c r="V323" s="16" t="s">
        <v>26</v>
      </c>
      <c r="W323" s="15"/>
      <c r="X323" s="49">
        <v>4040</v>
      </c>
      <c r="Y323" s="50" t="s">
        <v>954</v>
      </c>
      <c r="Z323" s="51" t="s">
        <v>845</v>
      </c>
    </row>
    <row r="324" spans="1:26" s="56" customFormat="1" ht="14.4" x14ac:dyDescent="0.3">
      <c r="A324" s="15">
        <v>27</v>
      </c>
      <c r="B324" s="15" t="s">
        <v>729</v>
      </c>
      <c r="C324" s="15" t="s">
        <v>26</v>
      </c>
      <c r="D324" s="15" t="s">
        <v>26</v>
      </c>
      <c r="E324" s="15" t="s">
        <v>26</v>
      </c>
      <c r="F324" s="16" t="s">
        <v>26</v>
      </c>
      <c r="G324" s="16" t="s">
        <v>26</v>
      </c>
      <c r="H324" s="15">
        <v>4110</v>
      </c>
      <c r="I324" s="70">
        <v>0</v>
      </c>
      <c r="J324" s="40" t="s">
        <v>743</v>
      </c>
      <c r="K324" s="54" t="s">
        <v>731</v>
      </c>
      <c r="L324" s="16" t="s">
        <v>982</v>
      </c>
      <c r="M324" s="71" t="s">
        <v>983</v>
      </c>
      <c r="N324" s="47">
        <v>0</v>
      </c>
      <c r="O324" s="47">
        <v>0</v>
      </c>
      <c r="P324" s="47">
        <v>0</v>
      </c>
      <c r="Q324" s="47">
        <v>0</v>
      </c>
      <c r="R324" s="47">
        <v>0</v>
      </c>
      <c r="S324" s="15" t="s">
        <v>26</v>
      </c>
      <c r="T324" s="15" t="s">
        <v>26</v>
      </c>
      <c r="U324" s="15" t="s">
        <v>26</v>
      </c>
      <c r="V324" s="16" t="s">
        <v>26</v>
      </c>
      <c r="W324" s="15"/>
      <c r="X324" s="49">
        <v>4110</v>
      </c>
      <c r="Y324" s="50" t="s">
        <v>954</v>
      </c>
      <c r="Z324" s="51" t="s">
        <v>845</v>
      </c>
    </row>
    <row r="325" spans="1:26" s="56" customFormat="1" ht="14.4" x14ac:dyDescent="0.3">
      <c r="A325" s="15">
        <v>27</v>
      </c>
      <c r="B325" s="15" t="s">
        <v>729</v>
      </c>
      <c r="C325" s="15" t="s">
        <v>26</v>
      </c>
      <c r="D325" s="15" t="s">
        <v>26</v>
      </c>
      <c r="E325" s="15" t="s">
        <v>26</v>
      </c>
      <c r="F325" s="16" t="s">
        <v>26</v>
      </c>
      <c r="G325" s="16" t="s">
        <v>26</v>
      </c>
      <c r="H325" s="15">
        <v>4120</v>
      </c>
      <c r="I325" s="70">
        <v>0</v>
      </c>
      <c r="J325" s="40" t="s">
        <v>743</v>
      </c>
      <c r="K325" s="54" t="s">
        <v>731</v>
      </c>
      <c r="L325" s="16" t="s">
        <v>984</v>
      </c>
      <c r="M325" s="71" t="s">
        <v>985</v>
      </c>
      <c r="N325" s="47">
        <v>0</v>
      </c>
      <c r="O325" s="47">
        <v>0</v>
      </c>
      <c r="P325" s="47">
        <v>0</v>
      </c>
      <c r="Q325" s="47">
        <v>0</v>
      </c>
      <c r="R325" s="47">
        <v>0</v>
      </c>
      <c r="S325" s="15" t="s">
        <v>26</v>
      </c>
      <c r="T325" s="15" t="s">
        <v>26</v>
      </c>
      <c r="U325" s="15" t="s">
        <v>26</v>
      </c>
      <c r="V325" s="16" t="s">
        <v>26</v>
      </c>
      <c r="W325" s="15"/>
      <c r="X325" s="49">
        <v>4120</v>
      </c>
      <c r="Y325" s="50" t="s">
        <v>954</v>
      </c>
      <c r="Z325" s="51" t="s">
        <v>845</v>
      </c>
    </row>
    <row r="326" spans="1:26" s="56" customFormat="1" ht="14.4" x14ac:dyDescent="0.3">
      <c r="A326" s="15">
        <v>27</v>
      </c>
      <c r="B326" s="15" t="s">
        <v>729</v>
      </c>
      <c r="C326" s="15" t="s">
        <v>26</v>
      </c>
      <c r="D326" s="15" t="s">
        <v>26</v>
      </c>
      <c r="E326" s="15" t="s">
        <v>26</v>
      </c>
      <c r="F326" s="16" t="s">
        <v>26</v>
      </c>
      <c r="G326" s="16" t="s">
        <v>26</v>
      </c>
      <c r="H326" s="15">
        <v>4120</v>
      </c>
      <c r="I326" s="70">
        <v>0</v>
      </c>
      <c r="J326" s="40" t="s">
        <v>743</v>
      </c>
      <c r="K326" s="54" t="s">
        <v>731</v>
      </c>
      <c r="L326" s="16" t="s">
        <v>986</v>
      </c>
      <c r="M326" s="71" t="s">
        <v>987</v>
      </c>
      <c r="N326" s="47">
        <v>0</v>
      </c>
      <c r="O326" s="47">
        <v>0</v>
      </c>
      <c r="P326" s="47">
        <v>0</v>
      </c>
      <c r="Q326" s="47">
        <v>0</v>
      </c>
      <c r="R326" s="47">
        <v>0</v>
      </c>
      <c r="S326" s="15" t="s">
        <v>26</v>
      </c>
      <c r="T326" s="15" t="s">
        <v>26</v>
      </c>
      <c r="U326" s="15" t="s">
        <v>26</v>
      </c>
      <c r="V326" s="16" t="s">
        <v>26</v>
      </c>
      <c r="W326" s="15"/>
      <c r="X326" s="49">
        <v>4120</v>
      </c>
      <c r="Y326" s="50" t="s">
        <v>954</v>
      </c>
      <c r="Z326" s="51" t="s">
        <v>845</v>
      </c>
    </row>
    <row r="327" spans="1:26" s="56" customFormat="1" ht="14.4" x14ac:dyDescent="0.3">
      <c r="A327" s="15">
        <v>27</v>
      </c>
      <c r="B327" s="15" t="s">
        <v>729</v>
      </c>
      <c r="C327" s="15" t="s">
        <v>26</v>
      </c>
      <c r="D327" s="15" t="s">
        <v>26</v>
      </c>
      <c r="E327" s="15" t="s">
        <v>26</v>
      </c>
      <c r="F327" s="16" t="s">
        <v>26</v>
      </c>
      <c r="G327" s="16" t="s">
        <v>26</v>
      </c>
      <c r="H327" s="15">
        <v>4710</v>
      </c>
      <c r="I327" s="70">
        <v>0</v>
      </c>
      <c r="J327" s="40" t="s">
        <v>743</v>
      </c>
      <c r="K327" s="54" t="s">
        <v>731</v>
      </c>
      <c r="L327" s="16" t="s">
        <v>988</v>
      </c>
      <c r="M327" s="71" t="s">
        <v>989</v>
      </c>
      <c r="N327" s="47">
        <v>0</v>
      </c>
      <c r="O327" s="47">
        <v>0</v>
      </c>
      <c r="P327" s="47">
        <v>0</v>
      </c>
      <c r="Q327" s="47">
        <v>0</v>
      </c>
      <c r="R327" s="47">
        <v>0</v>
      </c>
      <c r="S327" s="15" t="s">
        <v>26</v>
      </c>
      <c r="T327" s="15" t="s">
        <v>26</v>
      </c>
      <c r="U327" s="15" t="s">
        <v>26</v>
      </c>
      <c r="V327" s="16" t="s">
        <v>26</v>
      </c>
      <c r="W327" s="47"/>
      <c r="X327" s="49">
        <v>4710</v>
      </c>
      <c r="Y327" s="50" t="s">
        <v>954</v>
      </c>
      <c r="Z327" s="51" t="s">
        <v>845</v>
      </c>
    </row>
    <row r="328" spans="1:26" s="56" customFormat="1" ht="14.4" x14ac:dyDescent="0.3">
      <c r="A328" s="15">
        <v>27</v>
      </c>
      <c r="B328" s="15" t="s">
        <v>729</v>
      </c>
      <c r="C328" s="15" t="s">
        <v>26</v>
      </c>
      <c r="D328" s="15" t="s">
        <v>26</v>
      </c>
      <c r="E328" s="15" t="s">
        <v>26</v>
      </c>
      <c r="F328" s="16" t="s">
        <v>26</v>
      </c>
      <c r="G328" s="16" t="s">
        <v>26</v>
      </c>
      <c r="H328" s="15">
        <v>4000</v>
      </c>
      <c r="I328" s="70">
        <v>0</v>
      </c>
      <c r="J328" s="40" t="s">
        <v>743</v>
      </c>
      <c r="K328" s="54" t="s">
        <v>731</v>
      </c>
      <c r="L328" s="16" t="s">
        <v>990</v>
      </c>
      <c r="M328" s="71" t="s">
        <v>991</v>
      </c>
      <c r="N328" s="47">
        <v>0</v>
      </c>
      <c r="O328" s="47">
        <v>0</v>
      </c>
      <c r="P328" s="47">
        <v>0</v>
      </c>
      <c r="Q328" s="47">
        <v>0</v>
      </c>
      <c r="R328" s="47">
        <v>0</v>
      </c>
      <c r="S328" s="15" t="s">
        <v>26</v>
      </c>
      <c r="T328" s="15" t="s">
        <v>26</v>
      </c>
      <c r="U328" s="15" t="s">
        <v>26</v>
      </c>
      <c r="V328" s="16" t="s">
        <v>26</v>
      </c>
      <c r="W328" s="47"/>
      <c r="X328" s="49">
        <v>4210</v>
      </c>
      <c r="Y328" s="50" t="s">
        <v>954</v>
      </c>
      <c r="Z328" s="51" t="s">
        <v>845</v>
      </c>
    </row>
    <row r="329" spans="1:26" s="56" customFormat="1" ht="14.4" x14ac:dyDescent="0.3">
      <c r="A329" s="15">
        <v>27</v>
      </c>
      <c r="B329" s="15" t="s">
        <v>729</v>
      </c>
      <c r="C329" s="15" t="s">
        <v>26</v>
      </c>
      <c r="D329" s="15" t="s">
        <v>26</v>
      </c>
      <c r="E329" s="15" t="s">
        <v>26</v>
      </c>
      <c r="F329" s="16" t="s">
        <v>26</v>
      </c>
      <c r="G329" s="16" t="s">
        <v>26</v>
      </c>
      <c r="H329" s="15">
        <v>4020</v>
      </c>
      <c r="I329" s="70">
        <v>0</v>
      </c>
      <c r="J329" s="40" t="s">
        <v>743</v>
      </c>
      <c r="K329" s="54" t="s">
        <v>731</v>
      </c>
      <c r="L329" s="16" t="s">
        <v>992</v>
      </c>
      <c r="M329" s="71" t="s">
        <v>993</v>
      </c>
      <c r="N329" s="47">
        <v>0</v>
      </c>
      <c r="O329" s="47">
        <v>0</v>
      </c>
      <c r="P329" s="47">
        <v>0</v>
      </c>
      <c r="Q329" s="47">
        <v>0</v>
      </c>
      <c r="R329" s="47">
        <v>0</v>
      </c>
      <c r="S329" s="15" t="s">
        <v>26</v>
      </c>
      <c r="T329" s="15" t="s">
        <v>26</v>
      </c>
      <c r="U329" s="15" t="s">
        <v>26</v>
      </c>
      <c r="V329" s="16" t="s">
        <v>26</v>
      </c>
      <c r="W329" s="47"/>
      <c r="X329" s="49">
        <v>4020</v>
      </c>
      <c r="Y329" s="50" t="s">
        <v>954</v>
      </c>
      <c r="Z329" s="51" t="s">
        <v>845</v>
      </c>
    </row>
    <row r="330" spans="1:26" s="56" customFormat="1" ht="14.4" x14ac:dyDescent="0.3">
      <c r="A330" s="15">
        <v>27</v>
      </c>
      <c r="B330" s="15" t="s">
        <v>729</v>
      </c>
      <c r="C330" s="15" t="s">
        <v>26</v>
      </c>
      <c r="D330" s="15" t="s">
        <v>26</v>
      </c>
      <c r="E330" s="15" t="s">
        <v>26</v>
      </c>
      <c r="F330" s="16" t="s">
        <v>26</v>
      </c>
      <c r="G330" s="16" t="s">
        <v>26</v>
      </c>
      <c r="H330" s="15">
        <v>4040</v>
      </c>
      <c r="I330" s="70">
        <v>0</v>
      </c>
      <c r="J330" s="40" t="s">
        <v>743</v>
      </c>
      <c r="K330" s="54" t="s">
        <v>731</v>
      </c>
      <c r="L330" s="16" t="s">
        <v>994</v>
      </c>
      <c r="M330" s="71" t="s">
        <v>995</v>
      </c>
      <c r="N330" s="47">
        <v>0</v>
      </c>
      <c r="O330" s="47">
        <v>0</v>
      </c>
      <c r="P330" s="47">
        <v>0</v>
      </c>
      <c r="Q330" s="47">
        <v>0</v>
      </c>
      <c r="R330" s="47">
        <v>0</v>
      </c>
      <c r="S330" s="15" t="s">
        <v>26</v>
      </c>
      <c r="T330" s="15" t="s">
        <v>26</v>
      </c>
      <c r="U330" s="15" t="s">
        <v>26</v>
      </c>
      <c r="V330" s="16" t="s">
        <v>26</v>
      </c>
      <c r="W330" s="47"/>
      <c r="X330" s="49">
        <v>4040</v>
      </c>
      <c r="Y330" s="50" t="s">
        <v>954</v>
      </c>
      <c r="Z330" s="57" t="s">
        <v>845</v>
      </c>
    </row>
    <row r="331" spans="1:26" s="56" customFormat="1" ht="14.4" x14ac:dyDescent="0.3">
      <c r="A331" s="15">
        <v>27</v>
      </c>
      <c r="B331" s="15" t="s">
        <v>729</v>
      </c>
      <c r="C331" s="15" t="s">
        <v>26</v>
      </c>
      <c r="D331" s="15" t="s">
        <v>26</v>
      </c>
      <c r="E331" s="15" t="s">
        <v>26</v>
      </c>
      <c r="F331" s="16" t="s">
        <v>26</v>
      </c>
      <c r="G331" s="16" t="s">
        <v>26</v>
      </c>
      <c r="H331" s="15">
        <v>4110</v>
      </c>
      <c r="I331" s="70">
        <v>0</v>
      </c>
      <c r="J331" s="40" t="s">
        <v>743</v>
      </c>
      <c r="K331" s="54" t="s">
        <v>731</v>
      </c>
      <c r="L331" s="16" t="s">
        <v>996</v>
      </c>
      <c r="M331" s="71" t="s">
        <v>997</v>
      </c>
      <c r="N331" s="47">
        <v>0</v>
      </c>
      <c r="O331" s="47">
        <v>0</v>
      </c>
      <c r="P331" s="47">
        <v>0</v>
      </c>
      <c r="Q331" s="47">
        <v>0</v>
      </c>
      <c r="R331" s="47">
        <v>0</v>
      </c>
      <c r="S331" s="15" t="s">
        <v>26</v>
      </c>
      <c r="T331" s="15" t="s">
        <v>26</v>
      </c>
      <c r="U331" s="15" t="s">
        <v>26</v>
      </c>
      <c r="V331" s="16" t="s">
        <v>26</v>
      </c>
      <c r="W331" s="15"/>
      <c r="X331" s="49">
        <v>4110</v>
      </c>
      <c r="Y331" s="50" t="s">
        <v>954</v>
      </c>
      <c r="Z331" s="57" t="s">
        <v>845</v>
      </c>
    </row>
    <row r="332" spans="1:26" s="56" customFormat="1" ht="14.4" x14ac:dyDescent="0.3">
      <c r="A332" s="15">
        <v>27</v>
      </c>
      <c r="B332" s="15" t="s">
        <v>729</v>
      </c>
      <c r="C332" s="15" t="s">
        <v>26</v>
      </c>
      <c r="D332" s="15" t="s">
        <v>26</v>
      </c>
      <c r="E332" s="15" t="s">
        <v>26</v>
      </c>
      <c r="F332" s="16" t="s">
        <v>26</v>
      </c>
      <c r="G332" s="16" t="s">
        <v>26</v>
      </c>
      <c r="H332" s="15">
        <v>4120</v>
      </c>
      <c r="I332" s="70">
        <v>0</v>
      </c>
      <c r="J332" s="40" t="s">
        <v>743</v>
      </c>
      <c r="K332" s="54" t="s">
        <v>731</v>
      </c>
      <c r="L332" s="16" t="s">
        <v>998</v>
      </c>
      <c r="M332" s="71" t="s">
        <v>999</v>
      </c>
      <c r="N332" s="47">
        <v>0</v>
      </c>
      <c r="O332" s="47">
        <v>0</v>
      </c>
      <c r="P332" s="47">
        <v>0</v>
      </c>
      <c r="Q332" s="47">
        <v>0</v>
      </c>
      <c r="R332" s="47">
        <v>0</v>
      </c>
      <c r="S332" s="15" t="s">
        <v>26</v>
      </c>
      <c r="T332" s="15" t="s">
        <v>26</v>
      </c>
      <c r="U332" s="15" t="s">
        <v>26</v>
      </c>
      <c r="V332" s="16" t="s">
        <v>26</v>
      </c>
      <c r="W332" s="47"/>
      <c r="X332" s="49">
        <v>4120</v>
      </c>
      <c r="Y332" s="50" t="s">
        <v>954</v>
      </c>
      <c r="Z332" s="57" t="s">
        <v>845</v>
      </c>
    </row>
    <row r="333" spans="1:26" s="56" customFormat="1" ht="14.4" x14ac:dyDescent="0.3">
      <c r="A333" s="15">
        <v>27</v>
      </c>
      <c r="B333" s="15" t="s">
        <v>729</v>
      </c>
      <c r="C333" s="15" t="s">
        <v>26</v>
      </c>
      <c r="D333" s="15" t="s">
        <v>26</v>
      </c>
      <c r="E333" s="15" t="s">
        <v>26</v>
      </c>
      <c r="F333" s="16" t="s">
        <v>26</v>
      </c>
      <c r="G333" s="16" t="s">
        <v>26</v>
      </c>
      <c r="H333" s="15">
        <v>4120</v>
      </c>
      <c r="I333" s="70">
        <v>0</v>
      </c>
      <c r="J333" s="40" t="s">
        <v>743</v>
      </c>
      <c r="K333" s="54" t="s">
        <v>731</v>
      </c>
      <c r="L333" s="16" t="s">
        <v>1000</v>
      </c>
      <c r="M333" s="71" t="s">
        <v>1001</v>
      </c>
      <c r="N333" s="47">
        <v>0</v>
      </c>
      <c r="O333" s="47">
        <v>0</v>
      </c>
      <c r="P333" s="47">
        <v>0</v>
      </c>
      <c r="Q333" s="47">
        <v>0</v>
      </c>
      <c r="R333" s="47">
        <v>0</v>
      </c>
      <c r="S333" s="15" t="s">
        <v>26</v>
      </c>
      <c r="T333" s="15" t="s">
        <v>26</v>
      </c>
      <c r="U333" s="15" t="s">
        <v>26</v>
      </c>
      <c r="V333" s="16" t="s">
        <v>26</v>
      </c>
      <c r="W333" s="15"/>
      <c r="X333" s="49">
        <v>4120</v>
      </c>
      <c r="Y333" s="50" t="s">
        <v>954</v>
      </c>
      <c r="Z333" s="57" t="s">
        <v>845</v>
      </c>
    </row>
    <row r="334" spans="1:26" s="56" customFormat="1" ht="14.4" x14ac:dyDescent="0.3">
      <c r="A334" s="15">
        <v>27</v>
      </c>
      <c r="B334" s="15" t="s">
        <v>729</v>
      </c>
      <c r="C334" s="15" t="s">
        <v>26</v>
      </c>
      <c r="D334" s="15" t="s">
        <v>26</v>
      </c>
      <c r="E334" s="15" t="s">
        <v>26</v>
      </c>
      <c r="F334" s="16" t="s">
        <v>26</v>
      </c>
      <c r="G334" s="16" t="s">
        <v>26</v>
      </c>
      <c r="H334" s="15">
        <v>4710</v>
      </c>
      <c r="I334" s="70">
        <v>0</v>
      </c>
      <c r="J334" s="40" t="s">
        <v>743</v>
      </c>
      <c r="K334" s="54" t="s">
        <v>731</v>
      </c>
      <c r="L334" s="16" t="s">
        <v>1002</v>
      </c>
      <c r="M334" s="71" t="s">
        <v>1003</v>
      </c>
      <c r="N334" s="47">
        <v>0</v>
      </c>
      <c r="O334" s="47">
        <v>0</v>
      </c>
      <c r="P334" s="47">
        <v>0</v>
      </c>
      <c r="Q334" s="47">
        <v>0</v>
      </c>
      <c r="R334" s="47">
        <v>0</v>
      </c>
      <c r="S334" s="15" t="s">
        <v>26</v>
      </c>
      <c r="T334" s="15" t="s">
        <v>26</v>
      </c>
      <c r="U334" s="15" t="s">
        <v>26</v>
      </c>
      <c r="V334" s="16" t="s">
        <v>26</v>
      </c>
      <c r="W334" s="15"/>
      <c r="X334" s="49">
        <v>4710</v>
      </c>
      <c r="Y334" s="50" t="s">
        <v>954</v>
      </c>
      <c r="Z334" s="51" t="s">
        <v>845</v>
      </c>
    </row>
    <row r="335" spans="1:26" s="56" customFormat="1" ht="14.4" x14ac:dyDescent="0.3">
      <c r="A335" s="15">
        <v>27</v>
      </c>
      <c r="B335" s="15" t="s">
        <v>729</v>
      </c>
      <c r="C335" s="15" t="s">
        <v>26</v>
      </c>
      <c r="D335" s="15" t="s">
        <v>26</v>
      </c>
      <c r="E335" s="15" t="s">
        <v>26</v>
      </c>
      <c r="F335" s="16" t="s">
        <v>26</v>
      </c>
      <c r="G335" s="16" t="s">
        <v>26</v>
      </c>
      <c r="H335" s="15">
        <v>4000</v>
      </c>
      <c r="I335" s="70">
        <v>0</v>
      </c>
      <c r="J335" s="40" t="s">
        <v>743</v>
      </c>
      <c r="K335" s="54" t="s">
        <v>731</v>
      </c>
      <c r="L335" s="16" t="s">
        <v>1004</v>
      </c>
      <c r="M335" s="71" t="s">
        <v>1005</v>
      </c>
      <c r="N335" s="47">
        <v>0</v>
      </c>
      <c r="O335" s="47">
        <v>0</v>
      </c>
      <c r="P335" s="47">
        <v>0</v>
      </c>
      <c r="Q335" s="47">
        <v>0</v>
      </c>
      <c r="R335" s="47">
        <v>0</v>
      </c>
      <c r="S335" s="15" t="s">
        <v>26</v>
      </c>
      <c r="T335" s="15" t="s">
        <v>26</v>
      </c>
      <c r="U335" s="15" t="s">
        <v>26</v>
      </c>
      <c r="V335" s="16" t="s">
        <v>26</v>
      </c>
      <c r="W335" s="15"/>
      <c r="X335" s="49">
        <v>4210</v>
      </c>
      <c r="Y335" s="50" t="s">
        <v>954</v>
      </c>
      <c r="Z335" s="57" t="s">
        <v>845</v>
      </c>
    </row>
    <row r="336" spans="1:26" s="56" customFormat="1" ht="14.4" x14ac:dyDescent="0.3">
      <c r="A336" s="15">
        <v>27</v>
      </c>
      <c r="B336" s="15" t="s">
        <v>729</v>
      </c>
      <c r="C336" s="15" t="s">
        <v>26</v>
      </c>
      <c r="D336" s="15" t="s">
        <v>26</v>
      </c>
      <c r="E336" s="15" t="s">
        <v>26</v>
      </c>
      <c r="F336" s="16" t="s">
        <v>26</v>
      </c>
      <c r="G336" s="16" t="s">
        <v>26</v>
      </c>
      <c r="H336" s="15">
        <v>4020</v>
      </c>
      <c r="I336" s="70">
        <v>0</v>
      </c>
      <c r="J336" s="40" t="s">
        <v>743</v>
      </c>
      <c r="K336" s="54" t="s">
        <v>731</v>
      </c>
      <c r="L336" s="16" t="s">
        <v>1006</v>
      </c>
      <c r="M336" s="71" t="s">
        <v>1007</v>
      </c>
      <c r="N336" s="47">
        <v>0</v>
      </c>
      <c r="O336" s="47">
        <v>0</v>
      </c>
      <c r="P336" s="47">
        <v>0</v>
      </c>
      <c r="Q336" s="47">
        <v>0</v>
      </c>
      <c r="R336" s="47">
        <v>0</v>
      </c>
      <c r="S336" s="15" t="s">
        <v>26</v>
      </c>
      <c r="T336" s="15" t="s">
        <v>26</v>
      </c>
      <c r="U336" s="15" t="s">
        <v>26</v>
      </c>
      <c r="V336" s="16" t="s">
        <v>26</v>
      </c>
      <c r="W336" s="15"/>
      <c r="X336" s="49">
        <v>4020</v>
      </c>
      <c r="Y336" s="50" t="s">
        <v>954</v>
      </c>
      <c r="Z336" s="57" t="s">
        <v>845</v>
      </c>
    </row>
    <row r="337" spans="1:26" s="56" customFormat="1" ht="14.4" x14ac:dyDescent="0.3">
      <c r="A337" s="15">
        <v>27</v>
      </c>
      <c r="B337" s="15" t="s">
        <v>729</v>
      </c>
      <c r="C337" s="15" t="s">
        <v>26</v>
      </c>
      <c r="D337" s="15" t="s">
        <v>26</v>
      </c>
      <c r="E337" s="15" t="s">
        <v>26</v>
      </c>
      <c r="F337" s="16" t="s">
        <v>26</v>
      </c>
      <c r="G337" s="16" t="s">
        <v>26</v>
      </c>
      <c r="H337" s="15">
        <v>4040</v>
      </c>
      <c r="I337" s="70">
        <v>0</v>
      </c>
      <c r="J337" s="40" t="s">
        <v>743</v>
      </c>
      <c r="K337" s="54" t="s">
        <v>731</v>
      </c>
      <c r="L337" s="16" t="s">
        <v>1008</v>
      </c>
      <c r="M337" s="71" t="s">
        <v>1009</v>
      </c>
      <c r="N337" s="47">
        <v>0</v>
      </c>
      <c r="O337" s="47">
        <v>0</v>
      </c>
      <c r="P337" s="47">
        <v>0</v>
      </c>
      <c r="Q337" s="47">
        <v>0</v>
      </c>
      <c r="R337" s="47">
        <v>0</v>
      </c>
      <c r="S337" s="15" t="s">
        <v>26</v>
      </c>
      <c r="T337" s="15" t="s">
        <v>26</v>
      </c>
      <c r="U337" s="15" t="s">
        <v>26</v>
      </c>
      <c r="V337" s="16" t="s">
        <v>26</v>
      </c>
      <c r="W337" s="15"/>
      <c r="X337" s="49">
        <v>4040</v>
      </c>
      <c r="Y337" s="50" t="s">
        <v>954</v>
      </c>
      <c r="Z337" s="57" t="s">
        <v>845</v>
      </c>
    </row>
    <row r="338" spans="1:26" s="56" customFormat="1" ht="14.4" x14ac:dyDescent="0.3">
      <c r="A338" s="15">
        <v>27</v>
      </c>
      <c r="B338" s="15" t="s">
        <v>729</v>
      </c>
      <c r="C338" s="15" t="s">
        <v>26</v>
      </c>
      <c r="D338" s="15" t="s">
        <v>26</v>
      </c>
      <c r="E338" s="15" t="s">
        <v>26</v>
      </c>
      <c r="F338" s="16" t="s">
        <v>26</v>
      </c>
      <c r="G338" s="16" t="s">
        <v>26</v>
      </c>
      <c r="H338" s="15">
        <v>4110</v>
      </c>
      <c r="I338" s="70">
        <v>0</v>
      </c>
      <c r="J338" s="40" t="s">
        <v>743</v>
      </c>
      <c r="K338" s="54" t="s">
        <v>731</v>
      </c>
      <c r="L338" s="16" t="s">
        <v>1010</v>
      </c>
      <c r="M338" s="71" t="s">
        <v>1011</v>
      </c>
      <c r="N338" s="47">
        <v>0</v>
      </c>
      <c r="O338" s="47">
        <v>0</v>
      </c>
      <c r="P338" s="47">
        <v>0</v>
      </c>
      <c r="Q338" s="47">
        <v>0</v>
      </c>
      <c r="R338" s="47">
        <v>0</v>
      </c>
      <c r="S338" s="15" t="s">
        <v>26</v>
      </c>
      <c r="T338" s="15" t="s">
        <v>26</v>
      </c>
      <c r="U338" s="15" t="s">
        <v>26</v>
      </c>
      <c r="V338" s="16" t="s">
        <v>26</v>
      </c>
      <c r="W338" s="15"/>
      <c r="X338" s="49">
        <v>4110</v>
      </c>
      <c r="Y338" s="50" t="s">
        <v>954</v>
      </c>
      <c r="Z338" s="57" t="s">
        <v>845</v>
      </c>
    </row>
    <row r="339" spans="1:26" s="56" customFormat="1" ht="14.4" x14ac:dyDescent="0.3">
      <c r="A339" s="15">
        <v>27</v>
      </c>
      <c r="B339" s="15" t="s">
        <v>729</v>
      </c>
      <c r="C339" s="15" t="s">
        <v>26</v>
      </c>
      <c r="D339" s="15" t="s">
        <v>26</v>
      </c>
      <c r="E339" s="15" t="s">
        <v>26</v>
      </c>
      <c r="F339" s="16" t="s">
        <v>26</v>
      </c>
      <c r="G339" s="16" t="s">
        <v>26</v>
      </c>
      <c r="H339" s="15">
        <v>4120</v>
      </c>
      <c r="I339" s="70">
        <v>0</v>
      </c>
      <c r="J339" s="40" t="s">
        <v>743</v>
      </c>
      <c r="K339" s="54" t="s">
        <v>731</v>
      </c>
      <c r="L339" s="16" t="s">
        <v>1012</v>
      </c>
      <c r="M339" s="71" t="s">
        <v>1013</v>
      </c>
      <c r="N339" s="47">
        <v>0</v>
      </c>
      <c r="O339" s="47">
        <v>0</v>
      </c>
      <c r="P339" s="47">
        <v>0</v>
      </c>
      <c r="Q339" s="47">
        <v>0</v>
      </c>
      <c r="R339" s="47">
        <v>0</v>
      </c>
      <c r="S339" s="15" t="s">
        <v>26</v>
      </c>
      <c r="T339" s="15" t="s">
        <v>26</v>
      </c>
      <c r="U339" s="15" t="s">
        <v>26</v>
      </c>
      <c r="V339" s="16" t="s">
        <v>26</v>
      </c>
      <c r="W339" s="15"/>
      <c r="X339" s="49">
        <v>4120</v>
      </c>
      <c r="Y339" s="78" t="s">
        <v>954</v>
      </c>
      <c r="Z339" s="51" t="s">
        <v>845</v>
      </c>
    </row>
    <row r="340" spans="1:26" s="56" customFormat="1" ht="14.4" x14ac:dyDescent="0.3">
      <c r="A340" s="15">
        <v>27</v>
      </c>
      <c r="B340" s="15" t="s">
        <v>729</v>
      </c>
      <c r="C340" s="15" t="s">
        <v>26</v>
      </c>
      <c r="D340" s="15" t="s">
        <v>26</v>
      </c>
      <c r="E340" s="15" t="s">
        <v>26</v>
      </c>
      <c r="F340" s="16" t="s">
        <v>26</v>
      </c>
      <c r="G340" s="16" t="s">
        <v>26</v>
      </c>
      <c r="H340" s="15">
        <v>4120</v>
      </c>
      <c r="I340" s="70">
        <v>0</v>
      </c>
      <c r="J340" s="40" t="s">
        <v>743</v>
      </c>
      <c r="K340" s="54" t="s">
        <v>731</v>
      </c>
      <c r="L340" s="16" t="s">
        <v>1014</v>
      </c>
      <c r="M340" s="71" t="s">
        <v>1015</v>
      </c>
      <c r="N340" s="47">
        <v>0</v>
      </c>
      <c r="O340" s="47">
        <v>0</v>
      </c>
      <c r="P340" s="47">
        <v>0</v>
      </c>
      <c r="Q340" s="47">
        <v>0</v>
      </c>
      <c r="R340" s="47">
        <v>0</v>
      </c>
      <c r="S340" s="15" t="s">
        <v>26</v>
      </c>
      <c r="T340" s="15" t="s">
        <v>26</v>
      </c>
      <c r="U340" s="15" t="s">
        <v>26</v>
      </c>
      <c r="V340" s="16" t="s">
        <v>26</v>
      </c>
      <c r="W340" s="15"/>
      <c r="X340" s="49">
        <v>4120</v>
      </c>
      <c r="Y340" s="50" t="s">
        <v>954</v>
      </c>
      <c r="Z340" s="79" t="s">
        <v>845</v>
      </c>
    </row>
    <row r="341" spans="1:26" s="56" customFormat="1" ht="14.4" x14ac:dyDescent="0.3">
      <c r="A341" s="15">
        <v>27</v>
      </c>
      <c r="B341" s="15" t="s">
        <v>729</v>
      </c>
      <c r="C341" s="15" t="s">
        <v>26</v>
      </c>
      <c r="D341" s="15" t="s">
        <v>26</v>
      </c>
      <c r="E341" s="15" t="s">
        <v>26</v>
      </c>
      <c r="F341" s="16" t="s">
        <v>26</v>
      </c>
      <c r="G341" s="16" t="s">
        <v>26</v>
      </c>
      <c r="H341" s="15">
        <v>4710</v>
      </c>
      <c r="I341" s="70">
        <v>0</v>
      </c>
      <c r="J341" s="40" t="s">
        <v>743</v>
      </c>
      <c r="K341" s="54" t="s">
        <v>731</v>
      </c>
      <c r="L341" s="16" t="s">
        <v>1016</v>
      </c>
      <c r="M341" s="71" t="s">
        <v>1017</v>
      </c>
      <c r="N341" s="47">
        <v>0</v>
      </c>
      <c r="O341" s="47">
        <v>0</v>
      </c>
      <c r="P341" s="47">
        <v>0</v>
      </c>
      <c r="Q341" s="47">
        <v>0</v>
      </c>
      <c r="R341" s="47">
        <v>0</v>
      </c>
      <c r="S341" s="15" t="s">
        <v>26</v>
      </c>
      <c r="T341" s="15" t="s">
        <v>26</v>
      </c>
      <c r="U341" s="15" t="s">
        <v>26</v>
      </c>
      <c r="V341" s="16" t="s">
        <v>26</v>
      </c>
      <c r="W341" s="15"/>
      <c r="X341" s="49">
        <v>4710</v>
      </c>
      <c r="Y341" s="50" t="s">
        <v>954</v>
      </c>
      <c r="Z341" s="79" t="s">
        <v>845</v>
      </c>
    </row>
    <row r="342" spans="1:26" s="56" customFormat="1" ht="14.4" x14ac:dyDescent="0.3">
      <c r="A342" s="15">
        <v>27</v>
      </c>
      <c r="B342" s="15" t="s">
        <v>729</v>
      </c>
      <c r="C342" s="15" t="s">
        <v>26</v>
      </c>
      <c r="D342" s="15" t="s">
        <v>26</v>
      </c>
      <c r="E342" s="15" t="s">
        <v>26</v>
      </c>
      <c r="F342" s="16" t="s">
        <v>26</v>
      </c>
      <c r="G342" s="16" t="s">
        <v>26</v>
      </c>
      <c r="H342" s="15">
        <v>4000</v>
      </c>
      <c r="I342" s="70">
        <v>0</v>
      </c>
      <c r="J342" s="40" t="s">
        <v>743</v>
      </c>
      <c r="K342" s="54" t="s">
        <v>731</v>
      </c>
      <c r="L342" s="16" t="s">
        <v>1018</v>
      </c>
      <c r="M342" s="71" t="s">
        <v>1019</v>
      </c>
      <c r="N342" s="47">
        <v>0</v>
      </c>
      <c r="O342" s="47">
        <v>0</v>
      </c>
      <c r="P342" s="47">
        <v>0</v>
      </c>
      <c r="Q342" s="47">
        <v>0</v>
      </c>
      <c r="R342" s="47">
        <v>0</v>
      </c>
      <c r="S342" s="15" t="s">
        <v>26</v>
      </c>
      <c r="T342" s="15" t="s">
        <v>26</v>
      </c>
      <c r="U342" s="15" t="s">
        <v>26</v>
      </c>
      <c r="V342" s="16" t="s">
        <v>26</v>
      </c>
      <c r="W342" s="15"/>
      <c r="X342" s="49">
        <v>4210</v>
      </c>
      <c r="Y342" s="50" t="s">
        <v>954</v>
      </c>
      <c r="Z342" s="51" t="s">
        <v>845</v>
      </c>
    </row>
    <row r="343" spans="1:26" s="56" customFormat="1" ht="14.4" x14ac:dyDescent="0.3">
      <c r="A343" s="15">
        <v>27</v>
      </c>
      <c r="B343" s="15" t="s">
        <v>729</v>
      </c>
      <c r="C343" s="15" t="s">
        <v>26</v>
      </c>
      <c r="D343" s="15" t="s">
        <v>26</v>
      </c>
      <c r="E343" s="15" t="s">
        <v>26</v>
      </c>
      <c r="F343" s="16" t="s">
        <v>26</v>
      </c>
      <c r="G343" s="16" t="s">
        <v>26</v>
      </c>
      <c r="H343" s="15">
        <v>4020</v>
      </c>
      <c r="I343" s="70">
        <v>0</v>
      </c>
      <c r="J343" s="40" t="s">
        <v>743</v>
      </c>
      <c r="K343" s="54" t="s">
        <v>731</v>
      </c>
      <c r="L343" s="16" t="s">
        <v>1020</v>
      </c>
      <c r="M343" s="71" t="s">
        <v>1021</v>
      </c>
      <c r="N343" s="47">
        <v>0</v>
      </c>
      <c r="O343" s="47">
        <v>0</v>
      </c>
      <c r="P343" s="47">
        <v>0</v>
      </c>
      <c r="Q343" s="47">
        <v>0</v>
      </c>
      <c r="R343" s="47">
        <v>0</v>
      </c>
      <c r="S343" s="15" t="s">
        <v>26</v>
      </c>
      <c r="T343" s="15" t="s">
        <v>26</v>
      </c>
      <c r="U343" s="15" t="s">
        <v>26</v>
      </c>
      <c r="V343" s="16" t="s">
        <v>26</v>
      </c>
      <c r="W343" s="15"/>
      <c r="X343" s="49">
        <v>4020</v>
      </c>
      <c r="Y343" s="50" t="s">
        <v>954</v>
      </c>
      <c r="Z343" s="51" t="s">
        <v>845</v>
      </c>
    </row>
    <row r="344" spans="1:26" s="56" customFormat="1" ht="14.4" x14ac:dyDescent="0.3">
      <c r="A344" s="15">
        <v>27</v>
      </c>
      <c r="B344" s="15" t="s">
        <v>729</v>
      </c>
      <c r="C344" s="15" t="s">
        <v>26</v>
      </c>
      <c r="D344" s="15" t="s">
        <v>26</v>
      </c>
      <c r="E344" s="15" t="s">
        <v>26</v>
      </c>
      <c r="F344" s="16" t="s">
        <v>26</v>
      </c>
      <c r="G344" s="16" t="s">
        <v>26</v>
      </c>
      <c r="H344" s="15">
        <v>4040</v>
      </c>
      <c r="I344" s="70">
        <v>0</v>
      </c>
      <c r="J344" s="40" t="s">
        <v>743</v>
      </c>
      <c r="K344" s="54" t="s">
        <v>731</v>
      </c>
      <c r="L344" s="16" t="s">
        <v>1022</v>
      </c>
      <c r="M344" s="71" t="s">
        <v>1023</v>
      </c>
      <c r="N344" s="47">
        <v>0</v>
      </c>
      <c r="O344" s="47">
        <v>0</v>
      </c>
      <c r="P344" s="47">
        <v>0</v>
      </c>
      <c r="Q344" s="47">
        <v>0</v>
      </c>
      <c r="R344" s="47">
        <v>0</v>
      </c>
      <c r="S344" s="15" t="s">
        <v>26</v>
      </c>
      <c r="T344" s="15" t="s">
        <v>26</v>
      </c>
      <c r="U344" s="15" t="s">
        <v>26</v>
      </c>
      <c r="V344" s="16" t="s">
        <v>26</v>
      </c>
      <c r="W344" s="15"/>
      <c r="X344" s="49">
        <v>4040</v>
      </c>
      <c r="Y344" s="50" t="s">
        <v>954</v>
      </c>
      <c r="Z344" s="51" t="s">
        <v>845</v>
      </c>
    </row>
    <row r="345" spans="1:26" s="56" customFormat="1" ht="14.4" x14ac:dyDescent="0.3">
      <c r="A345" s="15">
        <v>27</v>
      </c>
      <c r="B345" s="15" t="s">
        <v>729</v>
      </c>
      <c r="C345" s="15" t="s">
        <v>26</v>
      </c>
      <c r="D345" s="15" t="s">
        <v>26</v>
      </c>
      <c r="E345" s="15" t="s">
        <v>26</v>
      </c>
      <c r="F345" s="16" t="s">
        <v>26</v>
      </c>
      <c r="G345" s="16" t="s">
        <v>26</v>
      </c>
      <c r="H345" s="15">
        <v>4110</v>
      </c>
      <c r="I345" s="70">
        <v>0</v>
      </c>
      <c r="J345" s="40" t="s">
        <v>743</v>
      </c>
      <c r="K345" s="54" t="s">
        <v>731</v>
      </c>
      <c r="L345" s="16" t="s">
        <v>1024</v>
      </c>
      <c r="M345" s="71" t="s">
        <v>1025</v>
      </c>
      <c r="N345" s="47">
        <v>0</v>
      </c>
      <c r="O345" s="47">
        <v>0</v>
      </c>
      <c r="P345" s="47">
        <v>0</v>
      </c>
      <c r="Q345" s="47">
        <v>0</v>
      </c>
      <c r="R345" s="47">
        <v>0</v>
      </c>
      <c r="S345" s="15" t="s">
        <v>26</v>
      </c>
      <c r="T345" s="15" t="s">
        <v>26</v>
      </c>
      <c r="U345" s="15" t="s">
        <v>26</v>
      </c>
      <c r="V345" s="16" t="s">
        <v>26</v>
      </c>
      <c r="W345" s="15"/>
      <c r="X345" s="49">
        <v>4110</v>
      </c>
      <c r="Y345" s="50" t="s">
        <v>954</v>
      </c>
      <c r="Z345" s="51" t="s">
        <v>845</v>
      </c>
    </row>
    <row r="346" spans="1:26" s="56" customFormat="1" ht="14.4" x14ac:dyDescent="0.3">
      <c r="A346" s="15">
        <v>27</v>
      </c>
      <c r="B346" s="15" t="s">
        <v>729</v>
      </c>
      <c r="C346" s="15" t="s">
        <v>26</v>
      </c>
      <c r="D346" s="15" t="s">
        <v>26</v>
      </c>
      <c r="E346" s="15" t="s">
        <v>26</v>
      </c>
      <c r="F346" s="16" t="s">
        <v>26</v>
      </c>
      <c r="G346" s="16" t="s">
        <v>26</v>
      </c>
      <c r="H346" s="15">
        <v>4120</v>
      </c>
      <c r="I346" s="70">
        <v>0</v>
      </c>
      <c r="J346" s="40" t="s">
        <v>743</v>
      </c>
      <c r="K346" s="54" t="s">
        <v>731</v>
      </c>
      <c r="L346" s="16" t="s">
        <v>1026</v>
      </c>
      <c r="M346" s="71" t="s">
        <v>1027</v>
      </c>
      <c r="N346" s="47">
        <v>0</v>
      </c>
      <c r="O346" s="47">
        <v>0</v>
      </c>
      <c r="P346" s="47">
        <v>0</v>
      </c>
      <c r="Q346" s="47">
        <v>0</v>
      </c>
      <c r="R346" s="47">
        <v>0</v>
      </c>
      <c r="S346" s="15" t="s">
        <v>26</v>
      </c>
      <c r="T346" s="15" t="s">
        <v>26</v>
      </c>
      <c r="U346" s="15" t="s">
        <v>26</v>
      </c>
      <c r="V346" s="16" t="s">
        <v>26</v>
      </c>
      <c r="W346" s="15"/>
      <c r="X346" s="49">
        <v>4120</v>
      </c>
      <c r="Y346" s="50" t="s">
        <v>954</v>
      </c>
      <c r="Z346" s="51" t="s">
        <v>845</v>
      </c>
    </row>
    <row r="347" spans="1:26" s="56" customFormat="1" ht="17.7" customHeight="1" x14ac:dyDescent="0.3">
      <c r="A347" s="15">
        <v>27</v>
      </c>
      <c r="B347" s="15" t="s">
        <v>729</v>
      </c>
      <c r="C347" s="15" t="s">
        <v>26</v>
      </c>
      <c r="D347" s="15" t="s">
        <v>26</v>
      </c>
      <c r="E347" s="15" t="s">
        <v>26</v>
      </c>
      <c r="F347" s="16" t="s">
        <v>26</v>
      </c>
      <c r="G347" s="16" t="s">
        <v>26</v>
      </c>
      <c r="H347" s="15">
        <v>4120</v>
      </c>
      <c r="I347" s="70">
        <v>0</v>
      </c>
      <c r="J347" s="40" t="s">
        <v>743</v>
      </c>
      <c r="K347" s="54" t="s">
        <v>731</v>
      </c>
      <c r="L347" s="16" t="s">
        <v>1028</v>
      </c>
      <c r="M347" s="71" t="s">
        <v>1029</v>
      </c>
      <c r="N347" s="47">
        <v>0</v>
      </c>
      <c r="O347" s="47">
        <v>0</v>
      </c>
      <c r="P347" s="47">
        <v>0</v>
      </c>
      <c r="Q347" s="47">
        <v>0</v>
      </c>
      <c r="R347" s="47">
        <v>0</v>
      </c>
      <c r="S347" s="15" t="s">
        <v>26</v>
      </c>
      <c r="T347" s="15" t="s">
        <v>26</v>
      </c>
      <c r="U347" s="15" t="s">
        <v>26</v>
      </c>
      <c r="V347" s="16" t="s">
        <v>26</v>
      </c>
      <c r="W347" s="15"/>
      <c r="X347" s="49">
        <v>4120</v>
      </c>
      <c r="Y347" s="50" t="s">
        <v>954</v>
      </c>
      <c r="Z347" s="51" t="s">
        <v>845</v>
      </c>
    </row>
    <row r="348" spans="1:26" s="56" customFormat="1" ht="14.4" x14ac:dyDescent="0.3">
      <c r="A348" s="15">
        <v>27</v>
      </c>
      <c r="B348" s="15" t="s">
        <v>729</v>
      </c>
      <c r="C348" s="15" t="s">
        <v>26</v>
      </c>
      <c r="D348" s="15" t="s">
        <v>26</v>
      </c>
      <c r="E348" s="15" t="s">
        <v>26</v>
      </c>
      <c r="F348" s="16" t="s">
        <v>26</v>
      </c>
      <c r="G348" s="16" t="s">
        <v>26</v>
      </c>
      <c r="H348" s="15">
        <v>4710</v>
      </c>
      <c r="I348" s="70">
        <v>0</v>
      </c>
      <c r="J348" s="40" t="s">
        <v>743</v>
      </c>
      <c r="K348" s="54" t="s">
        <v>731</v>
      </c>
      <c r="L348" s="16" t="s">
        <v>1030</v>
      </c>
      <c r="M348" s="71" t="s">
        <v>1031</v>
      </c>
      <c r="N348" s="47">
        <v>0</v>
      </c>
      <c r="O348" s="47">
        <v>0</v>
      </c>
      <c r="P348" s="47">
        <v>0</v>
      </c>
      <c r="Q348" s="47">
        <v>0</v>
      </c>
      <c r="R348" s="47">
        <v>0</v>
      </c>
      <c r="S348" s="15" t="s">
        <v>26</v>
      </c>
      <c r="T348" s="15" t="s">
        <v>26</v>
      </c>
      <c r="U348" s="15" t="s">
        <v>26</v>
      </c>
      <c r="V348" s="16" t="s">
        <v>26</v>
      </c>
      <c r="W348" s="15"/>
      <c r="X348" s="49">
        <v>4710</v>
      </c>
      <c r="Y348" s="50" t="s">
        <v>954</v>
      </c>
      <c r="Z348" s="51" t="s">
        <v>845</v>
      </c>
    </row>
    <row r="349" spans="1:26" s="56" customFormat="1" ht="15.6" customHeight="1" x14ac:dyDescent="0.3">
      <c r="A349" s="15">
        <v>27</v>
      </c>
      <c r="B349" s="15" t="s">
        <v>729</v>
      </c>
      <c r="C349" s="15" t="s">
        <v>26</v>
      </c>
      <c r="D349" s="15" t="s">
        <v>26</v>
      </c>
      <c r="E349" s="15" t="s">
        <v>26</v>
      </c>
      <c r="F349" s="16" t="s">
        <v>26</v>
      </c>
      <c r="G349" s="16" t="s">
        <v>26</v>
      </c>
      <c r="H349" s="15">
        <v>4000</v>
      </c>
      <c r="I349" s="70">
        <v>0</v>
      </c>
      <c r="J349" s="40" t="s">
        <v>743</v>
      </c>
      <c r="K349" s="54" t="s">
        <v>731</v>
      </c>
      <c r="L349" s="16" t="s">
        <v>1032</v>
      </c>
      <c r="M349" s="71" t="s">
        <v>1033</v>
      </c>
      <c r="N349" s="47">
        <v>0</v>
      </c>
      <c r="O349" s="47">
        <v>0</v>
      </c>
      <c r="P349" s="47">
        <v>0</v>
      </c>
      <c r="Q349" s="47">
        <v>0</v>
      </c>
      <c r="R349" s="47">
        <v>0</v>
      </c>
      <c r="S349" s="15" t="s">
        <v>26</v>
      </c>
      <c r="T349" s="15" t="s">
        <v>26</v>
      </c>
      <c r="U349" s="15" t="s">
        <v>26</v>
      </c>
      <c r="V349" s="16" t="s">
        <v>26</v>
      </c>
      <c r="W349" s="15"/>
      <c r="X349" s="49">
        <v>4210</v>
      </c>
      <c r="Y349" s="50" t="s">
        <v>954</v>
      </c>
      <c r="Z349" s="51" t="s">
        <v>845</v>
      </c>
    </row>
    <row r="350" spans="1:26" s="56" customFormat="1" ht="14.1" customHeight="1" x14ac:dyDescent="0.3">
      <c r="A350" s="15">
        <v>27</v>
      </c>
      <c r="B350" s="15" t="s">
        <v>729</v>
      </c>
      <c r="C350" s="15" t="s">
        <v>26</v>
      </c>
      <c r="D350" s="15" t="s">
        <v>26</v>
      </c>
      <c r="E350" s="15" t="s">
        <v>26</v>
      </c>
      <c r="F350" s="16" t="s">
        <v>26</v>
      </c>
      <c r="G350" s="16" t="s">
        <v>26</v>
      </c>
      <c r="H350" s="15">
        <v>4020</v>
      </c>
      <c r="I350" s="70">
        <v>0</v>
      </c>
      <c r="J350" s="40" t="s">
        <v>743</v>
      </c>
      <c r="K350" s="54" t="s">
        <v>731</v>
      </c>
      <c r="L350" s="16" t="s">
        <v>1034</v>
      </c>
      <c r="M350" s="71" t="s">
        <v>1035</v>
      </c>
      <c r="N350" s="47">
        <v>0</v>
      </c>
      <c r="O350" s="47">
        <v>0</v>
      </c>
      <c r="P350" s="47">
        <v>0</v>
      </c>
      <c r="Q350" s="47">
        <v>0</v>
      </c>
      <c r="R350" s="47">
        <v>0</v>
      </c>
      <c r="S350" s="15" t="s">
        <v>26</v>
      </c>
      <c r="T350" s="15" t="s">
        <v>26</v>
      </c>
      <c r="U350" s="15" t="s">
        <v>26</v>
      </c>
      <c r="V350" s="16" t="s">
        <v>26</v>
      </c>
      <c r="W350" s="15"/>
      <c r="X350" s="49">
        <v>4020</v>
      </c>
      <c r="Y350" s="50" t="s">
        <v>954</v>
      </c>
      <c r="Z350" s="51" t="s">
        <v>845</v>
      </c>
    </row>
    <row r="351" spans="1:26" s="56" customFormat="1" ht="14.4" x14ac:dyDescent="0.3">
      <c r="A351" s="15">
        <v>27</v>
      </c>
      <c r="B351" s="15" t="s">
        <v>729</v>
      </c>
      <c r="C351" s="15" t="s">
        <v>26</v>
      </c>
      <c r="D351" s="15" t="s">
        <v>26</v>
      </c>
      <c r="E351" s="15" t="s">
        <v>26</v>
      </c>
      <c r="F351" s="16" t="s">
        <v>26</v>
      </c>
      <c r="G351" s="16" t="s">
        <v>26</v>
      </c>
      <c r="H351" s="15">
        <v>4040</v>
      </c>
      <c r="I351" s="70">
        <v>0</v>
      </c>
      <c r="J351" s="40" t="s">
        <v>743</v>
      </c>
      <c r="K351" s="54" t="s">
        <v>731</v>
      </c>
      <c r="L351" s="16" t="s">
        <v>1036</v>
      </c>
      <c r="M351" s="71" t="s">
        <v>1037</v>
      </c>
      <c r="N351" s="47">
        <v>0</v>
      </c>
      <c r="O351" s="47">
        <v>0</v>
      </c>
      <c r="P351" s="47">
        <v>0</v>
      </c>
      <c r="Q351" s="47">
        <v>0</v>
      </c>
      <c r="R351" s="47">
        <v>0</v>
      </c>
      <c r="S351" s="15" t="s">
        <v>26</v>
      </c>
      <c r="T351" s="15" t="s">
        <v>26</v>
      </c>
      <c r="U351" s="15" t="s">
        <v>26</v>
      </c>
      <c r="V351" s="16" t="s">
        <v>26</v>
      </c>
      <c r="W351" s="15"/>
      <c r="X351" s="49">
        <v>4040</v>
      </c>
      <c r="Y351" s="50" t="s">
        <v>954</v>
      </c>
      <c r="Z351" s="51" t="s">
        <v>845</v>
      </c>
    </row>
    <row r="352" spans="1:26" s="56" customFormat="1" ht="14.4" x14ac:dyDescent="0.3">
      <c r="A352" s="15">
        <v>27</v>
      </c>
      <c r="B352" s="15" t="s">
        <v>729</v>
      </c>
      <c r="C352" s="15" t="s">
        <v>26</v>
      </c>
      <c r="D352" s="15" t="s">
        <v>26</v>
      </c>
      <c r="E352" s="15" t="s">
        <v>26</v>
      </c>
      <c r="F352" s="16" t="s">
        <v>26</v>
      </c>
      <c r="G352" s="16" t="s">
        <v>26</v>
      </c>
      <c r="H352" s="15">
        <v>4110</v>
      </c>
      <c r="I352" s="70">
        <v>0</v>
      </c>
      <c r="J352" s="40" t="s">
        <v>743</v>
      </c>
      <c r="K352" s="54" t="s">
        <v>731</v>
      </c>
      <c r="L352" s="16" t="s">
        <v>1038</v>
      </c>
      <c r="M352" s="71" t="s">
        <v>1039</v>
      </c>
      <c r="N352" s="47">
        <v>0</v>
      </c>
      <c r="O352" s="47">
        <v>0</v>
      </c>
      <c r="P352" s="47">
        <v>0</v>
      </c>
      <c r="Q352" s="47">
        <v>0</v>
      </c>
      <c r="R352" s="47">
        <v>0</v>
      </c>
      <c r="S352" s="15" t="s">
        <v>26</v>
      </c>
      <c r="T352" s="15" t="s">
        <v>26</v>
      </c>
      <c r="U352" s="15" t="s">
        <v>26</v>
      </c>
      <c r="V352" s="16" t="s">
        <v>26</v>
      </c>
      <c r="W352" s="15"/>
      <c r="X352" s="49">
        <v>4110</v>
      </c>
      <c r="Y352" s="50" t="s">
        <v>954</v>
      </c>
      <c r="Z352" s="51" t="s">
        <v>845</v>
      </c>
    </row>
    <row r="353" spans="1:26" s="56" customFormat="1" ht="14.4" x14ac:dyDescent="0.3">
      <c r="A353" s="15">
        <v>27</v>
      </c>
      <c r="B353" s="15" t="s">
        <v>729</v>
      </c>
      <c r="C353" s="15" t="s">
        <v>26</v>
      </c>
      <c r="D353" s="15" t="s">
        <v>26</v>
      </c>
      <c r="E353" s="15" t="s">
        <v>26</v>
      </c>
      <c r="F353" s="16" t="s">
        <v>26</v>
      </c>
      <c r="G353" s="16" t="s">
        <v>26</v>
      </c>
      <c r="H353" s="15">
        <v>4120</v>
      </c>
      <c r="I353" s="70">
        <v>0</v>
      </c>
      <c r="J353" s="40" t="s">
        <v>743</v>
      </c>
      <c r="K353" s="54" t="s">
        <v>731</v>
      </c>
      <c r="L353" s="16" t="s">
        <v>1040</v>
      </c>
      <c r="M353" s="71" t="s">
        <v>1041</v>
      </c>
      <c r="N353" s="47">
        <v>0</v>
      </c>
      <c r="O353" s="47">
        <v>0</v>
      </c>
      <c r="P353" s="47">
        <v>0</v>
      </c>
      <c r="Q353" s="47">
        <v>0</v>
      </c>
      <c r="R353" s="47">
        <v>0</v>
      </c>
      <c r="S353" s="15" t="s">
        <v>26</v>
      </c>
      <c r="T353" s="15" t="s">
        <v>26</v>
      </c>
      <c r="U353" s="15" t="s">
        <v>26</v>
      </c>
      <c r="V353" s="16" t="s">
        <v>26</v>
      </c>
      <c r="W353" s="15"/>
      <c r="X353" s="49">
        <v>4120</v>
      </c>
      <c r="Y353" s="50" t="s">
        <v>954</v>
      </c>
      <c r="Z353" s="51" t="s">
        <v>845</v>
      </c>
    </row>
    <row r="354" spans="1:26" s="56" customFormat="1" ht="14.4" x14ac:dyDescent="0.3">
      <c r="A354" s="15">
        <v>27</v>
      </c>
      <c r="B354" s="15" t="s">
        <v>729</v>
      </c>
      <c r="C354" s="15" t="s">
        <v>26</v>
      </c>
      <c r="D354" s="15" t="s">
        <v>26</v>
      </c>
      <c r="E354" s="15" t="s">
        <v>26</v>
      </c>
      <c r="F354" s="16" t="s">
        <v>26</v>
      </c>
      <c r="G354" s="16" t="s">
        <v>26</v>
      </c>
      <c r="H354" s="15">
        <v>4120</v>
      </c>
      <c r="I354" s="70">
        <v>0</v>
      </c>
      <c r="J354" s="40" t="s">
        <v>743</v>
      </c>
      <c r="K354" s="54" t="s">
        <v>731</v>
      </c>
      <c r="L354" s="16" t="s">
        <v>1042</v>
      </c>
      <c r="M354" s="71" t="s">
        <v>1043</v>
      </c>
      <c r="N354" s="47">
        <v>0</v>
      </c>
      <c r="O354" s="47">
        <v>0</v>
      </c>
      <c r="P354" s="47">
        <v>0</v>
      </c>
      <c r="Q354" s="47">
        <v>0</v>
      </c>
      <c r="R354" s="47">
        <v>0</v>
      </c>
      <c r="S354" s="15" t="s">
        <v>26</v>
      </c>
      <c r="T354" s="15" t="s">
        <v>26</v>
      </c>
      <c r="U354" s="15" t="s">
        <v>26</v>
      </c>
      <c r="V354" s="16" t="s">
        <v>26</v>
      </c>
      <c r="W354" s="15"/>
      <c r="X354" s="49">
        <v>4120</v>
      </c>
      <c r="Y354" s="50" t="s">
        <v>954</v>
      </c>
      <c r="Z354" s="51" t="s">
        <v>845</v>
      </c>
    </row>
    <row r="355" spans="1:26" s="56" customFormat="1" ht="14.4" x14ac:dyDescent="0.3">
      <c r="A355" s="15">
        <v>27</v>
      </c>
      <c r="B355" s="15" t="s">
        <v>729</v>
      </c>
      <c r="C355" s="15" t="s">
        <v>26</v>
      </c>
      <c r="D355" s="15" t="s">
        <v>26</v>
      </c>
      <c r="E355" s="15" t="s">
        <v>26</v>
      </c>
      <c r="F355" s="16" t="s">
        <v>26</v>
      </c>
      <c r="G355" s="16" t="s">
        <v>26</v>
      </c>
      <c r="H355" s="15">
        <v>4710</v>
      </c>
      <c r="I355" s="70">
        <v>0</v>
      </c>
      <c r="J355" s="40" t="s">
        <v>743</v>
      </c>
      <c r="K355" s="54" t="s">
        <v>731</v>
      </c>
      <c r="L355" s="16" t="s">
        <v>1044</v>
      </c>
      <c r="M355" s="71" t="s">
        <v>1045</v>
      </c>
      <c r="N355" s="47">
        <v>0</v>
      </c>
      <c r="O355" s="47">
        <v>0</v>
      </c>
      <c r="P355" s="47">
        <v>0</v>
      </c>
      <c r="Q355" s="47">
        <v>0</v>
      </c>
      <c r="R355" s="47">
        <v>0</v>
      </c>
      <c r="S355" s="15" t="s">
        <v>26</v>
      </c>
      <c r="T355" s="15" t="s">
        <v>26</v>
      </c>
      <c r="U355" s="15" t="s">
        <v>26</v>
      </c>
      <c r="V355" s="16" t="s">
        <v>26</v>
      </c>
      <c r="W355" s="15"/>
      <c r="X355" s="49">
        <v>4710</v>
      </c>
      <c r="Y355" s="50" t="s">
        <v>954</v>
      </c>
      <c r="Z355" s="51" t="s">
        <v>845</v>
      </c>
    </row>
    <row r="356" spans="1:26" s="56" customFormat="1" ht="14.4" x14ac:dyDescent="0.3">
      <c r="A356" s="15">
        <v>27</v>
      </c>
      <c r="B356" s="15" t="s">
        <v>729</v>
      </c>
      <c r="C356" s="15" t="s">
        <v>26</v>
      </c>
      <c r="D356" s="15" t="s">
        <v>26</v>
      </c>
      <c r="E356" s="15" t="s">
        <v>26</v>
      </c>
      <c r="F356" s="16" t="s">
        <v>26</v>
      </c>
      <c r="G356" s="16" t="s">
        <v>26</v>
      </c>
      <c r="H356" s="15">
        <v>4000</v>
      </c>
      <c r="I356" s="70">
        <v>0</v>
      </c>
      <c r="J356" s="40" t="s">
        <v>743</v>
      </c>
      <c r="K356" s="54" t="s">
        <v>731</v>
      </c>
      <c r="L356" s="16" t="s">
        <v>1046</v>
      </c>
      <c r="M356" s="71" t="s">
        <v>1047</v>
      </c>
      <c r="N356" s="47">
        <v>0</v>
      </c>
      <c r="O356" s="47">
        <v>0</v>
      </c>
      <c r="P356" s="47">
        <v>0</v>
      </c>
      <c r="Q356" s="47">
        <v>0</v>
      </c>
      <c r="R356" s="47">
        <v>0</v>
      </c>
      <c r="S356" s="15" t="s">
        <v>26</v>
      </c>
      <c r="T356" s="15" t="s">
        <v>26</v>
      </c>
      <c r="U356" s="15" t="s">
        <v>26</v>
      </c>
      <c r="V356" s="16" t="s">
        <v>26</v>
      </c>
      <c r="W356" s="15"/>
      <c r="X356" s="49">
        <v>4210</v>
      </c>
      <c r="Y356" s="50" t="s">
        <v>954</v>
      </c>
      <c r="Z356" s="51" t="s">
        <v>845</v>
      </c>
    </row>
    <row r="357" spans="1:26" s="56" customFormat="1" ht="14.4" x14ac:dyDescent="0.3">
      <c r="A357" s="15">
        <v>27</v>
      </c>
      <c r="B357" s="15" t="s">
        <v>729</v>
      </c>
      <c r="C357" s="15" t="s">
        <v>26</v>
      </c>
      <c r="D357" s="15" t="s">
        <v>26</v>
      </c>
      <c r="E357" s="15" t="s">
        <v>26</v>
      </c>
      <c r="F357" s="16" t="s">
        <v>26</v>
      </c>
      <c r="G357" s="16" t="s">
        <v>26</v>
      </c>
      <c r="H357" s="15">
        <v>4000</v>
      </c>
      <c r="I357" s="70">
        <v>0</v>
      </c>
      <c r="J357" s="40" t="s">
        <v>743</v>
      </c>
      <c r="K357" s="54" t="s">
        <v>731</v>
      </c>
      <c r="L357" s="16" t="s">
        <v>1048</v>
      </c>
      <c r="M357" s="15" t="s">
        <v>1049</v>
      </c>
      <c r="N357" s="47">
        <v>0</v>
      </c>
      <c r="O357" s="47">
        <v>0</v>
      </c>
      <c r="P357" s="47">
        <v>0</v>
      </c>
      <c r="Q357" s="47">
        <v>0</v>
      </c>
      <c r="R357" s="47">
        <v>0</v>
      </c>
      <c r="S357" s="15" t="s">
        <v>26</v>
      </c>
      <c r="T357" s="15" t="s">
        <v>26</v>
      </c>
      <c r="U357" s="15" t="s">
        <v>26</v>
      </c>
      <c r="V357" s="16" t="s">
        <v>26</v>
      </c>
      <c r="W357" s="15"/>
      <c r="X357" s="49">
        <v>4210</v>
      </c>
      <c r="Y357" s="50" t="s">
        <v>954</v>
      </c>
      <c r="Z357" s="51" t="s">
        <v>845</v>
      </c>
    </row>
    <row r="358" spans="1:26" s="56" customFormat="1" ht="14.4" x14ac:dyDescent="0.3">
      <c r="A358" s="15">
        <v>27</v>
      </c>
      <c r="B358" s="15" t="s">
        <v>729</v>
      </c>
      <c r="C358" s="15" t="s">
        <v>26</v>
      </c>
      <c r="D358" s="15" t="s">
        <v>26</v>
      </c>
      <c r="E358" s="15" t="s">
        <v>26</v>
      </c>
      <c r="F358" s="16" t="s">
        <v>26</v>
      </c>
      <c r="G358" s="16" t="s">
        <v>26</v>
      </c>
      <c r="H358" s="15">
        <v>4240</v>
      </c>
      <c r="I358" s="70">
        <v>0</v>
      </c>
      <c r="J358" s="40" t="s">
        <v>743</v>
      </c>
      <c r="K358" s="54" t="s">
        <v>731</v>
      </c>
      <c r="L358" s="16" t="s">
        <v>1050</v>
      </c>
      <c r="M358" s="15" t="s">
        <v>1051</v>
      </c>
      <c r="N358" s="47">
        <v>0</v>
      </c>
      <c r="O358" s="47">
        <v>0</v>
      </c>
      <c r="P358" s="47">
        <v>0</v>
      </c>
      <c r="Q358" s="47">
        <v>0</v>
      </c>
      <c r="R358" s="47">
        <v>0</v>
      </c>
      <c r="S358" s="15" t="s">
        <v>26</v>
      </c>
      <c r="T358" s="15" t="s">
        <v>26</v>
      </c>
      <c r="U358" s="15" t="s">
        <v>26</v>
      </c>
      <c r="V358" s="16" t="s">
        <v>26</v>
      </c>
      <c r="W358" s="15"/>
      <c r="X358" s="49">
        <v>4240</v>
      </c>
      <c r="Y358" s="50" t="s">
        <v>954</v>
      </c>
      <c r="Z358" s="51" t="s">
        <v>845</v>
      </c>
    </row>
    <row r="359" spans="1:26" s="56" customFormat="1" ht="14.4" x14ac:dyDescent="0.3">
      <c r="A359" s="15">
        <v>27</v>
      </c>
      <c r="B359" s="15" t="s">
        <v>729</v>
      </c>
      <c r="C359" s="15" t="s">
        <v>26</v>
      </c>
      <c r="D359" s="15" t="s">
        <v>26</v>
      </c>
      <c r="E359" s="15" t="s">
        <v>26</v>
      </c>
      <c r="F359" s="16" t="s">
        <v>26</v>
      </c>
      <c r="G359" s="16" t="s">
        <v>26</v>
      </c>
      <c r="H359" s="15">
        <v>2830</v>
      </c>
      <c r="I359" s="70">
        <v>0</v>
      </c>
      <c r="J359" s="40" t="s">
        <v>762</v>
      </c>
      <c r="K359" s="16" t="s">
        <v>580</v>
      </c>
      <c r="L359" s="16" t="s">
        <v>1052</v>
      </c>
      <c r="M359" s="15" t="s">
        <v>1053</v>
      </c>
      <c r="N359" s="41">
        <v>0</v>
      </c>
      <c r="O359" s="41">
        <v>0</v>
      </c>
      <c r="P359" s="41">
        <v>0</v>
      </c>
      <c r="Q359" s="41">
        <v>0</v>
      </c>
      <c r="R359" s="41">
        <v>0</v>
      </c>
      <c r="S359" s="15" t="s">
        <v>26</v>
      </c>
      <c r="T359" s="15" t="s">
        <v>26</v>
      </c>
      <c r="U359" s="15" t="s">
        <v>26</v>
      </c>
      <c r="V359" s="16" t="s">
        <v>26</v>
      </c>
      <c r="W359" s="16" t="s">
        <v>747</v>
      </c>
      <c r="X359" s="49" t="s">
        <v>972</v>
      </c>
      <c r="Y359" s="50" t="s">
        <v>954</v>
      </c>
      <c r="Z359" s="51" t="s">
        <v>845</v>
      </c>
    </row>
    <row r="360" spans="1:26" s="56" customFormat="1" ht="14.4" x14ac:dyDescent="0.3">
      <c r="A360" s="15">
        <v>27</v>
      </c>
      <c r="B360" s="15" t="s">
        <v>729</v>
      </c>
      <c r="C360" s="15" t="s">
        <v>26</v>
      </c>
      <c r="D360" s="15" t="s">
        <v>26</v>
      </c>
      <c r="E360" s="15" t="s">
        <v>26</v>
      </c>
      <c r="F360" s="16" t="s">
        <v>26</v>
      </c>
      <c r="G360" s="16" t="s">
        <v>26</v>
      </c>
      <c r="H360" s="15">
        <v>6230</v>
      </c>
      <c r="I360" s="70">
        <v>0</v>
      </c>
      <c r="J360" s="40" t="s">
        <v>762</v>
      </c>
      <c r="K360" s="16" t="s">
        <v>580</v>
      </c>
      <c r="L360" s="15" t="s">
        <v>1052</v>
      </c>
      <c r="M360" s="15" t="s">
        <v>1053</v>
      </c>
      <c r="N360" s="41">
        <v>0</v>
      </c>
      <c r="O360" s="41">
        <v>0</v>
      </c>
      <c r="P360" s="41">
        <v>0</v>
      </c>
      <c r="Q360" s="41">
        <v>0</v>
      </c>
      <c r="R360" s="41">
        <v>0</v>
      </c>
      <c r="S360" s="15" t="s">
        <v>26</v>
      </c>
      <c r="T360" s="15" t="s">
        <v>26</v>
      </c>
      <c r="U360" s="15" t="s">
        <v>26</v>
      </c>
      <c r="V360" s="16" t="s">
        <v>26</v>
      </c>
      <c r="W360" s="16" t="s">
        <v>747</v>
      </c>
      <c r="X360" s="49" t="s">
        <v>973</v>
      </c>
      <c r="Y360" s="50" t="s">
        <v>755</v>
      </c>
      <c r="Z360" s="51" t="s">
        <v>845</v>
      </c>
    </row>
    <row r="361" spans="1:26" s="56" customFormat="1" ht="14.4" x14ac:dyDescent="0.3">
      <c r="A361" s="15">
        <v>27</v>
      </c>
      <c r="B361" s="15" t="s">
        <v>729</v>
      </c>
      <c r="C361" s="15" t="s">
        <v>26</v>
      </c>
      <c r="D361" s="15" t="s">
        <v>26</v>
      </c>
      <c r="E361" s="15" t="s">
        <v>26</v>
      </c>
      <c r="F361" s="16" t="s">
        <v>26</v>
      </c>
      <c r="G361" s="16" t="s">
        <v>26</v>
      </c>
      <c r="H361" s="15">
        <v>2830</v>
      </c>
      <c r="I361" s="70">
        <v>0</v>
      </c>
      <c r="J361" s="40" t="s">
        <v>762</v>
      </c>
      <c r="K361" s="16" t="s">
        <v>580</v>
      </c>
      <c r="L361" s="16" t="s">
        <v>1054</v>
      </c>
      <c r="M361" s="15" t="s">
        <v>1055</v>
      </c>
      <c r="N361" s="41">
        <v>0</v>
      </c>
      <c r="O361" s="41">
        <v>0</v>
      </c>
      <c r="P361" s="41">
        <v>0</v>
      </c>
      <c r="Q361" s="41">
        <v>0</v>
      </c>
      <c r="R361" s="41">
        <v>0</v>
      </c>
      <c r="S361" s="15" t="s">
        <v>26</v>
      </c>
      <c r="T361" s="15" t="s">
        <v>26</v>
      </c>
      <c r="U361" s="15" t="s">
        <v>26</v>
      </c>
      <c r="V361" s="16" t="s">
        <v>26</v>
      </c>
      <c r="W361" s="16" t="s">
        <v>747</v>
      </c>
      <c r="X361" s="49" t="s">
        <v>972</v>
      </c>
      <c r="Y361" s="50" t="s">
        <v>954</v>
      </c>
      <c r="Z361" s="51" t="s">
        <v>845</v>
      </c>
    </row>
    <row r="362" spans="1:26" s="56" customFormat="1" ht="14.4" x14ac:dyDescent="0.3">
      <c r="A362" s="15">
        <v>27</v>
      </c>
      <c r="B362" s="15" t="s">
        <v>729</v>
      </c>
      <c r="C362" s="15" t="s">
        <v>26</v>
      </c>
      <c r="D362" s="15" t="s">
        <v>26</v>
      </c>
      <c r="E362" s="15" t="s">
        <v>26</v>
      </c>
      <c r="F362" s="16" t="s">
        <v>26</v>
      </c>
      <c r="G362" s="16" t="s">
        <v>26</v>
      </c>
      <c r="H362" s="15">
        <v>6230</v>
      </c>
      <c r="I362" s="70">
        <v>0</v>
      </c>
      <c r="J362" s="40" t="s">
        <v>762</v>
      </c>
      <c r="K362" s="16" t="s">
        <v>580</v>
      </c>
      <c r="L362" s="15" t="s">
        <v>1054</v>
      </c>
      <c r="M362" s="15" t="s">
        <v>1055</v>
      </c>
      <c r="N362" s="41">
        <v>0</v>
      </c>
      <c r="O362" s="41">
        <v>0</v>
      </c>
      <c r="P362" s="41">
        <v>0</v>
      </c>
      <c r="Q362" s="41">
        <v>0</v>
      </c>
      <c r="R362" s="41">
        <v>0</v>
      </c>
      <c r="S362" s="15" t="s">
        <v>26</v>
      </c>
      <c r="T362" s="15" t="s">
        <v>26</v>
      </c>
      <c r="U362" s="15" t="s">
        <v>26</v>
      </c>
      <c r="V362" s="16" t="s">
        <v>26</v>
      </c>
      <c r="W362" s="16" t="s">
        <v>747</v>
      </c>
      <c r="X362" s="49" t="s">
        <v>973</v>
      </c>
      <c r="Y362" s="50" t="s">
        <v>755</v>
      </c>
      <c r="Z362" s="51" t="s">
        <v>845</v>
      </c>
    </row>
    <row r="363" spans="1:26" s="56" customFormat="1" ht="14.4" x14ac:dyDescent="0.3">
      <c r="A363" s="15">
        <v>27</v>
      </c>
      <c r="B363" s="15" t="s">
        <v>729</v>
      </c>
      <c r="C363" s="15" t="s">
        <v>26</v>
      </c>
      <c r="D363" s="15" t="s">
        <v>26</v>
      </c>
      <c r="E363" s="15" t="s">
        <v>26</v>
      </c>
      <c r="F363" s="16" t="s">
        <v>26</v>
      </c>
      <c r="G363" s="16" t="s">
        <v>26</v>
      </c>
      <c r="H363" s="15">
        <v>2830</v>
      </c>
      <c r="I363" s="70">
        <v>0</v>
      </c>
      <c r="J363" s="40" t="s">
        <v>762</v>
      </c>
      <c r="K363" s="16" t="s">
        <v>580</v>
      </c>
      <c r="L363" s="52" t="s">
        <v>1056</v>
      </c>
      <c r="M363" s="16" t="s">
        <v>1057</v>
      </c>
      <c r="N363" s="41">
        <v>2414</v>
      </c>
      <c r="O363" s="41">
        <v>0</v>
      </c>
      <c r="P363" s="41">
        <v>0</v>
      </c>
      <c r="Q363" s="41">
        <v>0</v>
      </c>
      <c r="R363" s="41">
        <v>0</v>
      </c>
      <c r="S363" s="15" t="s">
        <v>26</v>
      </c>
      <c r="T363" s="15" t="s">
        <v>26</v>
      </c>
      <c r="U363" s="15" t="s">
        <v>26</v>
      </c>
      <c r="V363" s="16" t="s">
        <v>26</v>
      </c>
      <c r="W363" s="16" t="s">
        <v>747</v>
      </c>
      <c r="X363" s="49">
        <v>2830</v>
      </c>
      <c r="Y363" s="50" t="s">
        <v>757</v>
      </c>
      <c r="Z363" s="51" t="s">
        <v>845</v>
      </c>
    </row>
    <row r="364" spans="1:26" s="56" customFormat="1" ht="115.2" x14ac:dyDescent="0.3">
      <c r="A364" s="80">
        <v>27</v>
      </c>
      <c r="B364" s="81" t="s">
        <v>1058</v>
      </c>
      <c r="C364" s="81" t="s">
        <v>1059</v>
      </c>
      <c r="D364" s="81" t="s">
        <v>1060</v>
      </c>
      <c r="E364" s="81"/>
      <c r="F364" s="82" t="s">
        <v>420</v>
      </c>
      <c r="G364" s="83">
        <v>2025</v>
      </c>
      <c r="H364" s="84">
        <v>4000</v>
      </c>
      <c r="I364" s="85" t="s">
        <v>1061</v>
      </c>
      <c r="J364" s="86" t="s">
        <v>1062</v>
      </c>
      <c r="K364" s="87"/>
      <c r="L364" s="81" t="s">
        <v>1063</v>
      </c>
      <c r="M364" s="81" t="s">
        <v>1064</v>
      </c>
      <c r="N364" s="88">
        <v>1200</v>
      </c>
      <c r="O364" s="89">
        <v>1320</v>
      </c>
      <c r="P364" s="89">
        <v>1452</v>
      </c>
      <c r="Q364" s="90"/>
      <c r="R364" s="90"/>
      <c r="S364" s="81" t="s">
        <v>50</v>
      </c>
      <c r="T364" s="91"/>
      <c r="U364" s="92"/>
      <c r="V364" s="81"/>
      <c r="W364" s="83"/>
      <c r="X364" s="93"/>
      <c r="Y364" s="94"/>
      <c r="Z364" s="95"/>
    </row>
    <row r="365" spans="1:26" s="56" customFormat="1" ht="72" x14ac:dyDescent="0.3">
      <c r="A365" s="80">
        <v>27</v>
      </c>
      <c r="B365" s="81" t="s">
        <v>1058</v>
      </c>
      <c r="C365" s="81" t="s">
        <v>1059</v>
      </c>
      <c r="D365" s="81" t="s">
        <v>1065</v>
      </c>
      <c r="E365" s="81"/>
      <c r="F365" s="82" t="s">
        <v>420</v>
      </c>
      <c r="G365" s="83">
        <v>2025</v>
      </c>
      <c r="H365" s="84">
        <v>4000</v>
      </c>
      <c r="I365" s="85" t="s">
        <v>1061</v>
      </c>
      <c r="J365" s="86" t="s">
        <v>1062</v>
      </c>
      <c r="K365" s="87"/>
      <c r="L365" s="81" t="s">
        <v>1059</v>
      </c>
      <c r="M365" s="81" t="s">
        <v>1066</v>
      </c>
      <c r="N365" s="88">
        <v>75</v>
      </c>
      <c r="O365" s="89">
        <v>1125</v>
      </c>
      <c r="P365" s="89">
        <v>1237</v>
      </c>
      <c r="Q365" s="96"/>
      <c r="R365" s="96"/>
      <c r="S365" s="81" t="s">
        <v>50</v>
      </c>
      <c r="T365" s="81"/>
      <c r="U365" s="91"/>
      <c r="V365" s="92"/>
      <c r="W365" s="83"/>
      <c r="X365" s="93"/>
      <c r="Y365" s="94"/>
      <c r="Z365" s="95"/>
    </row>
    <row r="366" spans="1:26" s="56" customFormat="1" ht="115.2" x14ac:dyDescent="0.3">
      <c r="A366" s="80">
        <v>27</v>
      </c>
      <c r="B366" s="81" t="s">
        <v>1058</v>
      </c>
      <c r="C366" s="81" t="s">
        <v>1059</v>
      </c>
      <c r="D366" s="81" t="s">
        <v>1067</v>
      </c>
      <c r="E366" s="81"/>
      <c r="F366" s="82" t="s">
        <v>420</v>
      </c>
      <c r="G366" s="83">
        <v>2025</v>
      </c>
      <c r="H366" s="84">
        <v>4190</v>
      </c>
      <c r="I366" s="85" t="s">
        <v>1061</v>
      </c>
      <c r="J366" s="86" t="s">
        <v>1062</v>
      </c>
      <c r="K366" s="87"/>
      <c r="L366" s="81" t="s">
        <v>1068</v>
      </c>
      <c r="M366" s="81" t="s">
        <v>1069</v>
      </c>
      <c r="N366" s="88">
        <v>90</v>
      </c>
      <c r="O366" s="89">
        <v>99</v>
      </c>
      <c r="P366" s="89">
        <v>109</v>
      </c>
      <c r="Q366" s="96"/>
      <c r="R366" s="96"/>
      <c r="S366" s="81" t="s">
        <v>50</v>
      </c>
      <c r="T366" s="81"/>
      <c r="U366" s="91"/>
      <c r="V366" s="92"/>
      <c r="W366" s="83"/>
      <c r="X366" s="93"/>
      <c r="Y366" s="94"/>
      <c r="Z366" s="95"/>
    </row>
    <row r="367" spans="1:26" s="56" customFormat="1" ht="72" x14ac:dyDescent="0.3">
      <c r="A367" s="80">
        <v>27</v>
      </c>
      <c r="B367" s="81" t="s">
        <v>1058</v>
      </c>
      <c r="C367" s="81" t="s">
        <v>513</v>
      </c>
      <c r="D367" s="81" t="s">
        <v>1070</v>
      </c>
      <c r="E367" s="81"/>
      <c r="F367" s="82" t="s">
        <v>420</v>
      </c>
      <c r="G367" s="83">
        <v>2025</v>
      </c>
      <c r="H367" s="84">
        <v>4000</v>
      </c>
      <c r="I367" s="85" t="s">
        <v>1061</v>
      </c>
      <c r="J367" s="86" t="s">
        <v>1062</v>
      </c>
      <c r="K367" s="87"/>
      <c r="L367" s="81" t="s">
        <v>513</v>
      </c>
      <c r="M367" s="81" t="s">
        <v>1071</v>
      </c>
      <c r="N367" s="88">
        <v>25</v>
      </c>
      <c r="O367" s="97">
        <v>28</v>
      </c>
      <c r="P367" s="89">
        <v>30</v>
      </c>
      <c r="Q367" s="90"/>
      <c r="R367" s="90"/>
      <c r="S367" s="81" t="s">
        <v>50</v>
      </c>
      <c r="T367" s="91"/>
      <c r="U367" s="81"/>
      <c r="V367" s="92"/>
      <c r="W367" s="81"/>
      <c r="X367" s="93"/>
      <c r="Y367" s="94"/>
      <c r="Z367" s="95"/>
    </row>
    <row r="368" spans="1:26" s="56" customFormat="1" ht="144" x14ac:dyDescent="0.3">
      <c r="A368" s="80">
        <v>27</v>
      </c>
      <c r="B368" s="81" t="s">
        <v>1058</v>
      </c>
      <c r="C368" s="81" t="s">
        <v>1072</v>
      </c>
      <c r="D368" s="81" t="s">
        <v>1073</v>
      </c>
      <c r="E368" s="81"/>
      <c r="F368" s="82" t="s">
        <v>420</v>
      </c>
      <c r="G368" s="83">
        <v>2025</v>
      </c>
      <c r="H368" s="84">
        <v>4000</v>
      </c>
      <c r="I368" s="85" t="s">
        <v>1061</v>
      </c>
      <c r="J368" s="86" t="s">
        <v>1062</v>
      </c>
      <c r="K368" s="87"/>
      <c r="L368" s="81" t="s">
        <v>1072</v>
      </c>
      <c r="M368" s="81" t="s">
        <v>1073</v>
      </c>
      <c r="N368" s="88">
        <v>45</v>
      </c>
      <c r="O368" s="89">
        <v>50</v>
      </c>
      <c r="P368" s="89">
        <v>55</v>
      </c>
      <c r="Q368" s="98"/>
      <c r="R368" s="98"/>
      <c r="S368" s="81" t="s">
        <v>50</v>
      </c>
      <c r="T368" s="91"/>
      <c r="U368" s="81"/>
      <c r="V368" s="92"/>
      <c r="W368" s="81"/>
      <c r="X368" s="93"/>
      <c r="Y368" s="94"/>
      <c r="Z368" s="95"/>
    </row>
    <row r="369" spans="1:26" s="56" customFormat="1" ht="14.4" x14ac:dyDescent="0.3">
      <c r="A369" s="80">
        <v>27</v>
      </c>
      <c r="B369" s="81" t="s">
        <v>1058</v>
      </c>
      <c r="C369" s="81" t="s">
        <v>1074</v>
      </c>
      <c r="D369" s="81" t="s">
        <v>615</v>
      </c>
      <c r="E369" s="81"/>
      <c r="F369" s="82" t="s">
        <v>420</v>
      </c>
      <c r="G369" s="83">
        <v>2025</v>
      </c>
      <c r="H369" s="84">
        <v>4000</v>
      </c>
      <c r="I369" s="85" t="s">
        <v>1061</v>
      </c>
      <c r="J369" s="86" t="s">
        <v>1062</v>
      </c>
      <c r="K369" s="87"/>
      <c r="L369" s="81" t="s">
        <v>1074</v>
      </c>
      <c r="M369" s="81" t="s">
        <v>1075</v>
      </c>
      <c r="N369" s="88">
        <v>5</v>
      </c>
      <c r="O369" s="89">
        <v>6</v>
      </c>
      <c r="P369" s="89">
        <v>6</v>
      </c>
      <c r="Q369" s="98"/>
      <c r="R369" s="98"/>
      <c r="S369" s="81" t="s">
        <v>50</v>
      </c>
      <c r="T369" s="91"/>
      <c r="U369" s="81"/>
      <c r="V369" s="92"/>
      <c r="W369" s="81"/>
      <c r="X369" s="93"/>
      <c r="Y369" s="94"/>
      <c r="Z369" s="95"/>
    </row>
    <row r="370" spans="1:26" s="56" customFormat="1" ht="100.8" x14ac:dyDescent="0.3">
      <c r="A370" s="80">
        <v>27</v>
      </c>
      <c r="B370" s="81" t="s">
        <v>1058</v>
      </c>
      <c r="C370" s="81" t="s">
        <v>1059</v>
      </c>
      <c r="D370" s="81" t="s">
        <v>1076</v>
      </c>
      <c r="E370" s="81"/>
      <c r="F370" s="82" t="s">
        <v>420</v>
      </c>
      <c r="G370" s="83">
        <v>2025</v>
      </c>
      <c r="H370" s="84">
        <v>4000</v>
      </c>
      <c r="I370" s="85" t="s">
        <v>1061</v>
      </c>
      <c r="J370" s="86" t="s">
        <v>1062</v>
      </c>
      <c r="K370" s="87"/>
      <c r="L370" s="81" t="s">
        <v>1077</v>
      </c>
      <c r="M370" s="81" t="s">
        <v>1078</v>
      </c>
      <c r="N370" s="88">
        <v>400</v>
      </c>
      <c r="O370" s="89">
        <v>440</v>
      </c>
      <c r="P370" s="89">
        <v>484</v>
      </c>
      <c r="Q370" s="98"/>
      <c r="R370" s="98"/>
      <c r="S370" s="81" t="s">
        <v>50</v>
      </c>
      <c r="T370" s="91"/>
      <c r="U370" s="81"/>
      <c r="V370" s="92"/>
      <c r="W370" s="81"/>
      <c r="X370" s="93"/>
      <c r="Y370" s="94"/>
      <c r="Z370" s="95"/>
    </row>
    <row r="371" spans="1:26" s="56" customFormat="1" ht="17.100000000000001" customHeight="1" x14ac:dyDescent="0.3">
      <c r="A371" s="80">
        <v>27</v>
      </c>
      <c r="B371" s="81" t="s">
        <v>1058</v>
      </c>
      <c r="C371" s="81" t="s">
        <v>1079</v>
      </c>
      <c r="D371" s="81" t="s">
        <v>1080</v>
      </c>
      <c r="E371" s="81"/>
      <c r="F371" s="82" t="s">
        <v>420</v>
      </c>
      <c r="G371" s="83">
        <v>2025</v>
      </c>
      <c r="H371" s="99">
        <v>4000</v>
      </c>
      <c r="I371" s="85" t="s">
        <v>1061</v>
      </c>
      <c r="J371" s="86" t="s">
        <v>1062</v>
      </c>
      <c r="K371" s="87"/>
      <c r="L371" s="81" t="s">
        <v>1081</v>
      </c>
      <c r="M371" s="81" t="s">
        <v>1082</v>
      </c>
      <c r="N371" s="88">
        <v>750</v>
      </c>
      <c r="O371" s="97">
        <v>825</v>
      </c>
      <c r="P371" s="89">
        <v>908</v>
      </c>
      <c r="Q371" s="100"/>
      <c r="R371" s="100"/>
      <c r="S371" s="81" t="s">
        <v>50</v>
      </c>
      <c r="T371" s="81"/>
      <c r="U371" s="81"/>
      <c r="V371" s="92"/>
      <c r="W371" s="81"/>
      <c r="X371" s="93"/>
      <c r="Y371" s="94"/>
      <c r="Z371" s="95"/>
    </row>
    <row r="372" spans="1:26" s="56" customFormat="1" ht="316.8" x14ac:dyDescent="0.3">
      <c r="A372" s="80">
        <v>27</v>
      </c>
      <c r="B372" s="81" t="s">
        <v>1058</v>
      </c>
      <c r="C372" s="81" t="s">
        <v>1083</v>
      </c>
      <c r="D372" s="81" t="s">
        <v>1084</v>
      </c>
      <c r="E372" s="81"/>
      <c r="F372" s="82" t="s">
        <v>420</v>
      </c>
      <c r="G372" s="83">
        <v>2025</v>
      </c>
      <c r="H372" s="84">
        <v>4000</v>
      </c>
      <c r="I372" s="85" t="s">
        <v>1061</v>
      </c>
      <c r="J372" s="86" t="s">
        <v>1062</v>
      </c>
      <c r="K372" s="87"/>
      <c r="L372" s="81" t="s">
        <v>1083</v>
      </c>
      <c r="M372" s="81" t="s">
        <v>1084</v>
      </c>
      <c r="N372" s="88">
        <v>20</v>
      </c>
      <c r="O372" s="97">
        <v>22</v>
      </c>
      <c r="P372" s="89">
        <v>24</v>
      </c>
      <c r="Q372" s="90"/>
      <c r="R372" s="90"/>
      <c r="S372" s="81" t="s">
        <v>50</v>
      </c>
      <c r="T372" s="91"/>
      <c r="U372" s="81"/>
      <c r="V372" s="92"/>
      <c r="W372" s="81"/>
      <c r="X372" s="93"/>
      <c r="Y372" s="94"/>
      <c r="Z372" s="95"/>
    </row>
    <row r="373" spans="1:26" s="56" customFormat="1" ht="273.60000000000002" x14ac:dyDescent="0.3">
      <c r="A373" s="80">
        <v>27</v>
      </c>
      <c r="B373" s="81" t="s">
        <v>1058</v>
      </c>
      <c r="C373" s="81" t="s">
        <v>1085</v>
      </c>
      <c r="D373" s="81" t="s">
        <v>1086</v>
      </c>
      <c r="E373" s="81"/>
      <c r="F373" s="82" t="s">
        <v>420</v>
      </c>
      <c r="G373" s="83">
        <v>2025</v>
      </c>
      <c r="H373" s="84">
        <v>2800</v>
      </c>
      <c r="I373" s="85" t="s">
        <v>1061</v>
      </c>
      <c r="J373" s="86" t="s">
        <v>1087</v>
      </c>
      <c r="K373" s="87"/>
      <c r="L373" s="81" t="s">
        <v>1088</v>
      </c>
      <c r="M373" s="81" t="s">
        <v>1086</v>
      </c>
      <c r="N373" s="88">
        <v>1500</v>
      </c>
      <c r="O373" s="97">
        <v>300</v>
      </c>
      <c r="P373" s="97">
        <v>300</v>
      </c>
      <c r="Q373" s="100"/>
      <c r="R373" s="100"/>
      <c r="S373" s="81" t="s">
        <v>50</v>
      </c>
      <c r="T373" s="101"/>
      <c r="U373" s="81"/>
      <c r="V373" s="83"/>
      <c r="W373" s="81"/>
      <c r="X373" s="93"/>
      <c r="Y373" s="94"/>
      <c r="Z373" s="95"/>
    </row>
    <row r="374" spans="1:26" s="56" customFormat="1" x14ac:dyDescent="0.3">
      <c r="A374" s="3">
        <v>27</v>
      </c>
      <c r="B374" s="3" t="s">
        <v>1089</v>
      </c>
      <c r="C374" s="3"/>
      <c r="D374" s="3" t="s">
        <v>1090</v>
      </c>
      <c r="E374" s="3"/>
      <c r="F374" s="3"/>
      <c r="G374" s="3"/>
      <c r="H374" s="3">
        <v>4000</v>
      </c>
      <c r="I374" s="3">
        <v>0</v>
      </c>
      <c r="J374" s="3" t="s">
        <v>28</v>
      </c>
      <c r="K374" s="3"/>
      <c r="L374" s="3" t="s">
        <v>1091</v>
      </c>
      <c r="M374" s="3" t="s">
        <v>1092</v>
      </c>
      <c r="N374" s="4">
        <v>90</v>
      </c>
      <c r="O374" s="4"/>
      <c r="P374" s="4"/>
      <c r="Q374" s="4"/>
      <c r="R374" s="4"/>
      <c r="S374" s="3" t="s">
        <v>24</v>
      </c>
      <c r="T374" s="3" t="s">
        <v>69</v>
      </c>
      <c r="U374" s="3" t="s">
        <v>1093</v>
      </c>
      <c r="V374" s="3" t="s">
        <v>1094</v>
      </c>
      <c r="W374" s="3" t="s">
        <v>1095</v>
      </c>
      <c r="X374" s="102"/>
      <c r="Y374" s="103"/>
      <c r="Z374" s="104"/>
    </row>
    <row r="375" spans="1:26" s="56" customFormat="1" x14ac:dyDescent="0.3">
      <c r="A375" s="3">
        <v>27</v>
      </c>
      <c r="B375" s="3" t="s">
        <v>1089</v>
      </c>
      <c r="C375" s="3"/>
      <c r="D375" s="3" t="s">
        <v>1096</v>
      </c>
      <c r="E375" s="3"/>
      <c r="F375" s="3"/>
      <c r="G375" s="3"/>
      <c r="H375" s="3">
        <v>4000</v>
      </c>
      <c r="I375" s="3">
        <v>0</v>
      </c>
      <c r="J375" s="3" t="s">
        <v>28</v>
      </c>
      <c r="K375" s="3"/>
      <c r="L375" s="3" t="s">
        <v>616</v>
      </c>
      <c r="M375" s="3" t="s">
        <v>1097</v>
      </c>
      <c r="N375" s="4">
        <v>40</v>
      </c>
      <c r="O375" s="4">
        <v>40</v>
      </c>
      <c r="P375" s="4">
        <v>40</v>
      </c>
      <c r="Q375" s="4">
        <v>40</v>
      </c>
      <c r="R375" s="4">
        <v>40</v>
      </c>
      <c r="S375" s="3" t="s">
        <v>50</v>
      </c>
      <c r="T375" s="3" t="s">
        <v>50</v>
      </c>
      <c r="U375" s="3"/>
      <c r="V375" s="3"/>
      <c r="W375" s="3" t="s">
        <v>1098</v>
      </c>
      <c r="X375" s="102"/>
      <c r="Y375" s="103"/>
      <c r="Z375" s="104"/>
    </row>
    <row r="376" spans="1:26" s="56" customFormat="1" x14ac:dyDescent="0.3">
      <c r="A376" s="3">
        <v>27</v>
      </c>
      <c r="B376" s="3" t="s">
        <v>1089</v>
      </c>
      <c r="C376" s="3"/>
      <c r="D376" s="3" t="s">
        <v>1099</v>
      </c>
      <c r="E376" s="3"/>
      <c r="F376" s="3"/>
      <c r="G376" s="3"/>
      <c r="H376" s="3">
        <v>4170</v>
      </c>
      <c r="I376" s="3">
        <v>0</v>
      </c>
      <c r="J376" s="3" t="s">
        <v>28</v>
      </c>
      <c r="K376" s="3"/>
      <c r="L376" s="3" t="s">
        <v>1100</v>
      </c>
      <c r="M376" s="3" t="s">
        <v>1101</v>
      </c>
      <c r="N376" s="4">
        <v>2</v>
      </c>
      <c r="O376" s="4">
        <v>2</v>
      </c>
      <c r="P376" s="4">
        <v>2</v>
      </c>
      <c r="Q376" s="4">
        <v>2</v>
      </c>
      <c r="R376" s="4">
        <v>2</v>
      </c>
      <c r="S376" s="3" t="s">
        <v>50</v>
      </c>
      <c r="T376" s="3" t="s">
        <v>50</v>
      </c>
      <c r="U376" s="3"/>
      <c r="V376" s="3"/>
      <c r="W376" s="3"/>
      <c r="X376" s="102"/>
      <c r="Y376" s="103"/>
      <c r="Z376" s="104"/>
    </row>
    <row r="377" spans="1:26" s="56" customFormat="1" x14ac:dyDescent="0.3">
      <c r="A377" s="3">
        <v>27</v>
      </c>
      <c r="B377" s="3" t="s">
        <v>1089</v>
      </c>
      <c r="C377" s="3"/>
      <c r="D377" s="3" t="s">
        <v>1102</v>
      </c>
      <c r="E377" s="3"/>
      <c r="F377" s="3"/>
      <c r="G377" s="3"/>
      <c r="H377" s="3">
        <v>4240</v>
      </c>
      <c r="I377" s="3">
        <v>0</v>
      </c>
      <c r="J377" s="3" t="s">
        <v>28</v>
      </c>
      <c r="K377" s="3"/>
      <c r="L377" s="3" t="s">
        <v>1103</v>
      </c>
      <c r="M377" s="3" t="s">
        <v>1104</v>
      </c>
      <c r="N377" s="4">
        <v>5</v>
      </c>
      <c r="O377" s="4">
        <v>5</v>
      </c>
      <c r="P377" s="4">
        <v>5</v>
      </c>
      <c r="Q377" s="4">
        <v>5</v>
      </c>
      <c r="R377" s="4">
        <v>5</v>
      </c>
      <c r="S377" s="3" t="s">
        <v>50</v>
      </c>
      <c r="T377" s="3" t="s">
        <v>50</v>
      </c>
      <c r="U377" s="3"/>
      <c r="V377" s="3"/>
      <c r="W377" s="3"/>
      <c r="X377" s="102"/>
      <c r="Y377" s="103"/>
      <c r="Z377" s="104"/>
    </row>
    <row r="378" spans="1:26" s="56" customFormat="1" x14ac:dyDescent="0.3">
      <c r="A378" s="3">
        <v>27</v>
      </c>
      <c r="B378" s="3" t="s">
        <v>1089</v>
      </c>
      <c r="C378" s="3"/>
      <c r="D378" s="3" t="s">
        <v>1105</v>
      </c>
      <c r="E378" s="3"/>
      <c r="F378" s="3"/>
      <c r="G378" s="3"/>
      <c r="H378" s="3">
        <v>4000</v>
      </c>
      <c r="I378" s="3">
        <v>0</v>
      </c>
      <c r="J378" s="3" t="s">
        <v>28</v>
      </c>
      <c r="K378" s="3"/>
      <c r="L378" s="3" t="s">
        <v>1106</v>
      </c>
      <c r="M378" s="3" t="s">
        <v>1107</v>
      </c>
      <c r="N378" s="4">
        <v>80</v>
      </c>
      <c r="O378" s="4">
        <v>80</v>
      </c>
      <c r="P378" s="4">
        <v>80</v>
      </c>
      <c r="Q378" s="4">
        <v>80</v>
      </c>
      <c r="R378" s="4">
        <v>80</v>
      </c>
      <c r="S378" s="3" t="s">
        <v>50</v>
      </c>
      <c r="T378" s="3" t="s">
        <v>50</v>
      </c>
      <c r="U378" s="3"/>
      <c r="V378" s="3"/>
      <c r="W378" s="3"/>
      <c r="X378" s="102"/>
      <c r="Y378" s="103"/>
      <c r="Z378" s="104"/>
    </row>
    <row r="379" spans="1:26" s="56" customFormat="1" x14ac:dyDescent="0.3">
      <c r="A379" s="3">
        <v>27</v>
      </c>
      <c r="B379" s="3" t="s">
        <v>1089</v>
      </c>
      <c r="C379" s="3"/>
      <c r="D379" s="3" t="s">
        <v>1105</v>
      </c>
      <c r="E379" s="3"/>
      <c r="F379" s="3"/>
      <c r="G379" s="3"/>
      <c r="H379" s="3">
        <v>4000</v>
      </c>
      <c r="I379" s="3">
        <v>0</v>
      </c>
      <c r="J379" s="3" t="s">
        <v>28</v>
      </c>
      <c r="K379" s="3"/>
      <c r="L379" s="3" t="s">
        <v>1106</v>
      </c>
      <c r="M379" s="3" t="s">
        <v>1108</v>
      </c>
      <c r="N379" s="4">
        <v>60</v>
      </c>
      <c r="O379" s="4">
        <v>60</v>
      </c>
      <c r="P379" s="4">
        <v>60</v>
      </c>
      <c r="Q379" s="4">
        <v>60</v>
      </c>
      <c r="R379" s="4">
        <v>60</v>
      </c>
      <c r="S379" s="3" t="s">
        <v>50</v>
      </c>
      <c r="T379" s="3" t="s">
        <v>50</v>
      </c>
      <c r="U379" s="3"/>
      <c r="V379" s="3"/>
      <c r="W379" s="3"/>
      <c r="X379" s="102"/>
      <c r="Y379" s="103"/>
      <c r="Z379" s="104"/>
    </row>
    <row r="380" spans="1:26" s="56" customFormat="1" x14ac:dyDescent="0.3">
      <c r="A380" s="3">
        <v>27</v>
      </c>
      <c r="B380" s="3" t="s">
        <v>1109</v>
      </c>
      <c r="C380" s="3"/>
      <c r="D380" s="3"/>
      <c r="E380" s="3"/>
      <c r="F380" s="3"/>
      <c r="G380" s="3"/>
      <c r="H380" s="3">
        <v>2830</v>
      </c>
      <c r="I380" s="3">
        <v>0</v>
      </c>
      <c r="J380" s="3" t="s">
        <v>1110</v>
      </c>
      <c r="K380" s="3"/>
      <c r="L380" s="3" t="s">
        <v>1111</v>
      </c>
      <c r="M380" s="3" t="s">
        <v>1112</v>
      </c>
      <c r="N380" s="22">
        <v>1000</v>
      </c>
      <c r="O380" s="22">
        <v>1100</v>
      </c>
      <c r="P380" s="22">
        <v>1133</v>
      </c>
      <c r="Q380" s="22">
        <v>1167</v>
      </c>
      <c r="R380" s="22">
        <v>1202</v>
      </c>
      <c r="S380" s="3" t="s">
        <v>1113</v>
      </c>
      <c r="T380" s="3"/>
      <c r="U380" s="3" t="s">
        <v>1114</v>
      </c>
      <c r="V380" s="3" t="s">
        <v>1115</v>
      </c>
      <c r="W380" s="3" t="s">
        <v>1116</v>
      </c>
      <c r="X380" s="102"/>
      <c r="Y380" s="105">
        <f t="shared" ref="Y380:Y409" si="1">N380-Z380</f>
        <v>0</v>
      </c>
      <c r="Z380" s="104">
        <v>1000</v>
      </c>
    </row>
    <row r="381" spans="1:26" s="56" customFormat="1" x14ac:dyDescent="0.3">
      <c r="A381" s="3">
        <v>27</v>
      </c>
      <c r="B381" s="3" t="s">
        <v>1109</v>
      </c>
      <c r="C381" s="3"/>
      <c r="D381" s="3"/>
      <c r="E381" s="3"/>
      <c r="F381" s="3"/>
      <c r="G381" s="3"/>
      <c r="H381" s="3">
        <v>4000</v>
      </c>
      <c r="I381" s="3">
        <v>0</v>
      </c>
      <c r="J381" s="3" t="s">
        <v>1110</v>
      </c>
      <c r="K381" s="3"/>
      <c r="L381" s="3" t="s">
        <v>1117</v>
      </c>
      <c r="M381" s="3" t="s">
        <v>1118</v>
      </c>
      <c r="N381" s="22">
        <v>239</v>
      </c>
      <c r="O381" s="22">
        <v>290</v>
      </c>
      <c r="P381" s="22">
        <v>300</v>
      </c>
      <c r="Q381" s="22">
        <v>310</v>
      </c>
      <c r="R381" s="22">
        <v>320</v>
      </c>
      <c r="S381" s="3" t="s">
        <v>1113</v>
      </c>
      <c r="T381" s="3"/>
      <c r="U381" s="3" t="s">
        <v>1119</v>
      </c>
      <c r="V381" s="3" t="s">
        <v>1120</v>
      </c>
      <c r="W381" s="3" t="s">
        <v>1116</v>
      </c>
      <c r="X381" s="102"/>
      <c r="Y381" s="105">
        <f t="shared" si="1"/>
        <v>0</v>
      </c>
      <c r="Z381" s="104">
        <v>239</v>
      </c>
    </row>
    <row r="382" spans="1:26" s="56" customFormat="1" x14ac:dyDescent="0.3">
      <c r="A382" s="3">
        <v>27</v>
      </c>
      <c r="B382" s="3" t="s">
        <v>1109</v>
      </c>
      <c r="C382" s="3"/>
      <c r="D382" s="3"/>
      <c r="E382" s="3"/>
      <c r="F382" s="3"/>
      <c r="G382" s="3"/>
      <c r="H382" s="3">
        <v>4000</v>
      </c>
      <c r="I382" s="3">
        <v>0</v>
      </c>
      <c r="J382" s="3" t="s">
        <v>1110</v>
      </c>
      <c r="K382" s="3"/>
      <c r="L382" s="3" t="s">
        <v>1121</v>
      </c>
      <c r="M382" s="3" t="s">
        <v>1122</v>
      </c>
      <c r="N382" s="22">
        <v>1123</v>
      </c>
      <c r="O382" s="22">
        <v>915</v>
      </c>
      <c r="P382" s="22" t="s">
        <v>420</v>
      </c>
      <c r="Q382" s="22" t="s">
        <v>420</v>
      </c>
      <c r="R382" s="22" t="s">
        <v>420</v>
      </c>
      <c r="S382" s="3" t="s">
        <v>1113</v>
      </c>
      <c r="T382" s="3"/>
      <c r="U382" s="3" t="s">
        <v>1123</v>
      </c>
      <c r="V382" s="3" t="s">
        <v>1124</v>
      </c>
      <c r="W382" s="3"/>
      <c r="X382" s="102"/>
      <c r="Y382" s="105">
        <f t="shared" si="1"/>
        <v>0</v>
      </c>
      <c r="Z382" s="104">
        <v>1123</v>
      </c>
    </row>
    <row r="383" spans="1:26" s="56" customFormat="1" x14ac:dyDescent="0.3">
      <c r="A383" s="26">
        <v>27</v>
      </c>
      <c r="B383" s="26" t="s">
        <v>1109</v>
      </c>
      <c r="C383" s="26"/>
      <c r="D383" s="26"/>
      <c r="E383" s="26"/>
      <c r="F383" s="26"/>
      <c r="G383" s="26"/>
      <c r="H383" s="26">
        <v>2830</v>
      </c>
      <c r="I383" s="26">
        <v>0</v>
      </c>
      <c r="J383" s="26" t="s">
        <v>1110</v>
      </c>
      <c r="K383" s="3"/>
      <c r="L383" s="26" t="s">
        <v>1125</v>
      </c>
      <c r="M383" s="26" t="s">
        <v>1126</v>
      </c>
      <c r="N383" s="106">
        <v>3991</v>
      </c>
      <c r="O383" s="22">
        <v>5487</v>
      </c>
      <c r="P383" s="22">
        <v>6035</v>
      </c>
      <c r="Q383" s="22">
        <v>6600</v>
      </c>
      <c r="R383" s="22">
        <v>7200</v>
      </c>
      <c r="S383" s="3" t="s">
        <v>1113</v>
      </c>
      <c r="T383" s="3"/>
      <c r="U383" s="3" t="s">
        <v>1127</v>
      </c>
      <c r="V383" s="3" t="s">
        <v>1128</v>
      </c>
      <c r="W383" s="3" t="s">
        <v>1116</v>
      </c>
      <c r="X383" s="102"/>
      <c r="Y383" s="107">
        <f t="shared" si="1"/>
        <v>-0.20000000000027285</v>
      </c>
      <c r="Z383" s="108">
        <v>3991.2000000000003</v>
      </c>
    </row>
    <row r="384" spans="1:26" s="56" customFormat="1" x14ac:dyDescent="0.3">
      <c r="A384" s="35">
        <v>27</v>
      </c>
      <c r="B384" s="35" t="s">
        <v>1109</v>
      </c>
      <c r="C384" s="35"/>
      <c r="D384" s="35"/>
      <c r="E384" s="35"/>
      <c r="F384" s="35"/>
      <c r="G384" s="35"/>
      <c r="H384" s="35">
        <v>2830</v>
      </c>
      <c r="I384" s="35">
        <v>0</v>
      </c>
      <c r="J384" s="35" t="s">
        <v>1110</v>
      </c>
      <c r="K384" s="3"/>
      <c r="L384" s="35" t="s">
        <v>1129</v>
      </c>
      <c r="M384" s="35" t="s">
        <v>1130</v>
      </c>
      <c r="N384" s="109">
        <v>1932</v>
      </c>
      <c r="O384" s="109">
        <v>1932</v>
      </c>
      <c r="P384" s="109">
        <v>1932</v>
      </c>
      <c r="Q384" s="109">
        <v>1932</v>
      </c>
      <c r="R384" s="109" t="s">
        <v>420</v>
      </c>
      <c r="S384" s="35" t="s">
        <v>50</v>
      </c>
      <c r="T384" s="35"/>
      <c r="U384" s="35"/>
      <c r="V384" s="35"/>
      <c r="W384" s="110" t="s">
        <v>1131</v>
      </c>
      <c r="X384" s="102"/>
      <c r="Y384" s="105">
        <f t="shared" si="1"/>
        <v>0</v>
      </c>
      <c r="Z384" s="104">
        <v>1932</v>
      </c>
    </row>
    <row r="385" spans="1:26" s="56" customFormat="1" x14ac:dyDescent="0.3">
      <c r="A385" s="35">
        <v>27</v>
      </c>
      <c r="B385" s="35" t="s">
        <v>1109</v>
      </c>
      <c r="C385" s="35"/>
      <c r="D385" s="35"/>
      <c r="E385" s="35"/>
      <c r="F385" s="35"/>
      <c r="G385" s="35"/>
      <c r="H385" s="35">
        <v>4690</v>
      </c>
      <c r="I385" s="35">
        <v>0</v>
      </c>
      <c r="J385" s="35" t="s">
        <v>561</v>
      </c>
      <c r="K385" s="3"/>
      <c r="L385" s="35" t="s">
        <v>1129</v>
      </c>
      <c r="M385" s="35" t="s">
        <v>1132</v>
      </c>
      <c r="N385" s="109">
        <v>158</v>
      </c>
      <c r="O385" s="109">
        <v>158</v>
      </c>
      <c r="P385" s="109">
        <v>158</v>
      </c>
      <c r="Q385" s="109">
        <v>158</v>
      </c>
      <c r="R385" s="109" t="s">
        <v>420</v>
      </c>
      <c r="S385" s="35" t="s">
        <v>50</v>
      </c>
      <c r="T385" s="35"/>
      <c r="U385" s="35"/>
      <c r="V385" s="35"/>
      <c r="W385" s="110" t="s">
        <v>1131</v>
      </c>
      <c r="X385" s="102"/>
      <c r="Y385" s="105">
        <f t="shared" si="1"/>
        <v>0</v>
      </c>
      <c r="Z385" s="104">
        <v>158</v>
      </c>
    </row>
    <row r="386" spans="1:26" s="56" customFormat="1" x14ac:dyDescent="0.3">
      <c r="A386" s="3">
        <v>27</v>
      </c>
      <c r="B386" s="3" t="s">
        <v>1109</v>
      </c>
      <c r="C386" s="3"/>
      <c r="D386" s="3"/>
      <c r="E386" s="3"/>
      <c r="F386" s="3"/>
      <c r="G386" s="3"/>
      <c r="H386" s="3">
        <v>4410</v>
      </c>
      <c r="I386" s="3">
        <v>0</v>
      </c>
      <c r="J386" s="3" t="s">
        <v>1110</v>
      </c>
      <c r="K386" s="3"/>
      <c r="L386" s="3" t="s">
        <v>872</v>
      </c>
      <c r="M386" s="3" t="s">
        <v>1070</v>
      </c>
      <c r="N386" s="22"/>
      <c r="O386" s="22"/>
      <c r="P386" s="22"/>
      <c r="Q386" s="22"/>
      <c r="R386" s="22"/>
      <c r="S386" s="3" t="s">
        <v>50</v>
      </c>
      <c r="T386" s="3"/>
      <c r="U386" s="3"/>
      <c r="V386" s="3"/>
      <c r="W386" s="3" t="s">
        <v>1133</v>
      </c>
      <c r="X386" s="102"/>
      <c r="Y386" s="105">
        <f t="shared" si="1"/>
        <v>0</v>
      </c>
      <c r="Z386" s="104"/>
    </row>
    <row r="387" spans="1:26" s="56" customFormat="1" x14ac:dyDescent="0.3">
      <c r="A387" s="3">
        <v>27</v>
      </c>
      <c r="B387" s="3" t="s">
        <v>1109</v>
      </c>
      <c r="C387" s="3"/>
      <c r="D387" s="3"/>
      <c r="E387" s="3"/>
      <c r="F387" s="3"/>
      <c r="G387" s="3"/>
      <c r="H387" s="3">
        <v>4420</v>
      </c>
      <c r="I387" s="3">
        <v>0</v>
      </c>
      <c r="J387" s="3" t="s">
        <v>1110</v>
      </c>
      <c r="K387" s="3"/>
      <c r="L387" s="3" t="s">
        <v>1134</v>
      </c>
      <c r="M387" s="3" t="s">
        <v>1073</v>
      </c>
      <c r="N387" s="22"/>
      <c r="O387" s="22"/>
      <c r="P387" s="22"/>
      <c r="Q387" s="22"/>
      <c r="R387" s="22"/>
      <c r="S387" s="3" t="s">
        <v>50</v>
      </c>
      <c r="T387" s="3"/>
      <c r="U387" s="3"/>
      <c r="V387" s="3"/>
      <c r="W387" s="3" t="s">
        <v>1135</v>
      </c>
      <c r="X387" s="102"/>
      <c r="Y387" s="105">
        <f t="shared" si="1"/>
        <v>0</v>
      </c>
      <c r="Z387" s="104"/>
    </row>
    <row r="388" spans="1:26" s="56" customFormat="1" x14ac:dyDescent="0.3">
      <c r="A388" s="26">
        <v>27</v>
      </c>
      <c r="B388" s="26" t="s">
        <v>1109</v>
      </c>
      <c r="C388" s="26"/>
      <c r="D388" s="26"/>
      <c r="E388" s="26"/>
      <c r="F388" s="26"/>
      <c r="G388" s="26"/>
      <c r="H388" s="26">
        <v>2830</v>
      </c>
      <c r="I388" s="26">
        <v>0</v>
      </c>
      <c r="J388" s="26" t="s">
        <v>1110</v>
      </c>
      <c r="K388" s="3"/>
      <c r="L388" s="26" t="s">
        <v>1136</v>
      </c>
      <c r="M388" s="26" t="s">
        <v>1137</v>
      </c>
      <c r="N388" s="106">
        <v>2000</v>
      </c>
      <c r="O388" s="22">
        <v>5500</v>
      </c>
      <c r="P388" s="22">
        <v>2200</v>
      </c>
      <c r="Q388" s="22">
        <v>2200</v>
      </c>
      <c r="R388" s="22">
        <v>2200</v>
      </c>
      <c r="S388" s="3" t="s">
        <v>1138</v>
      </c>
      <c r="T388" s="3"/>
      <c r="U388" s="3"/>
      <c r="V388" s="3"/>
      <c r="W388" s="3" t="s">
        <v>1139</v>
      </c>
      <c r="X388" s="102"/>
      <c r="Y388" s="107">
        <f t="shared" si="1"/>
        <v>0</v>
      </c>
      <c r="Z388" s="108">
        <v>2000</v>
      </c>
    </row>
    <row r="389" spans="1:26" s="56" customFormat="1" x14ac:dyDescent="0.3">
      <c r="A389" s="26">
        <v>27</v>
      </c>
      <c r="B389" s="26" t="s">
        <v>1109</v>
      </c>
      <c r="C389" s="26"/>
      <c r="D389" s="26"/>
      <c r="E389" s="26"/>
      <c r="F389" s="26"/>
      <c r="G389" s="26"/>
      <c r="H389" s="26">
        <v>2830</v>
      </c>
      <c r="I389" s="26">
        <v>0</v>
      </c>
      <c r="J389" s="26" t="s">
        <v>1110</v>
      </c>
      <c r="K389" s="3"/>
      <c r="L389" s="26" t="s">
        <v>1140</v>
      </c>
      <c r="M389" s="26" t="s">
        <v>1141</v>
      </c>
      <c r="N389" s="106">
        <v>1000</v>
      </c>
      <c r="O389" s="22">
        <v>2500</v>
      </c>
      <c r="P389" s="22">
        <v>3000</v>
      </c>
      <c r="Q389" s="22">
        <v>3000</v>
      </c>
      <c r="R389" s="22">
        <v>3000</v>
      </c>
      <c r="S389" s="3" t="s">
        <v>1142</v>
      </c>
      <c r="T389" s="3"/>
      <c r="U389" s="3" t="s">
        <v>1143</v>
      </c>
      <c r="V389" s="3" t="s">
        <v>1115</v>
      </c>
      <c r="W389" s="3" t="s">
        <v>1116</v>
      </c>
      <c r="X389" s="102"/>
      <c r="Y389" s="107">
        <f t="shared" si="1"/>
        <v>0</v>
      </c>
      <c r="Z389" s="108">
        <v>1000</v>
      </c>
    </row>
    <row r="390" spans="1:26" s="56" customFormat="1" x14ac:dyDescent="0.3">
      <c r="A390" s="26">
        <v>27</v>
      </c>
      <c r="B390" s="26" t="s">
        <v>1109</v>
      </c>
      <c r="C390" s="26"/>
      <c r="D390" s="26"/>
      <c r="E390" s="26"/>
      <c r="F390" s="26"/>
      <c r="G390" s="26"/>
      <c r="H390" s="26">
        <v>4000</v>
      </c>
      <c r="I390" s="26">
        <v>0</v>
      </c>
      <c r="J390" s="26" t="s">
        <v>1110</v>
      </c>
      <c r="K390" s="3"/>
      <c r="L390" s="26" t="s">
        <v>1144</v>
      </c>
      <c r="M390" s="26" t="s">
        <v>1145</v>
      </c>
      <c r="N390" s="106">
        <v>800</v>
      </c>
      <c r="O390" s="22">
        <v>1200</v>
      </c>
      <c r="P390" s="22" t="s">
        <v>420</v>
      </c>
      <c r="Q390" s="22" t="s">
        <v>420</v>
      </c>
      <c r="R390" s="22" t="s">
        <v>420</v>
      </c>
      <c r="S390" s="3" t="s">
        <v>1113</v>
      </c>
      <c r="T390" s="3"/>
      <c r="U390" s="3" t="s">
        <v>1146</v>
      </c>
      <c r="V390" s="3" t="s">
        <v>1147</v>
      </c>
      <c r="W390" s="3" t="s">
        <v>1148</v>
      </c>
      <c r="X390" s="102" t="s">
        <v>1149</v>
      </c>
      <c r="Y390" s="107">
        <f t="shared" si="1"/>
        <v>0</v>
      </c>
      <c r="Z390" s="108">
        <v>800</v>
      </c>
    </row>
    <row r="391" spans="1:26" s="56" customFormat="1" x14ac:dyDescent="0.3">
      <c r="A391" s="26">
        <v>27</v>
      </c>
      <c r="B391" s="26" t="s">
        <v>1109</v>
      </c>
      <c r="C391" s="26"/>
      <c r="D391" s="26"/>
      <c r="E391" s="26"/>
      <c r="F391" s="26"/>
      <c r="G391" s="26"/>
      <c r="H391" s="26">
        <v>4170</v>
      </c>
      <c r="I391" s="26">
        <v>0</v>
      </c>
      <c r="J391" s="26" t="s">
        <v>1110</v>
      </c>
      <c r="K391" s="3"/>
      <c r="L391" s="26" t="s">
        <v>1150</v>
      </c>
      <c r="M391" s="26" t="s">
        <v>1151</v>
      </c>
      <c r="N391" s="106">
        <v>600</v>
      </c>
      <c r="O391" s="22">
        <v>1200</v>
      </c>
      <c r="P391" s="22">
        <v>1200</v>
      </c>
      <c r="Q391" s="22">
        <v>1200</v>
      </c>
      <c r="R391" s="22">
        <v>1200</v>
      </c>
      <c r="S391" s="3" t="s">
        <v>50</v>
      </c>
      <c r="T391" s="3"/>
      <c r="U391" s="3"/>
      <c r="V391" s="3"/>
      <c r="W391" s="3" t="s">
        <v>1152</v>
      </c>
      <c r="X391" s="102"/>
      <c r="Y391" s="107">
        <f t="shared" si="1"/>
        <v>0</v>
      </c>
      <c r="Z391" s="108">
        <v>600</v>
      </c>
    </row>
    <row r="392" spans="1:26" s="56" customFormat="1" x14ac:dyDescent="0.3">
      <c r="A392" s="26">
        <v>27</v>
      </c>
      <c r="B392" s="26" t="s">
        <v>1109</v>
      </c>
      <c r="C392" s="26"/>
      <c r="D392" s="26"/>
      <c r="E392" s="26"/>
      <c r="F392" s="26"/>
      <c r="G392" s="26"/>
      <c r="H392" s="26">
        <v>4000</v>
      </c>
      <c r="I392" s="26">
        <v>0</v>
      </c>
      <c r="J392" s="26" t="s">
        <v>1110</v>
      </c>
      <c r="K392" s="3"/>
      <c r="L392" s="26" t="s">
        <v>1153</v>
      </c>
      <c r="M392" s="26" t="s">
        <v>1154</v>
      </c>
      <c r="N392" s="106"/>
      <c r="O392" s="111"/>
      <c r="P392" s="111"/>
      <c r="Q392" s="111"/>
      <c r="R392" s="111"/>
      <c r="S392" s="3" t="s">
        <v>50</v>
      </c>
      <c r="T392" s="3"/>
      <c r="U392" s="3"/>
      <c r="V392" s="3"/>
      <c r="W392" s="3" t="s">
        <v>1155</v>
      </c>
      <c r="X392" s="102" t="s">
        <v>1156</v>
      </c>
      <c r="Y392" s="107">
        <f t="shared" si="1"/>
        <v>0</v>
      </c>
      <c r="Z392" s="108"/>
    </row>
    <row r="393" spans="1:26" s="56" customFormat="1" x14ac:dyDescent="0.3">
      <c r="A393" s="3">
        <v>27</v>
      </c>
      <c r="B393" s="3" t="s">
        <v>1109</v>
      </c>
      <c r="C393" s="3"/>
      <c r="D393" s="3"/>
      <c r="E393" s="3"/>
      <c r="F393" s="3"/>
      <c r="G393" s="3"/>
      <c r="H393" s="3">
        <v>2830</v>
      </c>
      <c r="I393" s="3">
        <v>0</v>
      </c>
      <c r="J393" s="3" t="s">
        <v>1110</v>
      </c>
      <c r="K393" s="3"/>
      <c r="L393" s="3" t="s">
        <v>1144</v>
      </c>
      <c r="M393" s="3" t="s">
        <v>1157</v>
      </c>
      <c r="N393" s="22">
        <v>550</v>
      </c>
      <c r="O393" s="22" t="s">
        <v>420</v>
      </c>
      <c r="P393" s="22">
        <v>550</v>
      </c>
      <c r="Q393" s="22" t="s">
        <v>420</v>
      </c>
      <c r="R393" s="22">
        <v>550</v>
      </c>
      <c r="S393" s="3" t="s">
        <v>50</v>
      </c>
      <c r="T393" s="3"/>
      <c r="U393" s="3"/>
      <c r="V393" s="3" t="s">
        <v>626</v>
      </c>
      <c r="W393" s="3" t="s">
        <v>1158</v>
      </c>
      <c r="X393" s="102"/>
      <c r="Y393" s="105">
        <f t="shared" si="1"/>
        <v>0</v>
      </c>
      <c r="Z393" s="104">
        <v>550</v>
      </c>
    </row>
    <row r="394" spans="1:26" s="56" customFormat="1" x14ac:dyDescent="0.3">
      <c r="A394" s="3">
        <v>27</v>
      </c>
      <c r="B394" s="3" t="s">
        <v>1109</v>
      </c>
      <c r="C394" s="3"/>
      <c r="D394" s="3"/>
      <c r="E394" s="3"/>
      <c r="F394" s="3"/>
      <c r="G394" s="3"/>
      <c r="H394" s="3">
        <v>4000</v>
      </c>
      <c r="I394" s="3">
        <v>0</v>
      </c>
      <c r="J394" s="3" t="s">
        <v>1110</v>
      </c>
      <c r="K394" s="3"/>
      <c r="L394" s="3" t="s">
        <v>1153</v>
      </c>
      <c r="M394" s="3" t="s">
        <v>1159</v>
      </c>
      <c r="N394" s="22">
        <v>1200</v>
      </c>
      <c r="O394" s="22">
        <v>1000</v>
      </c>
      <c r="P394" s="22">
        <v>1000</v>
      </c>
      <c r="Q394" s="22">
        <v>1000</v>
      </c>
      <c r="R394" s="22">
        <v>1000</v>
      </c>
      <c r="S394" s="3" t="s">
        <v>1113</v>
      </c>
      <c r="T394" s="3"/>
      <c r="U394" s="3" t="s">
        <v>1146</v>
      </c>
      <c r="V394" s="3" t="s">
        <v>1147</v>
      </c>
      <c r="W394" s="3" t="s">
        <v>1160</v>
      </c>
      <c r="X394" s="102"/>
      <c r="Y394" s="105">
        <f t="shared" si="1"/>
        <v>0</v>
      </c>
      <c r="Z394" s="104">
        <v>1200</v>
      </c>
    </row>
    <row r="395" spans="1:26" s="56" customFormat="1" x14ac:dyDescent="0.3">
      <c r="A395" s="26">
        <v>27</v>
      </c>
      <c r="B395" s="26" t="s">
        <v>1109</v>
      </c>
      <c r="C395" s="26"/>
      <c r="D395" s="26"/>
      <c r="E395" s="26"/>
      <c r="F395" s="26"/>
      <c r="G395" s="26"/>
      <c r="H395" s="26">
        <v>4000</v>
      </c>
      <c r="I395" s="26">
        <v>0</v>
      </c>
      <c r="J395" s="26" t="s">
        <v>1110</v>
      </c>
      <c r="K395" s="3"/>
      <c r="L395" s="26" t="s">
        <v>1150</v>
      </c>
      <c r="M395" s="26" t="s">
        <v>1161</v>
      </c>
      <c r="N395" s="106">
        <v>80</v>
      </c>
      <c r="O395" s="22">
        <v>20</v>
      </c>
      <c r="P395" s="22">
        <v>20</v>
      </c>
      <c r="Q395" s="22">
        <v>20</v>
      </c>
      <c r="R395" s="22">
        <v>20</v>
      </c>
      <c r="S395" s="3" t="s">
        <v>50</v>
      </c>
      <c r="T395" s="3"/>
      <c r="U395" s="3"/>
      <c r="V395" s="3"/>
      <c r="W395" s="3" t="s">
        <v>1162</v>
      </c>
      <c r="X395" s="102"/>
      <c r="Y395" s="107">
        <f t="shared" si="1"/>
        <v>0</v>
      </c>
      <c r="Z395" s="108">
        <v>80</v>
      </c>
    </row>
    <row r="396" spans="1:26" s="56" customFormat="1" x14ac:dyDescent="0.3">
      <c r="A396" s="3">
        <v>27</v>
      </c>
      <c r="B396" s="3" t="s">
        <v>1109</v>
      </c>
      <c r="C396" s="3"/>
      <c r="D396" s="3"/>
      <c r="E396" s="3"/>
      <c r="F396" s="3"/>
      <c r="G396" s="3"/>
      <c r="H396" s="3">
        <v>4000</v>
      </c>
      <c r="I396" s="3">
        <v>0</v>
      </c>
      <c r="J396" s="3" t="s">
        <v>1110</v>
      </c>
      <c r="K396" s="3"/>
      <c r="L396" s="3" t="s">
        <v>1140</v>
      </c>
      <c r="M396" s="3" t="s">
        <v>1163</v>
      </c>
      <c r="N396" s="22">
        <v>2</v>
      </c>
      <c r="O396" s="22">
        <v>2</v>
      </c>
      <c r="P396" s="22">
        <v>3</v>
      </c>
      <c r="Q396" s="22">
        <v>3</v>
      </c>
      <c r="R396" s="22">
        <v>3</v>
      </c>
      <c r="S396" s="3" t="s">
        <v>50</v>
      </c>
      <c r="T396" s="3"/>
      <c r="U396" s="3"/>
      <c r="V396" s="3"/>
      <c r="W396" s="3" t="s">
        <v>1164</v>
      </c>
      <c r="X396" s="102"/>
      <c r="Y396" s="105">
        <f t="shared" si="1"/>
        <v>0</v>
      </c>
      <c r="Z396" s="104">
        <v>2</v>
      </c>
    </row>
    <row r="397" spans="1:26" s="56" customFormat="1" x14ac:dyDescent="0.3">
      <c r="A397" s="3">
        <v>27</v>
      </c>
      <c r="B397" s="3" t="s">
        <v>1109</v>
      </c>
      <c r="C397" s="3"/>
      <c r="D397" s="3"/>
      <c r="E397" s="3"/>
      <c r="F397" s="3"/>
      <c r="G397" s="3"/>
      <c r="H397" s="3">
        <v>4000</v>
      </c>
      <c r="I397" s="3">
        <v>0</v>
      </c>
      <c r="J397" s="3" t="s">
        <v>1110</v>
      </c>
      <c r="K397" s="3"/>
      <c r="L397" s="3" t="s">
        <v>1140</v>
      </c>
      <c r="M397" s="3" t="s">
        <v>1163</v>
      </c>
      <c r="N397" s="22">
        <v>2</v>
      </c>
      <c r="O397" s="22" t="s">
        <v>420</v>
      </c>
      <c r="P397" s="22" t="s">
        <v>420</v>
      </c>
      <c r="Q397" s="22">
        <v>2</v>
      </c>
      <c r="R397" s="22" t="s">
        <v>420</v>
      </c>
      <c r="S397" s="3" t="s">
        <v>50</v>
      </c>
      <c r="T397" s="3"/>
      <c r="U397" s="3"/>
      <c r="V397" s="3"/>
      <c r="W397" s="3" t="s">
        <v>1165</v>
      </c>
      <c r="X397" s="102"/>
      <c r="Y397" s="105">
        <f t="shared" si="1"/>
        <v>0</v>
      </c>
      <c r="Z397" s="104">
        <v>2</v>
      </c>
    </row>
    <row r="398" spans="1:26" s="56" customFormat="1" x14ac:dyDescent="0.3">
      <c r="A398" s="3">
        <v>27</v>
      </c>
      <c r="B398" s="3" t="s">
        <v>1109</v>
      </c>
      <c r="C398" s="3"/>
      <c r="D398" s="3"/>
      <c r="E398" s="3"/>
      <c r="F398" s="3"/>
      <c r="G398" s="3"/>
      <c r="H398" s="3">
        <v>4000</v>
      </c>
      <c r="I398" s="3">
        <v>0</v>
      </c>
      <c r="J398" s="3" t="s">
        <v>1110</v>
      </c>
      <c r="K398" s="3"/>
      <c r="L398" s="3" t="s">
        <v>1166</v>
      </c>
      <c r="M398" s="3" t="s">
        <v>1167</v>
      </c>
      <c r="N398" s="22">
        <v>100</v>
      </c>
      <c r="O398" s="22">
        <v>200</v>
      </c>
      <c r="P398" s="22">
        <v>100</v>
      </c>
      <c r="Q398" s="22">
        <v>100</v>
      </c>
      <c r="R398" s="22">
        <v>100</v>
      </c>
      <c r="S398" s="3" t="s">
        <v>50</v>
      </c>
      <c r="T398" s="3"/>
      <c r="U398" s="3"/>
      <c r="V398" s="3"/>
      <c r="W398" s="3" t="s">
        <v>1168</v>
      </c>
      <c r="X398" s="102"/>
      <c r="Y398" s="105">
        <f t="shared" si="1"/>
        <v>0</v>
      </c>
      <c r="Z398" s="104">
        <v>100</v>
      </c>
    </row>
    <row r="399" spans="1:26" s="56" customFormat="1" x14ac:dyDescent="0.3">
      <c r="A399" s="3">
        <v>27</v>
      </c>
      <c r="B399" s="3" t="s">
        <v>1109</v>
      </c>
      <c r="C399" s="3"/>
      <c r="D399" s="3"/>
      <c r="E399" s="3"/>
      <c r="F399" s="3"/>
      <c r="G399" s="3"/>
      <c r="H399" s="3">
        <v>4000</v>
      </c>
      <c r="I399" s="3">
        <v>0</v>
      </c>
      <c r="J399" s="3" t="s">
        <v>1110</v>
      </c>
      <c r="K399" s="3"/>
      <c r="L399" s="3" t="s">
        <v>1166</v>
      </c>
      <c r="M399" s="3" t="s">
        <v>1169</v>
      </c>
      <c r="N399" s="22">
        <v>300</v>
      </c>
      <c r="O399" s="22">
        <v>300</v>
      </c>
      <c r="P399" s="22">
        <v>300</v>
      </c>
      <c r="Q399" s="22">
        <v>300</v>
      </c>
      <c r="R399" s="22">
        <v>300</v>
      </c>
      <c r="S399" s="3" t="s">
        <v>50</v>
      </c>
      <c r="T399" s="3"/>
      <c r="U399" s="3"/>
      <c r="V399" s="3"/>
      <c r="W399" s="3" t="s">
        <v>1170</v>
      </c>
      <c r="X399" s="102"/>
      <c r="Y399" s="105">
        <f t="shared" si="1"/>
        <v>0</v>
      </c>
      <c r="Z399" s="104">
        <v>300</v>
      </c>
    </row>
    <row r="400" spans="1:26" s="56" customFormat="1" x14ac:dyDescent="0.3">
      <c r="A400" s="3">
        <v>27</v>
      </c>
      <c r="B400" s="3" t="s">
        <v>1109</v>
      </c>
      <c r="C400" s="3"/>
      <c r="D400" s="3"/>
      <c r="E400" s="3"/>
      <c r="F400" s="3"/>
      <c r="G400" s="3"/>
      <c r="H400" s="3">
        <v>4000</v>
      </c>
      <c r="I400" s="3">
        <v>0</v>
      </c>
      <c r="J400" s="3" t="s">
        <v>1110</v>
      </c>
      <c r="K400" s="3"/>
      <c r="L400" s="3" t="s">
        <v>1171</v>
      </c>
      <c r="M400" s="3" t="s">
        <v>1172</v>
      </c>
      <c r="N400" s="22">
        <v>0</v>
      </c>
      <c r="O400" s="22">
        <v>3000</v>
      </c>
      <c r="P400" s="22">
        <v>3000</v>
      </c>
      <c r="Q400" s="22">
        <v>3000</v>
      </c>
      <c r="R400" s="22">
        <v>3000</v>
      </c>
      <c r="S400" s="3" t="s">
        <v>50</v>
      </c>
      <c r="T400" s="3"/>
      <c r="U400" s="3"/>
      <c r="V400" s="3"/>
      <c r="W400" s="3" t="s">
        <v>1173</v>
      </c>
      <c r="X400" s="102"/>
      <c r="Y400" s="105">
        <f t="shared" si="1"/>
        <v>0</v>
      </c>
      <c r="Z400" s="104">
        <v>0</v>
      </c>
    </row>
    <row r="401" spans="1:26" s="56" customFormat="1" x14ac:dyDescent="0.3">
      <c r="A401" s="3">
        <v>27</v>
      </c>
      <c r="B401" s="3" t="s">
        <v>1109</v>
      </c>
      <c r="C401" s="3"/>
      <c r="D401" s="3"/>
      <c r="E401" s="3"/>
      <c r="F401" s="3"/>
      <c r="G401" s="3"/>
      <c r="H401" s="3">
        <v>4000</v>
      </c>
      <c r="I401" s="3">
        <v>0</v>
      </c>
      <c r="J401" s="3" t="s">
        <v>1110</v>
      </c>
      <c r="K401" s="3"/>
      <c r="L401" s="3" t="s">
        <v>1174</v>
      </c>
      <c r="M401" s="3" t="s">
        <v>1175</v>
      </c>
      <c r="N401" s="22">
        <v>5</v>
      </c>
      <c r="O401" s="22">
        <v>5</v>
      </c>
      <c r="P401" s="22">
        <v>5</v>
      </c>
      <c r="Q401" s="22">
        <v>5</v>
      </c>
      <c r="R401" s="22">
        <v>5</v>
      </c>
      <c r="S401" s="3" t="s">
        <v>50</v>
      </c>
      <c r="T401" s="3"/>
      <c r="U401" s="3"/>
      <c r="V401" s="3"/>
      <c r="W401" s="3" t="s">
        <v>1176</v>
      </c>
      <c r="X401" s="102"/>
      <c r="Y401" s="105">
        <f t="shared" si="1"/>
        <v>0</v>
      </c>
      <c r="Z401" s="104">
        <v>5</v>
      </c>
    </row>
    <row r="402" spans="1:26" s="56" customFormat="1" x14ac:dyDescent="0.3">
      <c r="A402" s="26">
        <v>27</v>
      </c>
      <c r="B402" s="26" t="s">
        <v>1109</v>
      </c>
      <c r="C402" s="26"/>
      <c r="D402" s="26"/>
      <c r="E402" s="26"/>
      <c r="F402" s="26"/>
      <c r="G402" s="26"/>
      <c r="H402" s="26">
        <v>4000</v>
      </c>
      <c r="I402" s="26">
        <v>0</v>
      </c>
      <c r="J402" s="26" t="s">
        <v>1110</v>
      </c>
      <c r="K402" s="3"/>
      <c r="L402" s="26" t="s">
        <v>1177</v>
      </c>
      <c r="M402" s="26" t="s">
        <v>1178</v>
      </c>
      <c r="N402" s="106"/>
      <c r="O402" s="22">
        <v>300</v>
      </c>
      <c r="P402" s="22">
        <v>300</v>
      </c>
      <c r="Q402" s="22">
        <v>300</v>
      </c>
      <c r="R402" s="22">
        <v>300</v>
      </c>
      <c r="S402" s="3" t="s">
        <v>50</v>
      </c>
      <c r="T402" s="3"/>
      <c r="U402" s="3"/>
      <c r="V402" s="3"/>
      <c r="W402" s="3" t="s">
        <v>1179</v>
      </c>
      <c r="X402" s="102"/>
      <c r="Y402" s="107">
        <f t="shared" si="1"/>
        <v>0</v>
      </c>
      <c r="Z402" s="108"/>
    </row>
    <row r="403" spans="1:26" s="56" customFormat="1" x14ac:dyDescent="0.3">
      <c r="A403" s="3">
        <v>27</v>
      </c>
      <c r="B403" s="3" t="s">
        <v>1109</v>
      </c>
      <c r="C403" s="3"/>
      <c r="D403" s="3"/>
      <c r="E403" s="3"/>
      <c r="F403" s="3"/>
      <c r="G403" s="3"/>
      <c r="H403" s="3">
        <v>4000</v>
      </c>
      <c r="I403" s="3">
        <v>0</v>
      </c>
      <c r="J403" s="3" t="s">
        <v>1110</v>
      </c>
      <c r="K403" s="3"/>
      <c r="L403" s="3" t="s">
        <v>1180</v>
      </c>
      <c r="M403" s="3" t="s">
        <v>1181</v>
      </c>
      <c r="N403" s="22">
        <v>20</v>
      </c>
      <c r="O403" s="22">
        <v>20</v>
      </c>
      <c r="P403" s="22">
        <v>20</v>
      </c>
      <c r="Q403" s="22">
        <v>20</v>
      </c>
      <c r="R403" s="22">
        <v>20</v>
      </c>
      <c r="S403" s="3" t="s">
        <v>50</v>
      </c>
      <c r="T403" s="3"/>
      <c r="U403" s="3"/>
      <c r="V403" s="3"/>
      <c r="W403" s="3" t="s">
        <v>1182</v>
      </c>
      <c r="X403" s="102"/>
      <c r="Y403" s="105">
        <f t="shared" si="1"/>
        <v>0</v>
      </c>
      <c r="Z403" s="104">
        <v>20</v>
      </c>
    </row>
    <row r="404" spans="1:26" s="56" customFormat="1" x14ac:dyDescent="0.3">
      <c r="A404" s="26">
        <v>27</v>
      </c>
      <c r="B404" s="26" t="s">
        <v>1109</v>
      </c>
      <c r="C404" s="26"/>
      <c r="D404" s="26"/>
      <c r="E404" s="26"/>
      <c r="F404" s="26"/>
      <c r="G404" s="26"/>
      <c r="H404" s="26">
        <v>4000</v>
      </c>
      <c r="I404" s="26">
        <v>0</v>
      </c>
      <c r="J404" s="26" t="s">
        <v>1110</v>
      </c>
      <c r="K404" s="3"/>
      <c r="L404" s="26" t="s">
        <v>1183</v>
      </c>
      <c r="M404" s="26" t="s">
        <v>1184</v>
      </c>
      <c r="N404" s="106"/>
      <c r="O404" s="22">
        <v>300</v>
      </c>
      <c r="P404" s="22">
        <v>300</v>
      </c>
      <c r="Q404" s="22">
        <v>300</v>
      </c>
      <c r="R404" s="22">
        <v>300</v>
      </c>
      <c r="S404" s="3" t="s">
        <v>50</v>
      </c>
      <c r="T404" s="3"/>
      <c r="U404" s="3"/>
      <c r="V404" s="3"/>
      <c r="W404" s="3" t="s">
        <v>1185</v>
      </c>
      <c r="X404" s="102"/>
      <c r="Y404" s="107">
        <f t="shared" si="1"/>
        <v>0</v>
      </c>
      <c r="Z404" s="108"/>
    </row>
    <row r="405" spans="1:26" s="56" customFormat="1" x14ac:dyDescent="0.3">
      <c r="A405" s="26">
        <v>27</v>
      </c>
      <c r="B405" s="26" t="s">
        <v>1109</v>
      </c>
      <c r="C405" s="26"/>
      <c r="D405" s="26"/>
      <c r="E405" s="26"/>
      <c r="F405" s="26"/>
      <c r="G405" s="26"/>
      <c r="H405" s="26">
        <v>4000</v>
      </c>
      <c r="I405" s="26">
        <v>0</v>
      </c>
      <c r="J405" s="26" t="s">
        <v>1110</v>
      </c>
      <c r="K405" s="3"/>
      <c r="L405" s="26" t="s">
        <v>1186</v>
      </c>
      <c r="M405" s="26" t="s">
        <v>1187</v>
      </c>
      <c r="N405" s="106"/>
      <c r="O405" s="22">
        <v>300</v>
      </c>
      <c r="P405" s="22">
        <v>300</v>
      </c>
      <c r="Q405" s="22" t="s">
        <v>420</v>
      </c>
      <c r="R405" s="22" t="s">
        <v>420</v>
      </c>
      <c r="S405" s="3" t="s">
        <v>50</v>
      </c>
      <c r="T405" s="3"/>
      <c r="U405" s="3"/>
      <c r="V405" s="3"/>
      <c r="W405" s="3" t="s">
        <v>1188</v>
      </c>
      <c r="X405" s="102"/>
      <c r="Y405" s="107">
        <f t="shared" si="1"/>
        <v>0</v>
      </c>
      <c r="Z405" s="108"/>
    </row>
    <row r="406" spans="1:26" s="56" customFormat="1" x14ac:dyDescent="0.3">
      <c r="A406" s="26">
        <v>27</v>
      </c>
      <c r="B406" s="26" t="s">
        <v>1109</v>
      </c>
      <c r="C406" s="26"/>
      <c r="D406" s="26"/>
      <c r="E406" s="26"/>
      <c r="F406" s="26"/>
      <c r="G406" s="26"/>
      <c r="H406" s="26">
        <v>2830</v>
      </c>
      <c r="I406" s="26">
        <v>0</v>
      </c>
      <c r="J406" s="26" t="s">
        <v>1110</v>
      </c>
      <c r="K406" s="3"/>
      <c r="L406" s="26" t="s">
        <v>1189</v>
      </c>
      <c r="M406" s="26" t="s">
        <v>1190</v>
      </c>
      <c r="N406" s="106"/>
      <c r="O406" s="22">
        <v>300</v>
      </c>
      <c r="P406" s="22">
        <v>300</v>
      </c>
      <c r="Q406" s="22">
        <v>300</v>
      </c>
      <c r="R406" s="22">
        <v>300</v>
      </c>
      <c r="S406" s="3" t="s">
        <v>50</v>
      </c>
      <c r="T406" s="3"/>
      <c r="U406" s="3"/>
      <c r="V406" s="3" t="s">
        <v>1191</v>
      </c>
      <c r="W406" s="3" t="s">
        <v>1192</v>
      </c>
      <c r="X406" s="102"/>
      <c r="Y406" s="107">
        <f t="shared" si="1"/>
        <v>0</v>
      </c>
      <c r="Z406" s="108"/>
    </row>
    <row r="407" spans="1:26" s="56" customFormat="1" x14ac:dyDescent="0.3">
      <c r="A407" s="26">
        <v>27</v>
      </c>
      <c r="B407" s="26" t="s">
        <v>1109</v>
      </c>
      <c r="C407" s="26"/>
      <c r="D407" s="26"/>
      <c r="E407" s="26"/>
      <c r="F407" s="26"/>
      <c r="G407" s="26"/>
      <c r="H407" s="26">
        <v>4000</v>
      </c>
      <c r="I407" s="26">
        <v>0</v>
      </c>
      <c r="J407" s="26" t="s">
        <v>1110</v>
      </c>
      <c r="K407" s="3"/>
      <c r="L407" s="26" t="s">
        <v>1193</v>
      </c>
      <c r="M407" s="26" t="s">
        <v>1194</v>
      </c>
      <c r="N407" s="106">
        <v>100</v>
      </c>
      <c r="O407" s="22">
        <v>200</v>
      </c>
      <c r="P407" s="22">
        <v>200</v>
      </c>
      <c r="Q407" s="22" t="s">
        <v>420</v>
      </c>
      <c r="R407" s="22" t="s">
        <v>420</v>
      </c>
      <c r="S407" s="3" t="s">
        <v>50</v>
      </c>
      <c r="T407" s="3"/>
      <c r="U407" s="3"/>
      <c r="V407" s="3"/>
      <c r="W407" s="3" t="s">
        <v>1195</v>
      </c>
      <c r="X407" s="102"/>
      <c r="Y407" s="107">
        <f t="shared" si="1"/>
        <v>0</v>
      </c>
      <c r="Z407" s="108">
        <v>100</v>
      </c>
    </row>
    <row r="408" spans="1:26" s="56" customFormat="1" x14ac:dyDescent="0.3">
      <c r="A408" s="3">
        <v>27</v>
      </c>
      <c r="B408" s="3" t="s">
        <v>1109</v>
      </c>
      <c r="C408" s="3"/>
      <c r="D408" s="3"/>
      <c r="E408" s="3"/>
      <c r="F408" s="3"/>
      <c r="G408" s="3"/>
      <c r="H408" s="3">
        <v>4000</v>
      </c>
      <c r="I408" s="3">
        <v>0</v>
      </c>
      <c r="J408" s="3" t="s">
        <v>1110</v>
      </c>
      <c r="K408" s="3"/>
      <c r="L408" s="3" t="s">
        <v>1196</v>
      </c>
      <c r="M408" s="3" t="s">
        <v>1197</v>
      </c>
      <c r="N408" s="22">
        <v>30</v>
      </c>
      <c r="O408" s="22" t="s">
        <v>420</v>
      </c>
      <c r="P408" s="22" t="s">
        <v>420</v>
      </c>
      <c r="Q408" s="22" t="s">
        <v>420</v>
      </c>
      <c r="R408" s="22" t="s">
        <v>420</v>
      </c>
      <c r="S408" s="3" t="s">
        <v>50</v>
      </c>
      <c r="T408" s="3"/>
      <c r="U408" s="3"/>
      <c r="V408" s="3"/>
      <c r="W408" s="3" t="s">
        <v>1198</v>
      </c>
      <c r="X408" s="102"/>
      <c r="Y408" s="105">
        <f t="shared" si="1"/>
        <v>0</v>
      </c>
      <c r="Z408" s="104">
        <v>30</v>
      </c>
    </row>
    <row r="409" spans="1:26" s="56" customFormat="1" x14ac:dyDescent="0.3">
      <c r="A409" s="26">
        <v>27</v>
      </c>
      <c r="B409" s="26" t="s">
        <v>1109</v>
      </c>
      <c r="C409" s="26"/>
      <c r="D409" s="26"/>
      <c r="E409" s="26"/>
      <c r="F409" s="26"/>
      <c r="G409" s="26"/>
      <c r="H409" s="26">
        <v>4000</v>
      </c>
      <c r="I409" s="26">
        <v>0</v>
      </c>
      <c r="J409" s="26" t="s">
        <v>1110</v>
      </c>
      <c r="K409" s="3"/>
      <c r="L409" s="26" t="s">
        <v>1199</v>
      </c>
      <c r="M409" s="26" t="s">
        <v>1200</v>
      </c>
      <c r="N409" s="106">
        <v>50</v>
      </c>
      <c r="O409" s="22" t="s">
        <v>420</v>
      </c>
      <c r="P409" s="22" t="s">
        <v>420</v>
      </c>
      <c r="Q409" s="22" t="s">
        <v>420</v>
      </c>
      <c r="R409" s="22" t="s">
        <v>420</v>
      </c>
      <c r="S409" s="3" t="s">
        <v>50</v>
      </c>
      <c r="T409" s="3"/>
      <c r="U409" s="3"/>
      <c r="V409" s="3"/>
      <c r="W409" s="3" t="s">
        <v>1201</v>
      </c>
      <c r="X409" s="102"/>
      <c r="Y409" s="107">
        <f t="shared" si="1"/>
        <v>50</v>
      </c>
      <c r="Z409" s="108"/>
    </row>
    <row r="410" spans="1:26" s="56" customFormat="1" x14ac:dyDescent="0.3">
      <c r="A410" s="3">
        <v>27</v>
      </c>
      <c r="B410" s="3" t="s">
        <v>1202</v>
      </c>
      <c r="C410" s="3" t="s">
        <v>458</v>
      </c>
      <c r="D410" s="3" t="s">
        <v>458</v>
      </c>
      <c r="E410" s="3" t="s">
        <v>458</v>
      </c>
      <c r="F410" s="3" t="s">
        <v>458</v>
      </c>
      <c r="G410" s="3" t="s">
        <v>458</v>
      </c>
      <c r="H410" s="3">
        <v>2830</v>
      </c>
      <c r="I410" s="3">
        <v>0</v>
      </c>
      <c r="J410" s="3" t="s">
        <v>1203</v>
      </c>
      <c r="K410" s="3"/>
      <c r="L410" s="3" t="s">
        <v>1204</v>
      </c>
      <c r="M410" s="3" t="s">
        <v>1205</v>
      </c>
      <c r="N410" s="4">
        <v>163500</v>
      </c>
      <c r="O410" s="4">
        <v>163500</v>
      </c>
      <c r="P410" s="4">
        <v>163500</v>
      </c>
      <c r="Q410" s="4">
        <v>163500</v>
      </c>
      <c r="R410" s="4">
        <v>163500</v>
      </c>
      <c r="S410" s="3" t="s">
        <v>50</v>
      </c>
      <c r="T410" s="3" t="s">
        <v>50</v>
      </c>
      <c r="U410" s="3"/>
      <c r="V410" s="3" t="s">
        <v>626</v>
      </c>
      <c r="W410" s="3"/>
      <c r="X410" s="102"/>
      <c r="Y410" s="103"/>
      <c r="Z410" s="104"/>
    </row>
    <row r="411" spans="1:26" s="56" customFormat="1" x14ac:dyDescent="0.3">
      <c r="A411" s="3">
        <v>27</v>
      </c>
      <c r="B411" s="3" t="s">
        <v>1202</v>
      </c>
      <c r="C411" s="3" t="s">
        <v>458</v>
      </c>
      <c r="D411" s="3" t="s">
        <v>458</v>
      </c>
      <c r="E411" s="3" t="s">
        <v>458</v>
      </c>
      <c r="F411" s="3" t="s">
        <v>458</v>
      </c>
      <c r="G411" s="3" t="s">
        <v>458</v>
      </c>
      <c r="H411" s="3">
        <v>6230</v>
      </c>
      <c r="I411" s="3">
        <v>0</v>
      </c>
      <c r="J411" s="3" t="s">
        <v>1203</v>
      </c>
      <c r="K411" s="3"/>
      <c r="L411" s="3" t="s">
        <v>1206</v>
      </c>
      <c r="M411" s="3" t="s">
        <v>1207</v>
      </c>
      <c r="N411" s="4">
        <v>500</v>
      </c>
      <c r="O411" s="4">
        <v>500</v>
      </c>
      <c r="P411" s="4">
        <v>500</v>
      </c>
      <c r="Q411" s="4">
        <v>500</v>
      </c>
      <c r="R411" s="4">
        <v>500</v>
      </c>
      <c r="S411" s="3" t="s">
        <v>50</v>
      </c>
      <c r="T411" s="3" t="s">
        <v>50</v>
      </c>
      <c r="U411" s="3"/>
      <c r="V411" s="3" t="s">
        <v>626</v>
      </c>
      <c r="W411" s="3"/>
      <c r="X411" s="102"/>
      <c r="Y411" s="103"/>
      <c r="Z411" s="104"/>
    </row>
    <row r="412" spans="1:26" s="56" customFormat="1" x14ac:dyDescent="0.3">
      <c r="A412" s="3">
        <v>27</v>
      </c>
      <c r="B412" s="3" t="s">
        <v>1202</v>
      </c>
      <c r="C412" s="3" t="s">
        <v>458</v>
      </c>
      <c r="D412" s="3" t="s">
        <v>458</v>
      </c>
      <c r="E412" s="3" t="s">
        <v>458</v>
      </c>
      <c r="F412" s="3" t="s">
        <v>458</v>
      </c>
      <c r="G412" s="3" t="s">
        <v>458</v>
      </c>
      <c r="H412" s="3">
        <v>2830</v>
      </c>
      <c r="I412" s="3">
        <v>0</v>
      </c>
      <c r="J412" s="3" t="s">
        <v>1203</v>
      </c>
      <c r="K412" s="3"/>
      <c r="L412" s="3" t="s">
        <v>1208</v>
      </c>
      <c r="M412" s="3" t="s">
        <v>1209</v>
      </c>
      <c r="N412" s="4">
        <v>1866</v>
      </c>
      <c r="O412" s="4">
        <v>1866</v>
      </c>
      <c r="P412" s="4">
        <v>1866</v>
      </c>
      <c r="Q412" s="4">
        <v>1866</v>
      </c>
      <c r="R412" s="4">
        <v>1866</v>
      </c>
      <c r="S412" s="3" t="s">
        <v>50</v>
      </c>
      <c r="T412" s="3" t="s">
        <v>50</v>
      </c>
      <c r="U412" s="3"/>
      <c r="V412" s="3" t="s">
        <v>1210</v>
      </c>
      <c r="W412" s="3"/>
      <c r="X412" s="102"/>
      <c r="Y412" s="103"/>
      <c r="Z412" s="104"/>
    </row>
    <row r="413" spans="1:26" s="56" customFormat="1" ht="296.39999999999998" x14ac:dyDescent="0.3">
      <c r="A413" s="3">
        <v>27</v>
      </c>
      <c r="B413" s="3" t="s">
        <v>1202</v>
      </c>
      <c r="C413" s="3" t="s">
        <v>458</v>
      </c>
      <c r="D413" s="3" t="s">
        <v>458</v>
      </c>
      <c r="E413" s="3" t="s">
        <v>458</v>
      </c>
      <c r="F413" s="3" t="s">
        <v>458</v>
      </c>
      <c r="G413" s="3" t="s">
        <v>458</v>
      </c>
      <c r="H413" s="3">
        <v>2830</v>
      </c>
      <c r="I413" s="3">
        <v>0</v>
      </c>
      <c r="J413" s="3" t="s">
        <v>1203</v>
      </c>
      <c r="K413" s="3"/>
      <c r="L413" s="3" t="s">
        <v>1211</v>
      </c>
      <c r="M413" s="24" t="s">
        <v>1212</v>
      </c>
      <c r="N413" s="4">
        <v>12950</v>
      </c>
      <c r="O413" s="4">
        <v>12580</v>
      </c>
      <c r="P413" s="4">
        <v>12540</v>
      </c>
      <c r="Q413" s="4">
        <v>12900</v>
      </c>
      <c r="R413" s="4">
        <v>12900</v>
      </c>
      <c r="S413" s="3" t="s">
        <v>50</v>
      </c>
      <c r="T413" s="3" t="s">
        <v>50</v>
      </c>
      <c r="U413" s="3"/>
      <c r="V413" s="3" t="s">
        <v>1210</v>
      </c>
      <c r="W413" s="3"/>
      <c r="X413" s="102"/>
      <c r="Y413" s="103"/>
      <c r="Z413" s="104"/>
    </row>
    <row r="414" spans="1:26" s="56" customFormat="1" x14ac:dyDescent="0.3">
      <c r="A414" s="3">
        <v>27</v>
      </c>
      <c r="B414" s="3" t="s">
        <v>1202</v>
      </c>
      <c r="C414" s="3" t="s">
        <v>458</v>
      </c>
      <c r="D414" s="3" t="s">
        <v>458</v>
      </c>
      <c r="E414" s="3" t="s">
        <v>458</v>
      </c>
      <c r="F414" s="3" t="s">
        <v>458</v>
      </c>
      <c r="G414" s="3" t="s">
        <v>458</v>
      </c>
      <c r="H414" s="3">
        <v>6230</v>
      </c>
      <c r="I414" s="3">
        <v>0</v>
      </c>
      <c r="J414" s="3" t="s">
        <v>1203</v>
      </c>
      <c r="K414" s="3"/>
      <c r="L414" s="3" t="s">
        <v>1213</v>
      </c>
      <c r="M414" s="3" t="s">
        <v>1214</v>
      </c>
      <c r="N414" s="4">
        <v>1450</v>
      </c>
      <c r="O414" s="4">
        <v>420</v>
      </c>
      <c r="P414" s="4">
        <v>460</v>
      </c>
      <c r="Q414" s="4">
        <v>100</v>
      </c>
      <c r="R414" s="4">
        <v>100</v>
      </c>
      <c r="S414" s="3" t="s">
        <v>50</v>
      </c>
      <c r="T414" s="3" t="s">
        <v>50</v>
      </c>
      <c r="U414" s="3"/>
      <c r="V414" s="3" t="s">
        <v>1210</v>
      </c>
      <c r="W414" s="3"/>
      <c r="X414" s="102"/>
      <c r="Y414" s="103"/>
      <c r="Z414" s="104"/>
    </row>
    <row r="415" spans="1:26" s="56" customFormat="1" x14ac:dyDescent="0.3">
      <c r="A415" s="3">
        <v>27</v>
      </c>
      <c r="B415" s="3" t="s">
        <v>1202</v>
      </c>
      <c r="C415" s="3" t="s">
        <v>458</v>
      </c>
      <c r="D415" s="3" t="s">
        <v>458</v>
      </c>
      <c r="E415" s="3" t="s">
        <v>458</v>
      </c>
      <c r="F415" s="3" t="s">
        <v>458</v>
      </c>
      <c r="G415" s="3" t="s">
        <v>458</v>
      </c>
      <c r="H415" s="3">
        <v>4000</v>
      </c>
      <c r="I415" s="3">
        <v>0</v>
      </c>
      <c r="J415" s="3" t="s">
        <v>1215</v>
      </c>
      <c r="K415" s="3"/>
      <c r="L415" s="3" t="s">
        <v>1216</v>
      </c>
      <c r="M415" s="3" t="s">
        <v>1217</v>
      </c>
      <c r="N415" s="4">
        <v>200</v>
      </c>
      <c r="O415" s="4">
        <v>0</v>
      </c>
      <c r="P415" s="4">
        <v>0</v>
      </c>
      <c r="Q415" s="4">
        <v>0</v>
      </c>
      <c r="R415" s="4">
        <v>0</v>
      </c>
      <c r="S415" s="3" t="s">
        <v>50</v>
      </c>
      <c r="T415" s="3" t="s">
        <v>50</v>
      </c>
      <c r="U415" s="3"/>
      <c r="V415" s="3" t="s">
        <v>458</v>
      </c>
      <c r="W415" s="3"/>
      <c r="X415" s="102"/>
      <c r="Y415" s="103"/>
      <c r="Z415" s="104"/>
    </row>
    <row r="416" spans="1:26" s="56" customFormat="1" x14ac:dyDescent="0.3">
      <c r="A416" s="3">
        <v>27</v>
      </c>
      <c r="B416" s="3" t="s">
        <v>1202</v>
      </c>
      <c r="C416" s="3" t="s">
        <v>458</v>
      </c>
      <c r="D416" s="3" t="s">
        <v>458</v>
      </c>
      <c r="E416" s="3" t="s">
        <v>458</v>
      </c>
      <c r="F416" s="3" t="s">
        <v>458</v>
      </c>
      <c r="G416" s="3" t="s">
        <v>458</v>
      </c>
      <c r="H416" s="3">
        <v>4000</v>
      </c>
      <c r="I416" s="3">
        <v>0</v>
      </c>
      <c r="J416" s="3" t="s">
        <v>1215</v>
      </c>
      <c r="K416" s="3"/>
      <c r="L416" s="3" t="s">
        <v>1218</v>
      </c>
      <c r="M416" s="3" t="s">
        <v>1219</v>
      </c>
      <c r="N416" s="4">
        <v>250</v>
      </c>
      <c r="O416" s="4">
        <v>0</v>
      </c>
      <c r="P416" s="4">
        <v>0</v>
      </c>
      <c r="Q416" s="4">
        <v>0</v>
      </c>
      <c r="R416" s="4">
        <v>0</v>
      </c>
      <c r="S416" s="3" t="s">
        <v>50</v>
      </c>
      <c r="T416" s="3" t="s">
        <v>50</v>
      </c>
      <c r="U416" s="3"/>
      <c r="V416" s="3" t="s">
        <v>458</v>
      </c>
      <c r="W416" s="3"/>
      <c r="X416" s="112"/>
      <c r="Y416" s="103"/>
      <c r="Z416" s="104"/>
    </row>
    <row r="417" spans="1:26" s="56" customFormat="1" x14ac:dyDescent="0.3">
      <c r="A417" s="3">
        <v>27</v>
      </c>
      <c r="B417" s="3" t="s">
        <v>1202</v>
      </c>
      <c r="C417" s="3" t="s">
        <v>458</v>
      </c>
      <c r="D417" s="3" t="s">
        <v>458</v>
      </c>
      <c r="E417" s="3" t="s">
        <v>458</v>
      </c>
      <c r="F417" s="3" t="s">
        <v>458</v>
      </c>
      <c r="G417" s="3" t="s">
        <v>458</v>
      </c>
      <c r="H417" s="3">
        <v>4540</v>
      </c>
      <c r="I417" s="3">
        <v>0</v>
      </c>
      <c r="J417" s="3" t="s">
        <v>1215</v>
      </c>
      <c r="K417" s="3"/>
      <c r="L417" s="3" t="s">
        <v>1220</v>
      </c>
      <c r="M417" s="3" t="s">
        <v>1221</v>
      </c>
      <c r="N417" s="4">
        <v>1650</v>
      </c>
      <c r="O417" s="4">
        <v>1650</v>
      </c>
      <c r="P417" s="4">
        <v>1650</v>
      </c>
      <c r="Q417" s="4">
        <v>1650</v>
      </c>
      <c r="R417" s="4">
        <v>1650</v>
      </c>
      <c r="S417" s="3" t="s">
        <v>830</v>
      </c>
      <c r="T417" s="3"/>
      <c r="U417" s="3"/>
      <c r="V417" s="3" t="s">
        <v>458</v>
      </c>
      <c r="W417" s="3"/>
      <c r="X417" s="112"/>
      <c r="Y417" s="103"/>
      <c r="Z417" s="104"/>
    </row>
    <row r="418" spans="1:26" s="113" customFormat="1" ht="46.2" customHeight="1" x14ac:dyDescent="0.3">
      <c r="A418" s="3">
        <v>27</v>
      </c>
      <c r="B418" s="3" t="s">
        <v>1202</v>
      </c>
      <c r="C418" s="3" t="s">
        <v>458</v>
      </c>
      <c r="D418" s="3" t="s">
        <v>458</v>
      </c>
      <c r="E418" s="3" t="s">
        <v>458</v>
      </c>
      <c r="F418" s="3" t="s">
        <v>458</v>
      </c>
      <c r="G418" s="3" t="s">
        <v>458</v>
      </c>
      <c r="H418" s="3">
        <v>4530</v>
      </c>
      <c r="I418" s="3">
        <v>0</v>
      </c>
      <c r="J418" s="3" t="s">
        <v>1222</v>
      </c>
      <c r="K418" s="3"/>
      <c r="L418" s="3" t="s">
        <v>1223</v>
      </c>
      <c r="M418" s="3" t="s">
        <v>1224</v>
      </c>
      <c r="N418" s="4">
        <v>29</v>
      </c>
      <c r="O418" s="4"/>
      <c r="P418" s="4"/>
      <c r="Q418" s="4"/>
      <c r="R418" s="4"/>
      <c r="S418" s="3" t="s">
        <v>830</v>
      </c>
      <c r="T418" s="3" t="s">
        <v>50</v>
      </c>
      <c r="U418" s="3"/>
      <c r="V418" s="3" t="s">
        <v>626</v>
      </c>
      <c r="W418" s="3"/>
      <c r="X418" s="5"/>
      <c r="Y418" s="5"/>
      <c r="Z418" s="5"/>
    </row>
    <row r="419" spans="1:26" s="113" customFormat="1" ht="12.6" customHeight="1" x14ac:dyDescent="0.3">
      <c r="A419" s="3">
        <v>27</v>
      </c>
      <c r="B419" s="3" t="s">
        <v>1202</v>
      </c>
      <c r="C419" s="3" t="s">
        <v>458</v>
      </c>
      <c r="D419" s="3" t="s">
        <v>458</v>
      </c>
      <c r="E419" s="3" t="s">
        <v>458</v>
      </c>
      <c r="F419" s="3" t="s">
        <v>458</v>
      </c>
      <c r="G419" s="3" t="s">
        <v>458</v>
      </c>
      <c r="H419" s="3">
        <v>4000</v>
      </c>
      <c r="I419" s="3">
        <v>0</v>
      </c>
      <c r="J419" s="3" t="s">
        <v>1222</v>
      </c>
      <c r="K419" s="3"/>
      <c r="L419" s="3" t="s">
        <v>1225</v>
      </c>
      <c r="M419" s="3" t="s">
        <v>1226</v>
      </c>
      <c r="N419" s="4">
        <v>5000</v>
      </c>
      <c r="O419" s="4">
        <v>0</v>
      </c>
      <c r="P419" s="4">
        <v>0</v>
      </c>
      <c r="Q419" s="4">
        <v>0</v>
      </c>
      <c r="R419" s="4">
        <v>0</v>
      </c>
      <c r="S419" s="3" t="s">
        <v>50</v>
      </c>
      <c r="T419" s="3" t="s">
        <v>50</v>
      </c>
      <c r="U419" s="3"/>
      <c r="V419" s="3" t="s">
        <v>269</v>
      </c>
      <c r="W419" s="3"/>
      <c r="X419" s="5"/>
      <c r="Y419" s="5"/>
      <c r="Z419" s="5"/>
    </row>
    <row r="420" spans="1:26" s="113" customFormat="1" ht="12.6" customHeight="1" x14ac:dyDescent="0.3">
      <c r="A420" s="3">
        <v>27</v>
      </c>
      <c r="B420" s="3" t="s">
        <v>1202</v>
      </c>
      <c r="C420" s="3" t="s">
        <v>458</v>
      </c>
      <c r="D420" s="3" t="s">
        <v>458</v>
      </c>
      <c r="E420" s="3" t="s">
        <v>458</v>
      </c>
      <c r="F420" s="3" t="s">
        <v>458</v>
      </c>
      <c r="G420" s="3" t="s">
        <v>458</v>
      </c>
      <c r="H420" s="3">
        <v>2350</v>
      </c>
      <c r="I420" s="3">
        <v>0</v>
      </c>
      <c r="J420" s="3" t="s">
        <v>1227</v>
      </c>
      <c r="K420" s="3"/>
      <c r="L420" s="3" t="s">
        <v>1228</v>
      </c>
      <c r="M420" s="3" t="s">
        <v>1229</v>
      </c>
      <c r="N420" s="4">
        <v>30097</v>
      </c>
      <c r="O420" s="4">
        <v>0</v>
      </c>
      <c r="P420" s="4">
        <v>0</v>
      </c>
      <c r="Q420" s="4">
        <v>0</v>
      </c>
      <c r="R420" s="4">
        <v>0</v>
      </c>
      <c r="S420" s="3" t="s">
        <v>50</v>
      </c>
      <c r="T420" s="3" t="s">
        <v>50</v>
      </c>
      <c r="U420" s="3"/>
      <c r="V420" s="3" t="s">
        <v>458</v>
      </c>
      <c r="W420" s="3" t="s">
        <v>1230</v>
      </c>
      <c r="X420" s="5"/>
      <c r="Y420" s="5"/>
      <c r="Z420" s="5"/>
    </row>
    <row r="421" spans="1:26" s="113" customFormat="1" ht="12.6" customHeight="1" x14ac:dyDescent="0.3">
      <c r="A421" s="3">
        <v>27</v>
      </c>
      <c r="B421" s="3" t="s">
        <v>1202</v>
      </c>
      <c r="C421" s="3" t="s">
        <v>458</v>
      </c>
      <c r="D421" s="3" t="s">
        <v>458</v>
      </c>
      <c r="E421" s="3" t="s">
        <v>458</v>
      </c>
      <c r="F421" s="3" t="s">
        <v>458</v>
      </c>
      <c r="G421" s="3" t="s">
        <v>458</v>
      </c>
      <c r="H421" s="3">
        <v>4000</v>
      </c>
      <c r="I421" s="3">
        <v>0</v>
      </c>
      <c r="J421" s="3" t="s">
        <v>1222</v>
      </c>
      <c r="K421" s="3"/>
      <c r="L421" s="3" t="s">
        <v>1231</v>
      </c>
      <c r="M421" s="3" t="s">
        <v>1232</v>
      </c>
      <c r="N421" s="4">
        <v>100</v>
      </c>
      <c r="O421" s="4">
        <v>100</v>
      </c>
      <c r="P421" s="4">
        <v>100</v>
      </c>
      <c r="Q421" s="4">
        <v>100</v>
      </c>
      <c r="R421" s="4">
        <v>100</v>
      </c>
      <c r="S421" s="3" t="s">
        <v>50</v>
      </c>
      <c r="T421" s="3" t="s">
        <v>50</v>
      </c>
      <c r="U421" s="3"/>
      <c r="V421" s="3" t="s">
        <v>458</v>
      </c>
      <c r="W421" s="3"/>
      <c r="X421" s="5"/>
      <c r="Y421" s="5"/>
      <c r="Z421" s="5"/>
    </row>
    <row r="422" spans="1:26" s="113" customFormat="1" ht="12.6" customHeight="1" x14ac:dyDescent="0.3">
      <c r="A422" s="3">
        <v>27</v>
      </c>
      <c r="B422" s="3" t="s">
        <v>1202</v>
      </c>
      <c r="C422" s="3" t="s">
        <v>458</v>
      </c>
      <c r="D422" s="3" t="s">
        <v>458</v>
      </c>
      <c r="E422" s="3" t="s">
        <v>458</v>
      </c>
      <c r="F422" s="3" t="s">
        <v>458</v>
      </c>
      <c r="G422" s="3" t="s">
        <v>458</v>
      </c>
      <c r="H422" s="3">
        <v>4000</v>
      </c>
      <c r="I422" s="3">
        <v>0</v>
      </c>
      <c r="J422" s="3" t="s">
        <v>1227</v>
      </c>
      <c r="K422" s="3"/>
      <c r="L422" s="3" t="s">
        <v>1233</v>
      </c>
      <c r="M422" s="3" t="s">
        <v>1234</v>
      </c>
      <c r="N422" s="4">
        <v>500</v>
      </c>
      <c r="O422" s="4">
        <v>500</v>
      </c>
      <c r="P422" s="4">
        <v>500</v>
      </c>
      <c r="Q422" s="4">
        <v>500</v>
      </c>
      <c r="R422" s="4">
        <v>500</v>
      </c>
      <c r="S422" s="3" t="s">
        <v>50</v>
      </c>
      <c r="T422" s="3" t="s">
        <v>50</v>
      </c>
      <c r="U422" s="3"/>
      <c r="V422" s="3" t="s">
        <v>458</v>
      </c>
      <c r="W422" s="3"/>
      <c r="X422" s="5"/>
      <c r="Y422" s="5"/>
      <c r="Z422" s="5"/>
    </row>
    <row r="423" spans="1:26" s="113" customFormat="1" ht="12.6" customHeight="1" x14ac:dyDescent="0.3">
      <c r="A423" s="3">
        <v>27</v>
      </c>
      <c r="B423" s="3" t="s">
        <v>1202</v>
      </c>
      <c r="C423" s="3" t="s">
        <v>458</v>
      </c>
      <c r="D423" s="3" t="s">
        <v>458</v>
      </c>
      <c r="E423" s="3" t="s">
        <v>458</v>
      </c>
      <c r="F423" s="3" t="s">
        <v>458</v>
      </c>
      <c r="G423" s="3" t="s">
        <v>458</v>
      </c>
      <c r="H423" s="3">
        <v>4000</v>
      </c>
      <c r="I423" s="3">
        <v>0</v>
      </c>
      <c r="J423" s="3" t="s">
        <v>1227</v>
      </c>
      <c r="K423" s="3"/>
      <c r="L423" s="3" t="s">
        <v>1235</v>
      </c>
      <c r="M423" s="3" t="s">
        <v>1236</v>
      </c>
      <c r="N423" s="4">
        <v>500</v>
      </c>
      <c r="O423" s="4">
        <v>500</v>
      </c>
      <c r="P423" s="4">
        <v>500</v>
      </c>
      <c r="Q423" s="4">
        <v>500</v>
      </c>
      <c r="R423" s="4">
        <v>500</v>
      </c>
      <c r="S423" s="3" t="s">
        <v>50</v>
      </c>
      <c r="T423" s="3" t="s">
        <v>50</v>
      </c>
      <c r="U423" s="3"/>
      <c r="V423" s="3" t="s">
        <v>458</v>
      </c>
      <c r="W423" s="3"/>
      <c r="X423" s="5"/>
      <c r="Y423" s="5"/>
      <c r="Z423" s="5"/>
    </row>
    <row r="424" spans="1:26" s="113" customFormat="1" ht="44.7" customHeight="1" x14ac:dyDescent="0.3">
      <c r="A424" s="3">
        <v>27</v>
      </c>
      <c r="B424" s="3" t="s">
        <v>1202</v>
      </c>
      <c r="C424" s="3" t="s">
        <v>458</v>
      </c>
      <c r="D424" s="3" t="s">
        <v>458</v>
      </c>
      <c r="E424" s="3" t="s">
        <v>458</v>
      </c>
      <c r="F424" s="3" t="s">
        <v>458</v>
      </c>
      <c r="G424" s="3" t="s">
        <v>458</v>
      </c>
      <c r="H424" s="3">
        <v>4000</v>
      </c>
      <c r="I424" s="3">
        <v>0</v>
      </c>
      <c r="J424" s="3" t="s">
        <v>1227</v>
      </c>
      <c r="K424" s="3"/>
      <c r="L424" s="3" t="s">
        <v>1237</v>
      </c>
      <c r="M424" s="3" t="s">
        <v>1238</v>
      </c>
      <c r="N424" s="4">
        <v>274</v>
      </c>
      <c r="O424" s="4">
        <v>0</v>
      </c>
      <c r="P424" s="4">
        <v>0</v>
      </c>
      <c r="Q424" s="4">
        <v>0</v>
      </c>
      <c r="R424" s="4">
        <v>0</v>
      </c>
      <c r="S424" s="3" t="s">
        <v>50</v>
      </c>
      <c r="T424" s="3" t="s">
        <v>50</v>
      </c>
      <c r="U424" s="3"/>
      <c r="V424" s="3" t="s">
        <v>458</v>
      </c>
      <c r="W424" s="6" t="s">
        <v>1239</v>
      </c>
      <c r="X424" s="5"/>
      <c r="Y424" s="5"/>
      <c r="Z424" s="5"/>
    </row>
    <row r="425" spans="1:26" s="113" customFormat="1" ht="12.6" customHeight="1" x14ac:dyDescent="0.3">
      <c r="A425" s="114">
        <v>27</v>
      </c>
      <c r="B425" s="114" t="s">
        <v>1202</v>
      </c>
      <c r="C425" s="114" t="s">
        <v>458</v>
      </c>
      <c r="D425" s="114" t="s">
        <v>458</v>
      </c>
      <c r="E425" s="114" t="s">
        <v>458</v>
      </c>
      <c r="F425" s="115" t="s">
        <v>458</v>
      </c>
      <c r="G425" s="114" t="s">
        <v>1240</v>
      </c>
      <c r="H425" s="116">
        <v>4000</v>
      </c>
      <c r="I425" s="114">
        <v>0</v>
      </c>
      <c r="J425" s="117" t="s">
        <v>1227</v>
      </c>
      <c r="K425" s="117"/>
      <c r="L425" s="118" t="s">
        <v>1241</v>
      </c>
      <c r="M425" s="118" t="s">
        <v>1242</v>
      </c>
      <c r="N425" s="119">
        <v>15</v>
      </c>
      <c r="O425" s="120">
        <v>0</v>
      </c>
      <c r="P425" s="121">
        <v>0</v>
      </c>
      <c r="Q425" s="121">
        <v>0</v>
      </c>
      <c r="R425" s="121">
        <v>0</v>
      </c>
      <c r="S425" s="114" t="s">
        <v>50</v>
      </c>
      <c r="T425" s="114" t="s">
        <v>50</v>
      </c>
      <c r="U425" s="122"/>
      <c r="V425" s="122" t="s">
        <v>458</v>
      </c>
      <c r="W425" s="123"/>
      <c r="X425" s="124"/>
      <c r="Y425" s="124"/>
      <c r="Z425" s="124"/>
    </row>
    <row r="426" spans="1:26" s="113" customFormat="1" ht="12.6" customHeight="1" x14ac:dyDescent="0.3">
      <c r="A426" s="26">
        <v>27</v>
      </c>
      <c r="B426" s="26" t="s">
        <v>1243</v>
      </c>
      <c r="C426" s="26"/>
      <c r="D426" s="26" t="s">
        <v>1244</v>
      </c>
      <c r="E426" s="26"/>
      <c r="F426" s="26" t="s">
        <v>1245</v>
      </c>
      <c r="G426" s="26" t="s">
        <v>647</v>
      </c>
      <c r="H426" s="26">
        <v>4530</v>
      </c>
      <c r="I426" s="26">
        <v>0</v>
      </c>
      <c r="J426" s="26" t="s">
        <v>1246</v>
      </c>
      <c r="K426" s="34" t="s">
        <v>243</v>
      </c>
      <c r="L426" s="26" t="s">
        <v>1244</v>
      </c>
      <c r="M426" s="26" t="s">
        <v>1247</v>
      </c>
      <c r="N426" s="27"/>
      <c r="O426" s="27"/>
      <c r="P426" s="27">
        <v>0</v>
      </c>
      <c r="Q426" s="27"/>
      <c r="R426" s="27"/>
      <c r="S426" s="26"/>
      <c r="T426" s="26"/>
      <c r="U426" s="26"/>
      <c r="V426" s="26"/>
      <c r="W426" s="125" t="s">
        <v>1248</v>
      </c>
      <c r="X426" s="29" t="s">
        <v>1249</v>
      </c>
      <c r="Y426" s="28">
        <f t="shared" ref="Y426:Y489" si="2">N426-Z426</f>
        <v>0</v>
      </c>
      <c r="Z426" s="29"/>
    </row>
    <row r="427" spans="1:26" s="113" customFormat="1" ht="12.6" customHeight="1" x14ac:dyDescent="0.3">
      <c r="A427" s="3">
        <v>27</v>
      </c>
      <c r="B427" s="3" t="s">
        <v>1243</v>
      </c>
      <c r="C427" s="3"/>
      <c r="D427" s="3" t="s">
        <v>1250</v>
      </c>
      <c r="E427" s="3"/>
      <c r="F427" s="3" t="s">
        <v>458</v>
      </c>
      <c r="G427" s="3"/>
      <c r="H427" s="3">
        <v>4000</v>
      </c>
      <c r="I427" s="3">
        <v>0</v>
      </c>
      <c r="J427" s="3" t="s">
        <v>1110</v>
      </c>
      <c r="K427" s="3" t="s">
        <v>243</v>
      </c>
      <c r="L427" s="3" t="s">
        <v>1251</v>
      </c>
      <c r="M427" s="3" t="s">
        <v>1251</v>
      </c>
      <c r="N427" s="22">
        <v>8195</v>
      </c>
      <c r="O427" s="22">
        <v>8780</v>
      </c>
      <c r="P427" s="22">
        <v>9425</v>
      </c>
      <c r="Q427" s="22"/>
      <c r="R427" s="22"/>
      <c r="S427" s="22"/>
      <c r="T427" s="22"/>
      <c r="U427" s="22"/>
      <c r="V427" s="22"/>
      <c r="W427" s="3"/>
      <c r="X427" s="5" t="s">
        <v>1249</v>
      </c>
      <c r="Y427" s="28">
        <f t="shared" si="2"/>
        <v>0</v>
      </c>
      <c r="Z427" s="5">
        <v>8195</v>
      </c>
    </row>
    <row r="428" spans="1:26" x14ac:dyDescent="0.3">
      <c r="A428" s="3">
        <v>27</v>
      </c>
      <c r="B428" s="3" t="s">
        <v>1243</v>
      </c>
      <c r="C428" s="3"/>
      <c r="D428" s="3" t="s">
        <v>1252</v>
      </c>
      <c r="E428" s="3"/>
      <c r="F428" s="3" t="s">
        <v>458</v>
      </c>
      <c r="G428" s="3"/>
      <c r="H428" s="3">
        <v>4000</v>
      </c>
      <c r="I428" s="3">
        <v>0</v>
      </c>
      <c r="J428" s="3" t="s">
        <v>1246</v>
      </c>
      <c r="K428" s="3" t="s">
        <v>243</v>
      </c>
      <c r="L428" s="3" t="s">
        <v>1253</v>
      </c>
      <c r="M428" s="3" t="s">
        <v>1253</v>
      </c>
      <c r="N428" s="22">
        <v>4850</v>
      </c>
      <c r="O428" s="22">
        <v>5335</v>
      </c>
      <c r="P428" s="22">
        <v>5869</v>
      </c>
      <c r="Q428" s="22"/>
      <c r="R428" s="22"/>
      <c r="S428" s="22"/>
      <c r="T428" s="22"/>
      <c r="U428" s="22"/>
      <c r="V428" s="22"/>
      <c r="W428" s="3"/>
      <c r="X428" s="5" t="s">
        <v>1249</v>
      </c>
      <c r="Y428" s="28">
        <f t="shared" si="2"/>
        <v>0</v>
      </c>
      <c r="Z428" s="5">
        <v>4850</v>
      </c>
    </row>
    <row r="429" spans="1:26" x14ac:dyDescent="0.3">
      <c r="A429" s="3">
        <v>27</v>
      </c>
      <c r="B429" s="3" t="s">
        <v>1243</v>
      </c>
      <c r="C429" s="3"/>
      <c r="D429" s="3" t="s">
        <v>1254</v>
      </c>
      <c r="E429" s="3"/>
      <c r="F429" s="3" t="s">
        <v>458</v>
      </c>
      <c r="G429" s="3"/>
      <c r="H429" s="3">
        <v>4000</v>
      </c>
      <c r="I429" s="3">
        <v>0</v>
      </c>
      <c r="J429" s="3" t="s">
        <v>1110</v>
      </c>
      <c r="K429" s="3" t="s">
        <v>243</v>
      </c>
      <c r="L429" s="3" t="s">
        <v>1255</v>
      </c>
      <c r="M429" s="3" t="s">
        <v>1255</v>
      </c>
      <c r="N429" s="22">
        <v>207</v>
      </c>
      <c r="O429" s="22">
        <v>0</v>
      </c>
      <c r="P429" s="22">
        <v>0</v>
      </c>
      <c r="Q429" s="22"/>
      <c r="R429" s="22"/>
      <c r="S429" s="22"/>
      <c r="T429" s="22"/>
      <c r="U429" s="22"/>
      <c r="V429" s="22"/>
      <c r="W429" s="3"/>
      <c r="X429" s="5" t="s">
        <v>1249</v>
      </c>
      <c r="Y429" s="28">
        <f t="shared" si="2"/>
        <v>0</v>
      </c>
      <c r="Z429" s="5">
        <v>207</v>
      </c>
    </row>
    <row r="430" spans="1:26" x14ac:dyDescent="0.3">
      <c r="A430" s="3">
        <v>27</v>
      </c>
      <c r="B430" s="3" t="s">
        <v>1243</v>
      </c>
      <c r="C430" s="3"/>
      <c r="D430" s="3" t="s">
        <v>1254</v>
      </c>
      <c r="E430" s="3"/>
      <c r="F430" s="3" t="s">
        <v>458</v>
      </c>
      <c r="G430" s="3"/>
      <c r="H430" s="3">
        <v>4000</v>
      </c>
      <c r="I430" s="3">
        <v>0</v>
      </c>
      <c r="J430" s="3" t="s">
        <v>1246</v>
      </c>
      <c r="K430" s="3" t="s">
        <v>243</v>
      </c>
      <c r="L430" s="3" t="s">
        <v>1256</v>
      </c>
      <c r="M430" s="3" t="s">
        <v>1256</v>
      </c>
      <c r="N430" s="22">
        <v>162</v>
      </c>
      <c r="O430" s="22">
        <v>0</v>
      </c>
      <c r="P430" s="22">
        <v>0</v>
      </c>
      <c r="Q430" s="22"/>
      <c r="R430" s="22"/>
      <c r="S430" s="22"/>
      <c r="T430" s="22"/>
      <c r="U430" s="22"/>
      <c r="V430" s="22"/>
      <c r="W430" s="3"/>
      <c r="X430" s="5" t="s">
        <v>1249</v>
      </c>
      <c r="Y430" s="28">
        <f t="shared" si="2"/>
        <v>0</v>
      </c>
      <c r="Z430" s="5">
        <v>162</v>
      </c>
    </row>
    <row r="431" spans="1:26" x14ac:dyDescent="0.3">
      <c r="A431" s="3">
        <v>27</v>
      </c>
      <c r="B431" s="3" t="s">
        <v>1243</v>
      </c>
      <c r="C431" s="3"/>
      <c r="D431" s="3" t="s">
        <v>1254</v>
      </c>
      <c r="E431" s="3"/>
      <c r="F431" s="3" t="s">
        <v>458</v>
      </c>
      <c r="G431" s="3"/>
      <c r="H431" s="3">
        <v>4000</v>
      </c>
      <c r="I431" s="3">
        <v>0</v>
      </c>
      <c r="J431" s="3" t="s">
        <v>1246</v>
      </c>
      <c r="K431" s="3" t="s">
        <v>243</v>
      </c>
      <c r="L431" s="3" t="s">
        <v>1257</v>
      </c>
      <c r="M431" s="3" t="s">
        <v>1257</v>
      </c>
      <c r="N431" s="22">
        <v>190</v>
      </c>
      <c r="O431" s="22">
        <v>0</v>
      </c>
      <c r="P431" s="22">
        <v>0</v>
      </c>
      <c r="Q431" s="22"/>
      <c r="R431" s="22"/>
      <c r="S431" s="22"/>
      <c r="T431" s="22"/>
      <c r="U431" s="22"/>
      <c r="V431" s="22"/>
      <c r="W431" s="3"/>
      <c r="X431" s="5" t="s">
        <v>1249</v>
      </c>
      <c r="Y431" s="28">
        <f t="shared" si="2"/>
        <v>0</v>
      </c>
      <c r="Z431" s="5">
        <v>190</v>
      </c>
    </row>
    <row r="432" spans="1:26" x14ac:dyDescent="0.3">
      <c r="A432" s="3">
        <v>27</v>
      </c>
      <c r="B432" s="3" t="s">
        <v>1243</v>
      </c>
      <c r="C432" s="3"/>
      <c r="D432" s="3" t="s">
        <v>1254</v>
      </c>
      <c r="E432" s="3"/>
      <c r="F432" s="3" t="s">
        <v>458</v>
      </c>
      <c r="G432" s="3"/>
      <c r="H432" s="3">
        <v>4000</v>
      </c>
      <c r="I432" s="3">
        <v>0</v>
      </c>
      <c r="J432" s="3" t="s">
        <v>1246</v>
      </c>
      <c r="K432" s="3" t="s">
        <v>243</v>
      </c>
      <c r="L432" s="3" t="s">
        <v>1258</v>
      </c>
      <c r="M432" s="3" t="s">
        <v>1258</v>
      </c>
      <c r="N432" s="22">
        <v>0</v>
      </c>
      <c r="O432" s="22">
        <v>2947</v>
      </c>
      <c r="P432" s="22">
        <v>0</v>
      </c>
      <c r="Q432" s="22"/>
      <c r="R432" s="22"/>
      <c r="S432" s="22"/>
      <c r="T432" s="22"/>
      <c r="U432" s="22"/>
      <c r="V432" s="22"/>
      <c r="W432" s="3"/>
      <c r="X432" s="5" t="s">
        <v>1249</v>
      </c>
      <c r="Y432" s="28">
        <f t="shared" si="2"/>
        <v>0</v>
      </c>
      <c r="Z432" s="5">
        <v>0</v>
      </c>
    </row>
    <row r="433" spans="1:26" x14ac:dyDescent="0.3">
      <c r="A433" s="3">
        <v>27</v>
      </c>
      <c r="B433" s="3" t="s">
        <v>1243</v>
      </c>
      <c r="C433" s="3"/>
      <c r="D433" s="3" t="s">
        <v>1254</v>
      </c>
      <c r="E433" s="3"/>
      <c r="F433" s="3" t="s">
        <v>458</v>
      </c>
      <c r="G433" s="3"/>
      <c r="H433" s="3">
        <v>4000</v>
      </c>
      <c r="I433" s="3">
        <v>0</v>
      </c>
      <c r="J433" s="3" t="s">
        <v>1246</v>
      </c>
      <c r="K433" s="3" t="s">
        <v>243</v>
      </c>
      <c r="L433" s="3" t="s">
        <v>1259</v>
      </c>
      <c r="M433" s="3" t="s">
        <v>1259</v>
      </c>
      <c r="N433" s="22">
        <v>0</v>
      </c>
      <c r="O433" s="22">
        <v>2927</v>
      </c>
      <c r="P433" s="22">
        <v>0</v>
      </c>
      <c r="Q433" s="22"/>
      <c r="R433" s="22"/>
      <c r="S433" s="22"/>
      <c r="T433" s="22"/>
      <c r="U433" s="22"/>
      <c r="V433" s="22"/>
      <c r="W433" s="3"/>
      <c r="X433" s="5" t="s">
        <v>1249</v>
      </c>
      <c r="Y433" s="28">
        <f t="shared" si="2"/>
        <v>0</v>
      </c>
      <c r="Z433" s="5">
        <v>0</v>
      </c>
    </row>
    <row r="434" spans="1:26" x14ac:dyDescent="0.3">
      <c r="A434" s="3">
        <v>27</v>
      </c>
      <c r="B434" s="3" t="s">
        <v>1243</v>
      </c>
      <c r="C434" s="3"/>
      <c r="D434" s="3" t="s">
        <v>1254</v>
      </c>
      <c r="E434" s="3"/>
      <c r="F434" s="3" t="s">
        <v>458</v>
      </c>
      <c r="G434" s="3"/>
      <c r="H434" s="3">
        <v>4000</v>
      </c>
      <c r="I434" s="3">
        <v>0</v>
      </c>
      <c r="J434" s="3" t="s">
        <v>1246</v>
      </c>
      <c r="K434" s="3" t="s">
        <v>243</v>
      </c>
      <c r="L434" s="3" t="s">
        <v>1260</v>
      </c>
      <c r="M434" s="3" t="s">
        <v>1260</v>
      </c>
      <c r="N434" s="22">
        <v>0</v>
      </c>
      <c r="O434" s="22">
        <v>2919</v>
      </c>
      <c r="P434" s="22">
        <v>0</v>
      </c>
      <c r="Q434" s="22"/>
      <c r="R434" s="22"/>
      <c r="S434" s="22"/>
      <c r="T434" s="22"/>
      <c r="U434" s="22"/>
      <c r="V434" s="22"/>
      <c r="W434" s="3"/>
      <c r="X434" s="5" t="s">
        <v>1249</v>
      </c>
      <c r="Y434" s="28">
        <f t="shared" si="2"/>
        <v>0</v>
      </c>
      <c r="Z434" s="5">
        <v>0</v>
      </c>
    </row>
    <row r="435" spans="1:26" x14ac:dyDescent="0.3">
      <c r="A435" s="3">
        <v>27</v>
      </c>
      <c r="B435" s="3" t="s">
        <v>1243</v>
      </c>
      <c r="C435" s="3"/>
      <c r="D435" s="3" t="s">
        <v>1254</v>
      </c>
      <c r="E435" s="3"/>
      <c r="F435" s="3" t="s">
        <v>458</v>
      </c>
      <c r="G435" s="3"/>
      <c r="H435" s="3">
        <v>4000</v>
      </c>
      <c r="I435" s="3">
        <v>0</v>
      </c>
      <c r="J435" s="3" t="s">
        <v>1246</v>
      </c>
      <c r="K435" s="3" t="s">
        <v>243</v>
      </c>
      <c r="L435" s="3" t="s">
        <v>1261</v>
      </c>
      <c r="M435" s="3" t="s">
        <v>1261</v>
      </c>
      <c r="N435" s="22">
        <v>0</v>
      </c>
      <c r="O435" s="22">
        <v>3729</v>
      </c>
      <c r="P435" s="22">
        <v>0</v>
      </c>
      <c r="Q435" s="22"/>
      <c r="R435" s="22"/>
      <c r="S435" s="22"/>
      <c r="T435" s="22"/>
      <c r="U435" s="22"/>
      <c r="V435" s="22"/>
      <c r="W435" s="3"/>
      <c r="X435" s="5" t="s">
        <v>1249</v>
      </c>
      <c r="Y435" s="28">
        <f t="shared" si="2"/>
        <v>0</v>
      </c>
      <c r="Z435" s="5">
        <v>0</v>
      </c>
    </row>
    <row r="436" spans="1:26" x14ac:dyDescent="0.3">
      <c r="A436" s="3">
        <v>27</v>
      </c>
      <c r="B436" s="3" t="s">
        <v>1243</v>
      </c>
      <c r="C436" s="3"/>
      <c r="D436" s="3" t="s">
        <v>1254</v>
      </c>
      <c r="E436" s="3"/>
      <c r="F436" s="3" t="s">
        <v>458</v>
      </c>
      <c r="G436" s="3"/>
      <c r="H436" s="3">
        <v>4000</v>
      </c>
      <c r="I436" s="3">
        <v>0</v>
      </c>
      <c r="J436" s="3" t="s">
        <v>1246</v>
      </c>
      <c r="K436" s="3" t="s">
        <v>243</v>
      </c>
      <c r="L436" s="3" t="s">
        <v>1262</v>
      </c>
      <c r="M436" s="3" t="s">
        <v>1262</v>
      </c>
      <c r="N436" s="22">
        <v>0</v>
      </c>
      <c r="O436" s="22">
        <v>2487</v>
      </c>
      <c r="P436" s="22">
        <v>0</v>
      </c>
      <c r="Q436" s="22"/>
      <c r="R436" s="22"/>
      <c r="S436" s="22"/>
      <c r="T436" s="22"/>
      <c r="U436" s="22"/>
      <c r="V436" s="22"/>
      <c r="W436" s="3"/>
      <c r="X436" s="5" t="s">
        <v>1249</v>
      </c>
      <c r="Y436" s="28">
        <f t="shared" si="2"/>
        <v>0</v>
      </c>
      <c r="Z436" s="5">
        <v>0</v>
      </c>
    </row>
    <row r="437" spans="1:26" s="29" customFormat="1" x14ac:dyDescent="0.3">
      <c r="A437" s="3">
        <v>27</v>
      </c>
      <c r="B437" s="3" t="s">
        <v>1243</v>
      </c>
      <c r="C437" s="3"/>
      <c r="D437" s="3" t="s">
        <v>1254</v>
      </c>
      <c r="E437" s="3"/>
      <c r="F437" s="3" t="s">
        <v>458</v>
      </c>
      <c r="G437" s="3"/>
      <c r="H437" s="3">
        <v>4000</v>
      </c>
      <c r="I437" s="3">
        <v>0</v>
      </c>
      <c r="J437" s="3" t="s">
        <v>1246</v>
      </c>
      <c r="K437" s="3" t="s">
        <v>243</v>
      </c>
      <c r="L437" s="3" t="s">
        <v>1263</v>
      </c>
      <c r="M437" s="3" t="s">
        <v>1263</v>
      </c>
      <c r="N437" s="22">
        <v>0</v>
      </c>
      <c r="O437" s="22">
        <v>4829</v>
      </c>
      <c r="P437" s="22">
        <v>0</v>
      </c>
      <c r="Q437" s="22"/>
      <c r="R437" s="22"/>
      <c r="S437" s="22"/>
      <c r="T437" s="22"/>
      <c r="U437" s="22"/>
      <c r="V437" s="22"/>
      <c r="W437" s="3"/>
      <c r="X437" s="5" t="s">
        <v>1249</v>
      </c>
      <c r="Y437" s="28">
        <f t="shared" si="2"/>
        <v>0</v>
      </c>
      <c r="Z437" s="5">
        <v>0</v>
      </c>
    </row>
    <row r="438" spans="1:26" x14ac:dyDescent="0.3">
      <c r="A438" s="3">
        <v>27</v>
      </c>
      <c r="B438" s="3" t="s">
        <v>1243</v>
      </c>
      <c r="C438" s="3"/>
      <c r="D438" s="3" t="s">
        <v>1254</v>
      </c>
      <c r="E438" s="3"/>
      <c r="F438" s="3" t="s">
        <v>458</v>
      </c>
      <c r="G438" s="3"/>
      <c r="H438" s="3">
        <v>4000</v>
      </c>
      <c r="I438" s="3">
        <v>0</v>
      </c>
      <c r="J438" s="3" t="s">
        <v>1246</v>
      </c>
      <c r="K438" s="3" t="s">
        <v>243</v>
      </c>
      <c r="L438" s="3" t="s">
        <v>1264</v>
      </c>
      <c r="M438" s="3" t="s">
        <v>1264</v>
      </c>
      <c r="N438" s="22">
        <v>0</v>
      </c>
      <c r="O438" s="22">
        <v>64</v>
      </c>
      <c r="P438" s="22">
        <v>0</v>
      </c>
      <c r="Q438" s="22"/>
      <c r="R438" s="22"/>
      <c r="S438" s="22"/>
      <c r="T438" s="22"/>
      <c r="U438" s="22"/>
      <c r="V438" s="22"/>
      <c r="W438" s="3"/>
      <c r="X438" s="5" t="s">
        <v>1249</v>
      </c>
      <c r="Y438" s="28">
        <f t="shared" si="2"/>
        <v>0</v>
      </c>
      <c r="Z438" s="5">
        <v>0</v>
      </c>
    </row>
    <row r="439" spans="1:26" x14ac:dyDescent="0.3">
      <c r="A439" s="3">
        <v>27</v>
      </c>
      <c r="B439" s="3" t="s">
        <v>1243</v>
      </c>
      <c r="C439" s="3"/>
      <c r="D439" s="3" t="s">
        <v>1254</v>
      </c>
      <c r="E439" s="3"/>
      <c r="F439" s="3" t="s">
        <v>458</v>
      </c>
      <c r="G439" s="3"/>
      <c r="H439" s="3">
        <v>4000</v>
      </c>
      <c r="I439" s="3">
        <v>0</v>
      </c>
      <c r="J439" s="3" t="s">
        <v>1246</v>
      </c>
      <c r="K439" s="3" t="s">
        <v>243</v>
      </c>
      <c r="L439" s="3" t="s">
        <v>1265</v>
      </c>
      <c r="M439" s="3" t="s">
        <v>1265</v>
      </c>
      <c r="N439" s="22">
        <v>0</v>
      </c>
      <c r="O439" s="22">
        <v>1211</v>
      </c>
      <c r="P439" s="22">
        <v>0</v>
      </c>
      <c r="Q439" s="22"/>
      <c r="R439" s="22"/>
      <c r="S439" s="22"/>
      <c r="T439" s="22"/>
      <c r="U439" s="22"/>
      <c r="V439" s="22"/>
      <c r="W439" s="3"/>
      <c r="X439" s="5" t="s">
        <v>1249</v>
      </c>
      <c r="Y439" s="28">
        <f t="shared" si="2"/>
        <v>0</v>
      </c>
      <c r="Z439" s="5">
        <v>0</v>
      </c>
    </row>
    <row r="440" spans="1:26" x14ac:dyDescent="0.3">
      <c r="A440" s="3">
        <v>27</v>
      </c>
      <c r="B440" s="3" t="s">
        <v>1243</v>
      </c>
      <c r="C440" s="3"/>
      <c r="D440" s="3" t="s">
        <v>1254</v>
      </c>
      <c r="E440" s="3"/>
      <c r="F440" s="3" t="s">
        <v>458</v>
      </c>
      <c r="G440" s="3"/>
      <c r="H440" s="3">
        <v>4000</v>
      </c>
      <c r="I440" s="3">
        <v>0</v>
      </c>
      <c r="J440" s="3" t="s">
        <v>1246</v>
      </c>
      <c r="K440" s="3" t="s">
        <v>243</v>
      </c>
      <c r="L440" s="3" t="s">
        <v>1266</v>
      </c>
      <c r="M440" s="3" t="s">
        <v>1266</v>
      </c>
      <c r="N440" s="22">
        <v>0</v>
      </c>
      <c r="O440" s="22">
        <v>984</v>
      </c>
      <c r="P440" s="22">
        <v>0</v>
      </c>
      <c r="Q440" s="22"/>
      <c r="R440" s="22"/>
      <c r="S440" s="22"/>
      <c r="T440" s="22"/>
      <c r="U440" s="22"/>
      <c r="V440" s="22"/>
      <c r="W440" s="3"/>
      <c r="X440" s="5" t="s">
        <v>1249</v>
      </c>
      <c r="Y440" s="28">
        <f t="shared" si="2"/>
        <v>0</v>
      </c>
      <c r="Z440" s="5">
        <v>0</v>
      </c>
    </row>
    <row r="441" spans="1:26" x14ac:dyDescent="0.3">
      <c r="A441" s="3">
        <v>27</v>
      </c>
      <c r="B441" s="3" t="s">
        <v>1243</v>
      </c>
      <c r="C441" s="3"/>
      <c r="D441" s="3" t="s">
        <v>1254</v>
      </c>
      <c r="E441" s="3"/>
      <c r="F441" s="3" t="s">
        <v>458</v>
      </c>
      <c r="G441" s="3"/>
      <c r="H441" s="3">
        <v>4000</v>
      </c>
      <c r="I441" s="3">
        <v>0</v>
      </c>
      <c r="J441" s="3" t="s">
        <v>1110</v>
      </c>
      <c r="K441" s="3" t="s">
        <v>243</v>
      </c>
      <c r="L441" s="3" t="s">
        <v>1267</v>
      </c>
      <c r="M441" s="3" t="s">
        <v>1267</v>
      </c>
      <c r="N441" s="22">
        <v>615</v>
      </c>
      <c r="O441" s="22">
        <v>0</v>
      </c>
      <c r="P441" s="22">
        <v>0</v>
      </c>
      <c r="Q441" s="22"/>
      <c r="R441" s="22"/>
      <c r="S441" s="22"/>
      <c r="T441" s="22"/>
      <c r="U441" s="22"/>
      <c r="V441" s="22"/>
      <c r="W441" s="3"/>
      <c r="X441" s="5" t="s">
        <v>1249</v>
      </c>
      <c r="Y441" s="28">
        <f t="shared" si="2"/>
        <v>0</v>
      </c>
      <c r="Z441" s="5">
        <v>615</v>
      </c>
    </row>
    <row r="442" spans="1:26" s="29" customFormat="1" x14ac:dyDescent="0.3">
      <c r="A442" s="3">
        <v>27</v>
      </c>
      <c r="B442" s="3" t="s">
        <v>1243</v>
      </c>
      <c r="C442" s="3" t="s">
        <v>1268</v>
      </c>
      <c r="D442" s="3" t="s">
        <v>1269</v>
      </c>
      <c r="E442" s="3" t="s">
        <v>458</v>
      </c>
      <c r="F442" s="3" t="s">
        <v>458</v>
      </c>
      <c r="G442" s="3"/>
      <c r="H442" s="3">
        <v>4000</v>
      </c>
      <c r="I442" s="3">
        <v>0</v>
      </c>
      <c r="J442" s="3" t="s">
        <v>1246</v>
      </c>
      <c r="K442" s="3" t="s">
        <v>243</v>
      </c>
      <c r="L442" s="3" t="s">
        <v>1270</v>
      </c>
      <c r="M442" s="3" t="s">
        <v>1270</v>
      </c>
      <c r="N442" s="22">
        <v>646</v>
      </c>
      <c r="O442" s="22"/>
      <c r="P442" s="22"/>
      <c r="Q442" s="22"/>
      <c r="R442" s="22"/>
      <c r="S442" s="22"/>
      <c r="T442" s="22"/>
      <c r="U442" s="22"/>
      <c r="V442" s="22"/>
      <c r="W442" s="3"/>
      <c r="X442" s="5" t="s">
        <v>1271</v>
      </c>
      <c r="Y442" s="28">
        <f t="shared" si="2"/>
        <v>0</v>
      </c>
      <c r="Z442" s="5">
        <v>646</v>
      </c>
    </row>
    <row r="443" spans="1:26" s="29" customFormat="1" x14ac:dyDescent="0.3">
      <c r="A443" s="3">
        <v>27</v>
      </c>
      <c r="B443" s="3" t="s">
        <v>1243</v>
      </c>
      <c r="C443" s="3" t="s">
        <v>1268</v>
      </c>
      <c r="D443" s="3" t="s">
        <v>1269</v>
      </c>
      <c r="E443" s="3" t="s">
        <v>458</v>
      </c>
      <c r="F443" s="3" t="s">
        <v>458</v>
      </c>
      <c r="G443" s="3"/>
      <c r="H443" s="3">
        <v>4000</v>
      </c>
      <c r="I443" s="3">
        <v>0</v>
      </c>
      <c r="J443" s="3" t="s">
        <v>1246</v>
      </c>
      <c r="K443" s="3" t="s">
        <v>243</v>
      </c>
      <c r="L443" s="3" t="s">
        <v>1272</v>
      </c>
      <c r="M443" s="3" t="s">
        <v>1272</v>
      </c>
      <c r="N443" s="22">
        <v>250</v>
      </c>
      <c r="O443" s="22"/>
      <c r="P443" s="22"/>
      <c r="Q443" s="22"/>
      <c r="R443" s="22"/>
      <c r="S443" s="22"/>
      <c r="T443" s="22"/>
      <c r="U443" s="22"/>
      <c r="V443" s="22"/>
      <c r="W443" s="3"/>
      <c r="X443" s="5" t="s">
        <v>1271</v>
      </c>
      <c r="Y443" s="28">
        <f t="shared" si="2"/>
        <v>0</v>
      </c>
      <c r="Z443" s="5">
        <v>250</v>
      </c>
    </row>
    <row r="444" spans="1:26" s="29" customFormat="1" x14ac:dyDescent="0.3">
      <c r="A444" s="3">
        <v>27</v>
      </c>
      <c r="B444" s="3" t="s">
        <v>1243</v>
      </c>
      <c r="C444" s="3" t="s">
        <v>1268</v>
      </c>
      <c r="D444" s="3" t="s">
        <v>1269</v>
      </c>
      <c r="E444" s="3" t="s">
        <v>458</v>
      </c>
      <c r="F444" s="3" t="s">
        <v>458</v>
      </c>
      <c r="G444" s="3"/>
      <c r="H444" s="3">
        <v>4000</v>
      </c>
      <c r="I444" s="3">
        <v>0</v>
      </c>
      <c r="J444" s="3" t="s">
        <v>1246</v>
      </c>
      <c r="K444" s="3" t="s">
        <v>243</v>
      </c>
      <c r="L444" s="3" t="s">
        <v>1273</v>
      </c>
      <c r="M444" s="3" t="s">
        <v>1273</v>
      </c>
      <c r="N444" s="22">
        <v>0</v>
      </c>
      <c r="O444" s="22"/>
      <c r="P444" s="22"/>
      <c r="Q444" s="22"/>
      <c r="R444" s="22"/>
      <c r="S444" s="22"/>
      <c r="T444" s="22"/>
      <c r="U444" s="22"/>
      <c r="V444" s="22"/>
      <c r="W444" s="3"/>
      <c r="X444" s="5" t="s">
        <v>1271</v>
      </c>
      <c r="Y444" s="28">
        <f t="shared" si="2"/>
        <v>0</v>
      </c>
      <c r="Z444" s="5">
        <v>0</v>
      </c>
    </row>
    <row r="445" spans="1:26" s="29" customFormat="1" x14ac:dyDescent="0.3">
      <c r="A445" s="26">
        <v>27</v>
      </c>
      <c r="B445" s="26" t="s">
        <v>1243</v>
      </c>
      <c r="C445" s="26" t="s">
        <v>1268</v>
      </c>
      <c r="D445" s="26" t="s">
        <v>1269</v>
      </c>
      <c r="E445" s="26" t="s">
        <v>458</v>
      </c>
      <c r="F445" s="26" t="s">
        <v>458</v>
      </c>
      <c r="G445" s="26"/>
      <c r="H445" s="26">
        <v>4000</v>
      </c>
      <c r="I445" s="26">
        <v>0</v>
      </c>
      <c r="J445" s="26" t="s">
        <v>1110</v>
      </c>
      <c r="K445" s="3" t="s">
        <v>243</v>
      </c>
      <c r="L445" s="26" t="s">
        <v>1274</v>
      </c>
      <c r="M445" s="26" t="s">
        <v>1274</v>
      </c>
      <c r="N445" s="106"/>
      <c r="O445" s="106"/>
      <c r="P445" s="106"/>
      <c r="Q445" s="106"/>
      <c r="R445" s="106"/>
      <c r="S445" s="106"/>
      <c r="T445" s="106"/>
      <c r="U445" s="106"/>
      <c r="V445" s="106"/>
      <c r="W445" s="26"/>
      <c r="X445" s="29" t="s">
        <v>1271</v>
      </c>
      <c r="Y445" s="28">
        <f t="shared" si="2"/>
        <v>0</v>
      </c>
    </row>
    <row r="446" spans="1:26" s="29" customFormat="1" x14ac:dyDescent="0.3">
      <c r="A446" s="3">
        <v>27</v>
      </c>
      <c r="B446" s="3" t="s">
        <v>1243</v>
      </c>
      <c r="C446" s="3" t="s">
        <v>1268</v>
      </c>
      <c r="D446" s="3" t="s">
        <v>1269</v>
      </c>
      <c r="E446" s="3" t="s">
        <v>458</v>
      </c>
      <c r="F446" s="3" t="s">
        <v>458</v>
      </c>
      <c r="G446" s="3"/>
      <c r="H446" s="3">
        <v>4000</v>
      </c>
      <c r="I446" s="3">
        <v>0</v>
      </c>
      <c r="J446" s="3" t="s">
        <v>1110</v>
      </c>
      <c r="K446" s="3" t="s">
        <v>243</v>
      </c>
      <c r="L446" s="3" t="s">
        <v>1275</v>
      </c>
      <c r="M446" s="3" t="s">
        <v>1275</v>
      </c>
      <c r="N446" s="22">
        <v>4477</v>
      </c>
      <c r="O446" s="22"/>
      <c r="P446" s="22"/>
      <c r="Q446" s="22"/>
      <c r="R446" s="22"/>
      <c r="S446" s="22"/>
      <c r="T446" s="22"/>
      <c r="U446" s="22"/>
      <c r="V446" s="22"/>
      <c r="W446" s="3"/>
      <c r="X446" s="5" t="s">
        <v>1271</v>
      </c>
      <c r="Y446" s="28">
        <f t="shared" si="2"/>
        <v>0</v>
      </c>
      <c r="Z446" s="5">
        <v>4477</v>
      </c>
    </row>
    <row r="447" spans="1:26" x14ac:dyDescent="0.3">
      <c r="A447" s="3">
        <v>27</v>
      </c>
      <c r="B447" s="3" t="s">
        <v>1243</v>
      </c>
      <c r="C447" s="3" t="s">
        <v>1268</v>
      </c>
      <c r="D447" s="3" t="s">
        <v>1269</v>
      </c>
      <c r="E447" s="3" t="s">
        <v>458</v>
      </c>
      <c r="F447" s="3" t="s">
        <v>458</v>
      </c>
      <c r="G447" s="3"/>
      <c r="H447" s="3">
        <v>4000</v>
      </c>
      <c r="I447" s="3">
        <v>0</v>
      </c>
      <c r="J447" s="3" t="s">
        <v>1246</v>
      </c>
      <c r="K447" s="3" t="s">
        <v>243</v>
      </c>
      <c r="L447" s="3" t="s">
        <v>1276</v>
      </c>
      <c r="M447" s="3" t="s">
        <v>1276</v>
      </c>
      <c r="N447" s="22">
        <v>6268</v>
      </c>
      <c r="O447" s="22"/>
      <c r="P447" s="22"/>
      <c r="Q447" s="22"/>
      <c r="R447" s="22"/>
      <c r="S447" s="22"/>
      <c r="T447" s="22"/>
      <c r="U447" s="22"/>
      <c r="V447" s="22"/>
      <c r="W447" s="3"/>
      <c r="X447" s="5" t="s">
        <v>1271</v>
      </c>
      <c r="Y447" s="28">
        <f t="shared" si="2"/>
        <v>0</v>
      </c>
      <c r="Z447" s="5">
        <v>6268</v>
      </c>
    </row>
    <row r="448" spans="1:26" x14ac:dyDescent="0.3">
      <c r="A448" s="3">
        <v>27</v>
      </c>
      <c r="B448" s="3" t="s">
        <v>1243</v>
      </c>
      <c r="C448" s="3" t="s">
        <v>1268</v>
      </c>
      <c r="D448" s="3" t="s">
        <v>1269</v>
      </c>
      <c r="E448" s="3" t="s">
        <v>458</v>
      </c>
      <c r="F448" s="3" t="s">
        <v>458</v>
      </c>
      <c r="G448" s="3"/>
      <c r="H448" s="3">
        <v>4000</v>
      </c>
      <c r="I448" s="3">
        <v>0</v>
      </c>
      <c r="J448" s="3" t="s">
        <v>1246</v>
      </c>
      <c r="K448" s="3" t="s">
        <v>243</v>
      </c>
      <c r="L448" s="3" t="s">
        <v>1277</v>
      </c>
      <c r="M448" s="3" t="s">
        <v>1277</v>
      </c>
      <c r="N448" s="22">
        <v>1753</v>
      </c>
      <c r="O448" s="22"/>
      <c r="P448" s="22"/>
      <c r="Q448" s="22"/>
      <c r="R448" s="22"/>
      <c r="S448" s="22"/>
      <c r="T448" s="22"/>
      <c r="U448" s="22"/>
      <c r="V448" s="22"/>
      <c r="W448" s="3"/>
      <c r="X448" s="5" t="s">
        <v>1271</v>
      </c>
      <c r="Y448" s="28">
        <f t="shared" si="2"/>
        <v>0</v>
      </c>
      <c r="Z448" s="5">
        <v>1753</v>
      </c>
    </row>
    <row r="449" spans="1:26" s="29" customFormat="1" x14ac:dyDescent="0.3">
      <c r="A449" s="3">
        <v>27</v>
      </c>
      <c r="B449" s="3" t="s">
        <v>1243</v>
      </c>
      <c r="C449" s="3" t="s">
        <v>1268</v>
      </c>
      <c r="D449" s="3" t="s">
        <v>1269</v>
      </c>
      <c r="E449" s="3" t="s">
        <v>458</v>
      </c>
      <c r="F449" s="3" t="s">
        <v>458</v>
      </c>
      <c r="G449" s="3"/>
      <c r="H449" s="3">
        <v>4000</v>
      </c>
      <c r="I449" s="3">
        <v>0</v>
      </c>
      <c r="J449" s="3" t="s">
        <v>1246</v>
      </c>
      <c r="K449" s="3" t="s">
        <v>243</v>
      </c>
      <c r="L449" s="3" t="s">
        <v>1278</v>
      </c>
      <c r="M449" s="3" t="s">
        <v>1278</v>
      </c>
      <c r="N449" s="22">
        <v>4598</v>
      </c>
      <c r="O449" s="22"/>
      <c r="P449" s="22"/>
      <c r="Q449" s="22"/>
      <c r="R449" s="22"/>
      <c r="S449" s="22"/>
      <c r="T449" s="22"/>
      <c r="U449" s="22"/>
      <c r="V449" s="22"/>
      <c r="W449" s="3"/>
      <c r="X449" s="5" t="s">
        <v>1271</v>
      </c>
      <c r="Y449" s="28">
        <f t="shared" si="2"/>
        <v>0</v>
      </c>
      <c r="Z449" s="5">
        <v>4598</v>
      </c>
    </row>
    <row r="450" spans="1:26" x14ac:dyDescent="0.3">
      <c r="A450" s="3">
        <v>27</v>
      </c>
      <c r="B450" s="3" t="s">
        <v>1243</v>
      </c>
      <c r="C450" s="3" t="s">
        <v>1268</v>
      </c>
      <c r="D450" s="3" t="s">
        <v>1269</v>
      </c>
      <c r="E450" s="3" t="s">
        <v>458</v>
      </c>
      <c r="F450" s="3" t="s">
        <v>458</v>
      </c>
      <c r="G450" s="3"/>
      <c r="H450" s="3">
        <v>4000</v>
      </c>
      <c r="I450" s="3">
        <v>0</v>
      </c>
      <c r="J450" s="3" t="s">
        <v>1110</v>
      </c>
      <c r="K450" s="3" t="s">
        <v>243</v>
      </c>
      <c r="L450" s="3" t="s">
        <v>1279</v>
      </c>
      <c r="M450" s="3" t="s">
        <v>1279</v>
      </c>
      <c r="N450" s="22">
        <v>1130</v>
      </c>
      <c r="O450" s="22"/>
      <c r="P450" s="22"/>
      <c r="Q450" s="22"/>
      <c r="R450" s="22"/>
      <c r="S450" s="22"/>
      <c r="T450" s="22"/>
      <c r="U450" s="22"/>
      <c r="V450" s="22"/>
      <c r="W450" s="3"/>
      <c r="X450" s="5" t="s">
        <v>1271</v>
      </c>
      <c r="Y450" s="28">
        <f t="shared" si="2"/>
        <v>0</v>
      </c>
      <c r="Z450" s="5">
        <v>1130</v>
      </c>
    </row>
    <row r="451" spans="1:26" x14ac:dyDescent="0.3">
      <c r="A451" s="3">
        <v>27</v>
      </c>
      <c r="B451" s="3" t="s">
        <v>1243</v>
      </c>
      <c r="C451" s="3" t="s">
        <v>1268</v>
      </c>
      <c r="D451" s="3" t="s">
        <v>1269</v>
      </c>
      <c r="E451" s="3" t="s">
        <v>458</v>
      </c>
      <c r="F451" s="3" t="s">
        <v>458</v>
      </c>
      <c r="G451" s="3"/>
      <c r="H451" s="3">
        <v>4000</v>
      </c>
      <c r="I451" s="3">
        <v>0</v>
      </c>
      <c r="J451" s="3" t="s">
        <v>1110</v>
      </c>
      <c r="K451" s="3" t="s">
        <v>243</v>
      </c>
      <c r="L451" s="3" t="s">
        <v>1280</v>
      </c>
      <c r="M451" s="3" t="s">
        <v>1280</v>
      </c>
      <c r="N451" s="22">
        <v>4911</v>
      </c>
      <c r="O451" s="22"/>
      <c r="P451" s="22"/>
      <c r="Q451" s="22"/>
      <c r="R451" s="22"/>
      <c r="S451" s="22"/>
      <c r="T451" s="22"/>
      <c r="U451" s="22"/>
      <c r="V451" s="22"/>
      <c r="W451" s="3"/>
      <c r="X451" s="5" t="s">
        <v>1271</v>
      </c>
      <c r="Y451" s="28">
        <f t="shared" si="2"/>
        <v>0</v>
      </c>
      <c r="Z451" s="5">
        <v>4911</v>
      </c>
    </row>
    <row r="452" spans="1:26" x14ac:dyDescent="0.3">
      <c r="A452" s="3">
        <v>27</v>
      </c>
      <c r="B452" s="3" t="s">
        <v>1243</v>
      </c>
      <c r="C452" s="3" t="s">
        <v>1268</v>
      </c>
      <c r="D452" s="3" t="s">
        <v>1269</v>
      </c>
      <c r="E452" s="3" t="s">
        <v>458</v>
      </c>
      <c r="F452" s="3" t="s">
        <v>458</v>
      </c>
      <c r="G452" s="3"/>
      <c r="H452" s="3">
        <v>4000</v>
      </c>
      <c r="I452" s="3">
        <v>0</v>
      </c>
      <c r="J452" s="3" t="s">
        <v>1110</v>
      </c>
      <c r="K452" s="3" t="s">
        <v>243</v>
      </c>
      <c r="L452" s="3" t="s">
        <v>1281</v>
      </c>
      <c r="M452" s="3" t="s">
        <v>1281</v>
      </c>
      <c r="N452" s="22">
        <v>4840</v>
      </c>
      <c r="O452" s="22"/>
      <c r="P452" s="22"/>
      <c r="Q452" s="22"/>
      <c r="R452" s="22"/>
      <c r="S452" s="22"/>
      <c r="T452" s="22"/>
      <c r="U452" s="22"/>
      <c r="V452" s="22"/>
      <c r="W452" s="3"/>
      <c r="X452" s="5" t="s">
        <v>1271</v>
      </c>
      <c r="Y452" s="28">
        <f t="shared" si="2"/>
        <v>0</v>
      </c>
      <c r="Z452" s="5">
        <v>4840</v>
      </c>
    </row>
    <row r="453" spans="1:26" x14ac:dyDescent="0.3">
      <c r="A453" s="3">
        <v>27</v>
      </c>
      <c r="B453" s="3" t="s">
        <v>1243</v>
      </c>
      <c r="C453" s="3" t="s">
        <v>1268</v>
      </c>
      <c r="D453" s="3" t="s">
        <v>1269</v>
      </c>
      <c r="E453" s="3" t="s">
        <v>458</v>
      </c>
      <c r="F453" s="3" t="s">
        <v>458</v>
      </c>
      <c r="G453" s="3"/>
      <c r="H453" s="3">
        <v>4000</v>
      </c>
      <c r="I453" s="3">
        <v>0</v>
      </c>
      <c r="J453" s="3" t="s">
        <v>1110</v>
      </c>
      <c r="K453" s="3" t="s">
        <v>243</v>
      </c>
      <c r="L453" s="3" t="s">
        <v>1282</v>
      </c>
      <c r="M453" s="3" t="s">
        <v>1282</v>
      </c>
      <c r="N453" s="22">
        <v>222</v>
      </c>
      <c r="O453" s="22"/>
      <c r="P453" s="22"/>
      <c r="Q453" s="22"/>
      <c r="R453" s="22"/>
      <c r="S453" s="22"/>
      <c r="T453" s="22"/>
      <c r="U453" s="22"/>
      <c r="V453" s="22"/>
      <c r="W453" s="3"/>
      <c r="X453" s="5" t="s">
        <v>1271</v>
      </c>
      <c r="Y453" s="28">
        <f t="shared" si="2"/>
        <v>0</v>
      </c>
      <c r="Z453" s="5">
        <v>222</v>
      </c>
    </row>
    <row r="454" spans="1:26" x14ac:dyDescent="0.3">
      <c r="A454" s="3">
        <v>27</v>
      </c>
      <c r="B454" s="3" t="s">
        <v>1243</v>
      </c>
      <c r="C454" s="3" t="s">
        <v>1268</v>
      </c>
      <c r="D454" s="3" t="s">
        <v>1269</v>
      </c>
      <c r="E454" s="3" t="s">
        <v>458</v>
      </c>
      <c r="F454" s="3" t="s">
        <v>458</v>
      </c>
      <c r="G454" s="3"/>
      <c r="H454" s="3">
        <v>4000</v>
      </c>
      <c r="I454" s="3">
        <v>0</v>
      </c>
      <c r="J454" s="3" t="s">
        <v>1246</v>
      </c>
      <c r="K454" s="3" t="s">
        <v>243</v>
      </c>
      <c r="L454" s="3" t="s">
        <v>1283</v>
      </c>
      <c r="M454" s="3" t="s">
        <v>1283</v>
      </c>
      <c r="N454" s="22">
        <v>1333</v>
      </c>
      <c r="O454" s="22"/>
      <c r="P454" s="22"/>
      <c r="Q454" s="22"/>
      <c r="R454" s="22"/>
      <c r="S454" s="22"/>
      <c r="T454" s="22"/>
      <c r="U454" s="22"/>
      <c r="V454" s="22"/>
      <c r="W454" s="3"/>
      <c r="X454" s="5" t="s">
        <v>1271</v>
      </c>
      <c r="Y454" s="28">
        <f t="shared" si="2"/>
        <v>0</v>
      </c>
      <c r="Z454" s="5">
        <v>1333</v>
      </c>
    </row>
    <row r="455" spans="1:26" x14ac:dyDescent="0.3">
      <c r="A455" s="3">
        <v>27</v>
      </c>
      <c r="B455" s="3" t="s">
        <v>1243</v>
      </c>
      <c r="C455" s="3" t="s">
        <v>1268</v>
      </c>
      <c r="D455" s="3" t="s">
        <v>1269</v>
      </c>
      <c r="E455" s="3" t="s">
        <v>458</v>
      </c>
      <c r="F455" s="3" t="s">
        <v>458</v>
      </c>
      <c r="G455" s="3"/>
      <c r="H455" s="3">
        <v>4000</v>
      </c>
      <c r="I455" s="3">
        <v>0</v>
      </c>
      <c r="J455" s="3" t="s">
        <v>1110</v>
      </c>
      <c r="K455" s="3" t="s">
        <v>243</v>
      </c>
      <c r="L455" s="3" t="s">
        <v>1284</v>
      </c>
      <c r="M455" s="3" t="s">
        <v>1284</v>
      </c>
      <c r="N455" s="22">
        <v>1472</v>
      </c>
      <c r="O455" s="22"/>
      <c r="P455" s="22"/>
      <c r="Q455" s="22"/>
      <c r="R455" s="22"/>
      <c r="S455" s="22"/>
      <c r="T455" s="22"/>
      <c r="U455" s="22"/>
      <c r="V455" s="22"/>
      <c r="W455" s="3"/>
      <c r="X455" s="5" t="s">
        <v>1271</v>
      </c>
      <c r="Y455" s="28">
        <f t="shared" si="2"/>
        <v>0</v>
      </c>
      <c r="Z455" s="5">
        <v>1472</v>
      </c>
    </row>
    <row r="456" spans="1:26" s="29" customFormat="1" x14ac:dyDescent="0.3">
      <c r="A456" s="3">
        <v>27</v>
      </c>
      <c r="B456" s="3" t="s">
        <v>1243</v>
      </c>
      <c r="C456" s="3" t="s">
        <v>1268</v>
      </c>
      <c r="D456" s="3" t="s">
        <v>1269</v>
      </c>
      <c r="E456" s="3" t="s">
        <v>458</v>
      </c>
      <c r="F456" s="3" t="s">
        <v>458</v>
      </c>
      <c r="G456" s="3"/>
      <c r="H456" s="3">
        <v>4000</v>
      </c>
      <c r="I456" s="3">
        <v>0</v>
      </c>
      <c r="J456" s="3" t="s">
        <v>1110</v>
      </c>
      <c r="K456" s="3" t="s">
        <v>243</v>
      </c>
      <c r="L456" s="3" t="s">
        <v>1285</v>
      </c>
      <c r="M456" s="3" t="s">
        <v>1285</v>
      </c>
      <c r="N456" s="22">
        <v>1472</v>
      </c>
      <c r="O456" s="22"/>
      <c r="P456" s="22"/>
      <c r="Q456" s="22"/>
      <c r="R456" s="22"/>
      <c r="S456" s="22"/>
      <c r="T456" s="22"/>
      <c r="U456" s="22"/>
      <c r="V456" s="22"/>
      <c r="W456" s="3"/>
      <c r="X456" s="5" t="s">
        <v>1271</v>
      </c>
      <c r="Y456" s="28">
        <f t="shared" si="2"/>
        <v>0</v>
      </c>
      <c r="Z456" s="5">
        <v>1472</v>
      </c>
    </row>
    <row r="457" spans="1:26" x14ac:dyDescent="0.3">
      <c r="A457" s="3">
        <v>27</v>
      </c>
      <c r="B457" s="3" t="s">
        <v>1243</v>
      </c>
      <c r="C457" s="3" t="s">
        <v>1268</v>
      </c>
      <c r="D457" s="3" t="s">
        <v>1269</v>
      </c>
      <c r="E457" s="3" t="s">
        <v>458</v>
      </c>
      <c r="F457" s="3" t="s">
        <v>458</v>
      </c>
      <c r="G457" s="3"/>
      <c r="H457" s="3">
        <v>4000</v>
      </c>
      <c r="I457" s="3">
        <v>0</v>
      </c>
      <c r="J457" s="3" t="s">
        <v>1110</v>
      </c>
      <c r="K457" s="3" t="s">
        <v>243</v>
      </c>
      <c r="L457" s="3" t="s">
        <v>1286</v>
      </c>
      <c r="M457" s="3" t="s">
        <v>1286</v>
      </c>
      <c r="N457" s="22">
        <v>490</v>
      </c>
      <c r="O457" s="22"/>
      <c r="P457" s="22"/>
      <c r="Q457" s="22"/>
      <c r="R457" s="22"/>
      <c r="S457" s="22"/>
      <c r="T457" s="22"/>
      <c r="U457" s="22"/>
      <c r="V457" s="22"/>
      <c r="W457" s="3"/>
      <c r="X457" s="5" t="s">
        <v>1271</v>
      </c>
      <c r="Y457" s="28">
        <f t="shared" si="2"/>
        <v>0</v>
      </c>
      <c r="Z457" s="5">
        <v>490</v>
      </c>
    </row>
    <row r="458" spans="1:26" s="29" customFormat="1" x14ac:dyDescent="0.3">
      <c r="A458" s="3">
        <v>27</v>
      </c>
      <c r="B458" s="3" t="s">
        <v>1243</v>
      </c>
      <c r="C458" s="3" t="s">
        <v>1268</v>
      </c>
      <c r="D458" s="3" t="s">
        <v>1269</v>
      </c>
      <c r="E458" s="3" t="s">
        <v>458</v>
      </c>
      <c r="F458" s="3" t="s">
        <v>458</v>
      </c>
      <c r="G458" s="3"/>
      <c r="H458" s="3">
        <v>4000</v>
      </c>
      <c r="I458" s="3">
        <v>0</v>
      </c>
      <c r="J458" s="3" t="s">
        <v>1110</v>
      </c>
      <c r="K458" s="3" t="s">
        <v>243</v>
      </c>
      <c r="L458" s="3" t="s">
        <v>1287</v>
      </c>
      <c r="M458" s="3" t="s">
        <v>1287</v>
      </c>
      <c r="N458" s="22">
        <v>490</v>
      </c>
      <c r="O458" s="22"/>
      <c r="P458" s="22"/>
      <c r="Q458" s="22"/>
      <c r="R458" s="22"/>
      <c r="S458" s="22"/>
      <c r="T458" s="22"/>
      <c r="U458" s="22"/>
      <c r="V458" s="22"/>
      <c r="W458" s="3"/>
      <c r="X458" s="5" t="s">
        <v>1271</v>
      </c>
      <c r="Y458" s="28">
        <f t="shared" si="2"/>
        <v>0</v>
      </c>
      <c r="Z458" s="5">
        <v>490</v>
      </c>
    </row>
    <row r="459" spans="1:26" s="29" customFormat="1" x14ac:dyDescent="0.3">
      <c r="A459" s="3">
        <v>27</v>
      </c>
      <c r="B459" s="3" t="s">
        <v>1243</v>
      </c>
      <c r="C459" s="3" t="s">
        <v>1268</v>
      </c>
      <c r="D459" s="3" t="s">
        <v>1269</v>
      </c>
      <c r="E459" s="3" t="s">
        <v>458</v>
      </c>
      <c r="F459" s="3" t="s">
        <v>458</v>
      </c>
      <c r="G459" s="3"/>
      <c r="H459" s="3">
        <v>4000</v>
      </c>
      <c r="I459" s="3">
        <v>0</v>
      </c>
      <c r="J459" s="3" t="s">
        <v>1110</v>
      </c>
      <c r="K459" s="3" t="s">
        <v>243</v>
      </c>
      <c r="L459" s="3" t="s">
        <v>1288</v>
      </c>
      <c r="M459" s="3" t="s">
        <v>1288</v>
      </c>
      <c r="N459" s="22">
        <v>245</v>
      </c>
      <c r="O459" s="22"/>
      <c r="P459" s="22"/>
      <c r="Q459" s="22"/>
      <c r="R459" s="22"/>
      <c r="S459" s="22"/>
      <c r="T459" s="22"/>
      <c r="U459" s="22"/>
      <c r="V459" s="22"/>
      <c r="W459" s="3"/>
      <c r="X459" s="5" t="s">
        <v>1271</v>
      </c>
      <c r="Y459" s="28">
        <f t="shared" si="2"/>
        <v>0</v>
      </c>
      <c r="Z459" s="5">
        <v>245</v>
      </c>
    </row>
    <row r="460" spans="1:26" s="29" customFormat="1" x14ac:dyDescent="0.3">
      <c r="A460" s="3">
        <v>27</v>
      </c>
      <c r="B460" s="3" t="s">
        <v>1243</v>
      </c>
      <c r="C460" s="3" t="s">
        <v>1268</v>
      </c>
      <c r="D460" s="3" t="s">
        <v>1269</v>
      </c>
      <c r="E460" s="3" t="s">
        <v>458</v>
      </c>
      <c r="F460" s="3" t="s">
        <v>458</v>
      </c>
      <c r="G460" s="3"/>
      <c r="H460" s="3">
        <v>4000</v>
      </c>
      <c r="I460" s="3">
        <v>0</v>
      </c>
      <c r="J460" s="3" t="s">
        <v>1246</v>
      </c>
      <c r="K460" s="3" t="s">
        <v>243</v>
      </c>
      <c r="L460" s="3" t="s">
        <v>1289</v>
      </c>
      <c r="M460" s="3" t="s">
        <v>1289</v>
      </c>
      <c r="N460" s="22">
        <v>491</v>
      </c>
      <c r="O460" s="22"/>
      <c r="P460" s="22"/>
      <c r="Q460" s="22"/>
      <c r="R460" s="22"/>
      <c r="S460" s="22"/>
      <c r="T460" s="22"/>
      <c r="U460" s="22"/>
      <c r="V460" s="22"/>
      <c r="W460" s="3"/>
      <c r="X460" s="5" t="s">
        <v>1271</v>
      </c>
      <c r="Y460" s="28">
        <f t="shared" si="2"/>
        <v>0</v>
      </c>
      <c r="Z460" s="5">
        <v>491</v>
      </c>
    </row>
    <row r="461" spans="1:26" s="29" customFormat="1" x14ac:dyDescent="0.3">
      <c r="A461" s="3">
        <v>27</v>
      </c>
      <c r="B461" s="3" t="s">
        <v>1243</v>
      </c>
      <c r="C461" s="3" t="s">
        <v>1268</v>
      </c>
      <c r="D461" s="3" t="s">
        <v>1269</v>
      </c>
      <c r="E461" s="3" t="s">
        <v>458</v>
      </c>
      <c r="F461" s="3" t="s">
        <v>458</v>
      </c>
      <c r="G461" s="3"/>
      <c r="H461" s="3">
        <v>4000</v>
      </c>
      <c r="I461" s="3">
        <v>0</v>
      </c>
      <c r="J461" s="3" t="s">
        <v>1110</v>
      </c>
      <c r="K461" s="3" t="s">
        <v>243</v>
      </c>
      <c r="L461" s="3" t="s">
        <v>1290</v>
      </c>
      <c r="M461" s="3" t="s">
        <v>1290</v>
      </c>
      <c r="N461" s="22">
        <v>245</v>
      </c>
      <c r="O461" s="22"/>
      <c r="P461" s="22"/>
      <c r="Q461" s="22"/>
      <c r="R461" s="22"/>
      <c r="S461" s="22"/>
      <c r="T461" s="22"/>
      <c r="U461" s="22"/>
      <c r="V461" s="22"/>
      <c r="W461" s="3"/>
      <c r="X461" s="5" t="s">
        <v>1271</v>
      </c>
      <c r="Y461" s="28">
        <f t="shared" si="2"/>
        <v>0</v>
      </c>
      <c r="Z461" s="5">
        <v>245</v>
      </c>
    </row>
    <row r="462" spans="1:26" x14ac:dyDescent="0.3">
      <c r="A462" s="3">
        <v>27</v>
      </c>
      <c r="B462" s="3" t="s">
        <v>1243</v>
      </c>
      <c r="C462" s="3" t="s">
        <v>1268</v>
      </c>
      <c r="D462" s="3" t="s">
        <v>1269</v>
      </c>
      <c r="E462" s="3" t="s">
        <v>458</v>
      </c>
      <c r="F462" s="3" t="s">
        <v>458</v>
      </c>
      <c r="G462" s="3"/>
      <c r="H462" s="3">
        <v>4000</v>
      </c>
      <c r="I462" s="3">
        <v>0</v>
      </c>
      <c r="J462" s="3" t="s">
        <v>1110</v>
      </c>
      <c r="K462" s="3" t="s">
        <v>243</v>
      </c>
      <c r="L462" s="3" t="s">
        <v>1291</v>
      </c>
      <c r="M462" s="3" t="s">
        <v>1291</v>
      </c>
      <c r="N462" s="22">
        <v>1461</v>
      </c>
      <c r="O462" s="22"/>
      <c r="P462" s="22"/>
      <c r="Q462" s="22"/>
      <c r="R462" s="22"/>
      <c r="S462" s="22"/>
      <c r="T462" s="22"/>
      <c r="U462" s="22"/>
      <c r="V462" s="22"/>
      <c r="W462" s="3"/>
      <c r="X462" s="5" t="s">
        <v>1271</v>
      </c>
      <c r="Y462" s="28">
        <f t="shared" si="2"/>
        <v>0</v>
      </c>
      <c r="Z462" s="5">
        <v>1461</v>
      </c>
    </row>
    <row r="463" spans="1:26" s="29" customFormat="1" x14ac:dyDescent="0.3">
      <c r="A463" s="3">
        <v>27</v>
      </c>
      <c r="B463" s="3" t="s">
        <v>1243</v>
      </c>
      <c r="C463" s="3" t="s">
        <v>1268</v>
      </c>
      <c r="D463" s="3" t="s">
        <v>1269</v>
      </c>
      <c r="E463" s="3" t="s">
        <v>458</v>
      </c>
      <c r="F463" s="3" t="s">
        <v>458</v>
      </c>
      <c r="G463" s="3"/>
      <c r="H463" s="3">
        <v>4000</v>
      </c>
      <c r="I463" s="3">
        <v>0</v>
      </c>
      <c r="J463" s="3" t="s">
        <v>1110</v>
      </c>
      <c r="K463" s="3" t="s">
        <v>243</v>
      </c>
      <c r="L463" s="3" t="s">
        <v>1292</v>
      </c>
      <c r="M463" s="3" t="s">
        <v>1292</v>
      </c>
      <c r="N463" s="22">
        <v>6440</v>
      </c>
      <c r="O463" s="22"/>
      <c r="P463" s="22"/>
      <c r="Q463" s="22"/>
      <c r="R463" s="22"/>
      <c r="S463" s="22"/>
      <c r="T463" s="22"/>
      <c r="U463" s="22"/>
      <c r="V463" s="22"/>
      <c r="W463" s="3"/>
      <c r="X463" s="5" t="s">
        <v>1271</v>
      </c>
      <c r="Y463" s="28">
        <f t="shared" si="2"/>
        <v>0</v>
      </c>
      <c r="Z463" s="5">
        <v>6440</v>
      </c>
    </row>
    <row r="464" spans="1:26" s="29" customFormat="1" x14ac:dyDescent="0.3">
      <c r="A464" s="3">
        <v>27</v>
      </c>
      <c r="B464" s="3" t="s">
        <v>1243</v>
      </c>
      <c r="C464" s="3" t="s">
        <v>1268</v>
      </c>
      <c r="D464" s="3" t="s">
        <v>1269</v>
      </c>
      <c r="E464" s="3" t="s">
        <v>458</v>
      </c>
      <c r="F464" s="3" t="s">
        <v>458</v>
      </c>
      <c r="G464" s="3"/>
      <c r="H464" s="3">
        <v>4000</v>
      </c>
      <c r="I464" s="3">
        <v>0</v>
      </c>
      <c r="J464" s="3" t="s">
        <v>1110</v>
      </c>
      <c r="K464" s="3" t="s">
        <v>243</v>
      </c>
      <c r="L464" s="3" t="s">
        <v>1293</v>
      </c>
      <c r="M464" s="3" t="s">
        <v>1293</v>
      </c>
      <c r="N464" s="22">
        <v>586</v>
      </c>
      <c r="O464" s="22"/>
      <c r="P464" s="22"/>
      <c r="Q464" s="22"/>
      <c r="R464" s="22"/>
      <c r="S464" s="22"/>
      <c r="T464" s="22"/>
      <c r="U464" s="22"/>
      <c r="V464" s="22"/>
      <c r="W464" s="3"/>
      <c r="X464" s="5" t="s">
        <v>1271</v>
      </c>
      <c r="Y464" s="28">
        <f t="shared" si="2"/>
        <v>0</v>
      </c>
      <c r="Z464" s="5">
        <v>586</v>
      </c>
    </row>
    <row r="465" spans="1:26" x14ac:dyDescent="0.3">
      <c r="A465" s="26">
        <v>27</v>
      </c>
      <c r="B465" s="26" t="s">
        <v>1243</v>
      </c>
      <c r="C465" s="26" t="s">
        <v>1268</v>
      </c>
      <c r="D465" s="26" t="s">
        <v>1269</v>
      </c>
      <c r="E465" s="26" t="s">
        <v>458</v>
      </c>
      <c r="F465" s="26" t="s">
        <v>458</v>
      </c>
      <c r="G465" s="26"/>
      <c r="H465" s="26">
        <v>4000</v>
      </c>
      <c r="I465" s="26">
        <v>0</v>
      </c>
      <c r="J465" s="26" t="s">
        <v>1110</v>
      </c>
      <c r="K465" s="3" t="s">
        <v>243</v>
      </c>
      <c r="L465" s="26" t="s">
        <v>1294</v>
      </c>
      <c r="M465" s="26" t="s">
        <v>1294</v>
      </c>
      <c r="N465" s="106">
        <v>15000</v>
      </c>
      <c r="O465" s="126"/>
      <c r="P465" s="126"/>
      <c r="Q465" s="106"/>
      <c r="R465" s="106"/>
      <c r="S465" s="106"/>
      <c r="T465" s="106"/>
      <c r="U465" s="106"/>
      <c r="V465" s="106"/>
      <c r="W465" s="26"/>
      <c r="X465" s="29" t="s">
        <v>1271</v>
      </c>
      <c r="Y465" s="28">
        <f t="shared" si="2"/>
        <v>0</v>
      </c>
      <c r="Z465" s="29">
        <v>15000</v>
      </c>
    </row>
    <row r="466" spans="1:26" x14ac:dyDescent="0.3">
      <c r="A466" s="3">
        <v>27</v>
      </c>
      <c r="B466" s="3" t="s">
        <v>1243</v>
      </c>
      <c r="C466" s="3" t="s">
        <v>1268</v>
      </c>
      <c r="D466" s="3" t="s">
        <v>1269</v>
      </c>
      <c r="E466" s="3" t="s">
        <v>458</v>
      </c>
      <c r="F466" s="3" t="s">
        <v>458</v>
      </c>
      <c r="G466" s="3"/>
      <c r="H466" s="3">
        <v>4000</v>
      </c>
      <c r="I466" s="3">
        <v>0</v>
      </c>
      <c r="J466" s="3" t="s">
        <v>1110</v>
      </c>
      <c r="K466" s="3" t="s">
        <v>243</v>
      </c>
      <c r="L466" s="3" t="s">
        <v>1295</v>
      </c>
      <c r="M466" s="3" t="s">
        <v>1295</v>
      </c>
      <c r="N466" s="22">
        <v>3441</v>
      </c>
      <c r="O466" s="22"/>
      <c r="P466" s="22"/>
      <c r="Q466" s="22"/>
      <c r="R466" s="22"/>
      <c r="S466" s="22"/>
      <c r="T466" s="22"/>
      <c r="U466" s="22"/>
      <c r="V466" s="22"/>
      <c r="W466" s="3"/>
      <c r="X466" s="5" t="s">
        <v>1271</v>
      </c>
      <c r="Y466" s="28">
        <f t="shared" si="2"/>
        <v>0</v>
      </c>
      <c r="Z466" s="5">
        <v>3441</v>
      </c>
    </row>
    <row r="467" spans="1:26" x14ac:dyDescent="0.3">
      <c r="A467" s="3">
        <v>27</v>
      </c>
      <c r="B467" s="3" t="s">
        <v>1243</v>
      </c>
      <c r="C467" s="3" t="s">
        <v>1268</v>
      </c>
      <c r="D467" s="3" t="s">
        <v>1269</v>
      </c>
      <c r="E467" s="3" t="s">
        <v>458</v>
      </c>
      <c r="F467" s="3" t="s">
        <v>458</v>
      </c>
      <c r="G467" s="3"/>
      <c r="H467" s="3">
        <v>4000</v>
      </c>
      <c r="I467" s="3">
        <v>0</v>
      </c>
      <c r="J467" s="3" t="s">
        <v>1110</v>
      </c>
      <c r="K467" s="3" t="s">
        <v>243</v>
      </c>
      <c r="L467" s="3" t="s">
        <v>1296</v>
      </c>
      <c r="M467" s="3" t="s">
        <v>1296</v>
      </c>
      <c r="N467" s="22">
        <v>2554</v>
      </c>
      <c r="O467" s="22"/>
      <c r="P467" s="22"/>
      <c r="Q467" s="22"/>
      <c r="R467" s="22"/>
      <c r="S467" s="22"/>
      <c r="T467" s="22"/>
      <c r="U467" s="22"/>
      <c r="V467" s="22"/>
      <c r="W467" s="3"/>
      <c r="X467" s="5" t="s">
        <v>1271</v>
      </c>
      <c r="Y467" s="28">
        <f t="shared" si="2"/>
        <v>0</v>
      </c>
      <c r="Z467" s="5">
        <v>2554</v>
      </c>
    </row>
    <row r="468" spans="1:26" ht="14.25" customHeight="1" x14ac:dyDescent="0.3">
      <c r="A468" s="3">
        <v>27</v>
      </c>
      <c r="B468" s="3" t="s">
        <v>1243</v>
      </c>
      <c r="C468" s="3" t="s">
        <v>1268</v>
      </c>
      <c r="D468" s="3" t="s">
        <v>1269</v>
      </c>
      <c r="E468" s="3" t="s">
        <v>458</v>
      </c>
      <c r="F468" s="3" t="s">
        <v>458</v>
      </c>
      <c r="G468" s="3"/>
      <c r="H468" s="3">
        <v>4000</v>
      </c>
      <c r="I468" s="3">
        <v>0</v>
      </c>
      <c r="J468" s="3" t="s">
        <v>1110</v>
      </c>
      <c r="K468" s="3" t="s">
        <v>243</v>
      </c>
      <c r="L468" s="3" t="s">
        <v>1297</v>
      </c>
      <c r="M468" s="3" t="s">
        <v>1297</v>
      </c>
      <c r="N468" s="22">
        <v>1213</v>
      </c>
      <c r="O468" s="22"/>
      <c r="P468" s="22"/>
      <c r="Q468" s="22"/>
      <c r="R468" s="22"/>
      <c r="S468" s="22"/>
      <c r="T468" s="22"/>
      <c r="U468" s="22"/>
      <c r="V468" s="22"/>
      <c r="W468" s="3"/>
      <c r="X468" s="5" t="s">
        <v>1271</v>
      </c>
      <c r="Y468" s="28">
        <f t="shared" si="2"/>
        <v>0</v>
      </c>
      <c r="Z468" s="5">
        <v>1213</v>
      </c>
    </row>
    <row r="469" spans="1:26" x14ac:dyDescent="0.3">
      <c r="A469" s="3">
        <v>27</v>
      </c>
      <c r="B469" s="3" t="s">
        <v>1243</v>
      </c>
      <c r="C469" s="3" t="s">
        <v>1268</v>
      </c>
      <c r="D469" s="3" t="s">
        <v>1269</v>
      </c>
      <c r="E469" s="3" t="s">
        <v>458</v>
      </c>
      <c r="F469" s="3" t="s">
        <v>458</v>
      </c>
      <c r="G469" s="3"/>
      <c r="H469" s="3">
        <v>4000</v>
      </c>
      <c r="I469" s="3">
        <v>0</v>
      </c>
      <c r="J469" s="3" t="s">
        <v>1110</v>
      </c>
      <c r="K469" s="3" t="s">
        <v>243</v>
      </c>
      <c r="L469" s="3" t="s">
        <v>1298</v>
      </c>
      <c r="M469" s="3" t="s">
        <v>1298</v>
      </c>
      <c r="N469" s="22">
        <v>272</v>
      </c>
      <c r="O469" s="22"/>
      <c r="P469" s="22"/>
      <c r="Q469" s="22"/>
      <c r="R469" s="22"/>
      <c r="S469" s="22"/>
      <c r="T469" s="22"/>
      <c r="U469" s="22"/>
      <c r="V469" s="22"/>
      <c r="W469" s="3"/>
      <c r="X469" s="5" t="s">
        <v>1271</v>
      </c>
      <c r="Y469" s="28">
        <f t="shared" si="2"/>
        <v>0</v>
      </c>
      <c r="Z469" s="5">
        <v>272</v>
      </c>
    </row>
    <row r="470" spans="1:26" x14ac:dyDescent="0.3">
      <c r="A470" s="3">
        <v>27</v>
      </c>
      <c r="B470" s="3" t="s">
        <v>1243</v>
      </c>
      <c r="C470" s="3" t="s">
        <v>1268</v>
      </c>
      <c r="D470" s="3" t="s">
        <v>1269</v>
      </c>
      <c r="E470" s="3" t="s">
        <v>458</v>
      </c>
      <c r="F470" s="3" t="s">
        <v>458</v>
      </c>
      <c r="G470" s="3"/>
      <c r="H470" s="3">
        <v>4000</v>
      </c>
      <c r="I470" s="3">
        <v>0</v>
      </c>
      <c r="J470" s="3" t="s">
        <v>1246</v>
      </c>
      <c r="K470" s="3" t="s">
        <v>243</v>
      </c>
      <c r="L470" s="3" t="s">
        <v>1299</v>
      </c>
      <c r="M470" s="3" t="s">
        <v>1299</v>
      </c>
      <c r="N470" s="22">
        <v>1726</v>
      </c>
      <c r="O470" s="22"/>
      <c r="P470" s="22"/>
      <c r="Q470" s="22"/>
      <c r="R470" s="22"/>
      <c r="S470" s="22"/>
      <c r="T470" s="22"/>
      <c r="U470" s="22"/>
      <c r="V470" s="22"/>
      <c r="W470" s="3"/>
      <c r="X470" s="5" t="s">
        <v>1271</v>
      </c>
      <c r="Y470" s="28">
        <f t="shared" si="2"/>
        <v>0</v>
      </c>
      <c r="Z470" s="5">
        <v>1726</v>
      </c>
    </row>
    <row r="471" spans="1:26" x14ac:dyDescent="0.3">
      <c r="A471" s="3">
        <v>27</v>
      </c>
      <c r="B471" s="3" t="s">
        <v>1243</v>
      </c>
      <c r="C471" s="3" t="s">
        <v>1268</v>
      </c>
      <c r="D471" s="3" t="s">
        <v>1269</v>
      </c>
      <c r="E471" s="3" t="s">
        <v>458</v>
      </c>
      <c r="F471" s="3" t="s">
        <v>458</v>
      </c>
      <c r="G471" s="3"/>
      <c r="H471" s="3">
        <v>4000</v>
      </c>
      <c r="I471" s="3">
        <v>0</v>
      </c>
      <c r="J471" s="3" t="s">
        <v>1246</v>
      </c>
      <c r="K471" s="3" t="s">
        <v>243</v>
      </c>
      <c r="L471" s="3" t="s">
        <v>1300</v>
      </c>
      <c r="M471" s="3" t="s">
        <v>1300</v>
      </c>
      <c r="N471" s="22">
        <v>513</v>
      </c>
      <c r="O471" s="22"/>
      <c r="P471" s="22"/>
      <c r="Q471" s="22"/>
      <c r="R471" s="22"/>
      <c r="S471" s="22"/>
      <c r="T471" s="22"/>
      <c r="U471" s="22"/>
      <c r="V471" s="22"/>
      <c r="W471" s="3"/>
      <c r="X471" s="5" t="s">
        <v>1271</v>
      </c>
      <c r="Y471" s="28">
        <f t="shared" si="2"/>
        <v>0</v>
      </c>
      <c r="Z471" s="5">
        <v>513</v>
      </c>
    </row>
    <row r="472" spans="1:26" x14ac:dyDescent="0.3">
      <c r="A472" s="3">
        <v>27</v>
      </c>
      <c r="B472" s="3" t="s">
        <v>1243</v>
      </c>
      <c r="C472" s="3" t="s">
        <v>1268</v>
      </c>
      <c r="D472" s="3" t="s">
        <v>1269</v>
      </c>
      <c r="E472" s="3" t="s">
        <v>458</v>
      </c>
      <c r="F472" s="3" t="s">
        <v>458</v>
      </c>
      <c r="G472" s="3"/>
      <c r="H472" s="3">
        <v>4000</v>
      </c>
      <c r="I472" s="3">
        <v>0</v>
      </c>
      <c r="J472" s="3" t="s">
        <v>1246</v>
      </c>
      <c r="K472" s="3" t="s">
        <v>243</v>
      </c>
      <c r="L472" s="3" t="s">
        <v>1301</v>
      </c>
      <c r="M472" s="3" t="s">
        <v>1301</v>
      </c>
      <c r="N472" s="22">
        <v>2182</v>
      </c>
      <c r="O472" s="22"/>
      <c r="P472" s="22"/>
      <c r="Q472" s="22"/>
      <c r="R472" s="22"/>
      <c r="S472" s="22"/>
      <c r="T472" s="22"/>
      <c r="U472" s="22"/>
      <c r="V472" s="22"/>
      <c r="W472" s="3"/>
      <c r="X472" s="5" t="s">
        <v>1271</v>
      </c>
      <c r="Y472" s="28">
        <f t="shared" si="2"/>
        <v>0</v>
      </c>
      <c r="Z472" s="5">
        <v>2182</v>
      </c>
    </row>
    <row r="473" spans="1:26" x14ac:dyDescent="0.3">
      <c r="A473" s="3">
        <v>27</v>
      </c>
      <c r="B473" s="3" t="s">
        <v>1243</v>
      </c>
      <c r="C473" s="3" t="s">
        <v>1268</v>
      </c>
      <c r="D473" s="3" t="s">
        <v>1269</v>
      </c>
      <c r="E473" s="3" t="s">
        <v>458</v>
      </c>
      <c r="F473" s="3" t="s">
        <v>458</v>
      </c>
      <c r="G473" s="3"/>
      <c r="H473" s="3">
        <v>4000</v>
      </c>
      <c r="I473" s="3">
        <v>0</v>
      </c>
      <c r="J473" s="3" t="s">
        <v>1246</v>
      </c>
      <c r="K473" s="3" t="s">
        <v>243</v>
      </c>
      <c r="L473" s="3" t="s">
        <v>1302</v>
      </c>
      <c r="M473" s="3" t="s">
        <v>1302</v>
      </c>
      <c r="N473" s="22">
        <v>244</v>
      </c>
      <c r="O473" s="22"/>
      <c r="P473" s="22"/>
      <c r="Q473" s="22"/>
      <c r="R473" s="22"/>
      <c r="S473" s="22"/>
      <c r="T473" s="22"/>
      <c r="U473" s="22"/>
      <c r="V473" s="22"/>
      <c r="W473" s="3"/>
      <c r="X473" s="5" t="s">
        <v>1271</v>
      </c>
      <c r="Y473" s="28">
        <f t="shared" si="2"/>
        <v>0</v>
      </c>
      <c r="Z473" s="5">
        <v>244</v>
      </c>
    </row>
    <row r="474" spans="1:26" x14ac:dyDescent="0.3">
      <c r="A474" s="3">
        <v>27</v>
      </c>
      <c r="B474" s="3" t="s">
        <v>1243</v>
      </c>
      <c r="C474" s="3" t="s">
        <v>1268</v>
      </c>
      <c r="D474" s="3" t="s">
        <v>1269</v>
      </c>
      <c r="E474" s="3" t="s">
        <v>458</v>
      </c>
      <c r="F474" s="3" t="s">
        <v>458</v>
      </c>
      <c r="G474" s="3"/>
      <c r="H474" s="3">
        <v>4000</v>
      </c>
      <c r="I474" s="3">
        <v>0</v>
      </c>
      <c r="J474" s="3" t="s">
        <v>1246</v>
      </c>
      <c r="K474" s="3" t="s">
        <v>243</v>
      </c>
      <c r="L474" s="3" t="s">
        <v>1303</v>
      </c>
      <c r="M474" s="3" t="s">
        <v>1303</v>
      </c>
      <c r="N474" s="22">
        <v>3334</v>
      </c>
      <c r="O474" s="22"/>
      <c r="P474" s="22"/>
      <c r="Q474" s="22"/>
      <c r="R474" s="22"/>
      <c r="S474" s="22"/>
      <c r="T474" s="22"/>
      <c r="U474" s="22"/>
      <c r="V474" s="22"/>
      <c r="W474" s="3"/>
      <c r="X474" s="5" t="s">
        <v>1271</v>
      </c>
      <c r="Y474" s="28">
        <f t="shared" si="2"/>
        <v>0</v>
      </c>
      <c r="Z474" s="5">
        <v>3334</v>
      </c>
    </row>
    <row r="475" spans="1:26" x14ac:dyDescent="0.3">
      <c r="A475" s="3">
        <v>27</v>
      </c>
      <c r="B475" s="3" t="s">
        <v>1243</v>
      </c>
      <c r="C475" s="3" t="s">
        <v>1268</v>
      </c>
      <c r="D475" s="3" t="s">
        <v>1269</v>
      </c>
      <c r="E475" s="3" t="s">
        <v>458</v>
      </c>
      <c r="F475" s="3" t="s">
        <v>458</v>
      </c>
      <c r="G475" s="3"/>
      <c r="H475" s="3">
        <v>4000</v>
      </c>
      <c r="I475" s="3">
        <v>0</v>
      </c>
      <c r="J475" s="3" t="s">
        <v>1246</v>
      </c>
      <c r="K475" s="3" t="s">
        <v>243</v>
      </c>
      <c r="L475" s="3" t="s">
        <v>1304</v>
      </c>
      <c r="M475" s="3" t="s">
        <v>1304</v>
      </c>
      <c r="N475" s="22">
        <v>6</v>
      </c>
      <c r="O475" s="22"/>
      <c r="P475" s="22"/>
      <c r="Q475" s="22"/>
      <c r="R475" s="22"/>
      <c r="S475" s="22"/>
      <c r="T475" s="22"/>
      <c r="U475" s="22"/>
      <c r="V475" s="22"/>
      <c r="W475" s="3"/>
      <c r="X475" s="5" t="s">
        <v>1271</v>
      </c>
      <c r="Y475" s="28">
        <f t="shared" si="2"/>
        <v>0</v>
      </c>
      <c r="Z475" s="5">
        <v>6</v>
      </c>
    </row>
    <row r="476" spans="1:26" x14ac:dyDescent="0.3">
      <c r="A476" s="26">
        <v>27</v>
      </c>
      <c r="B476" s="26" t="s">
        <v>1243</v>
      </c>
      <c r="C476" s="26" t="s">
        <v>1268</v>
      </c>
      <c r="D476" s="26" t="s">
        <v>1269</v>
      </c>
      <c r="E476" s="26" t="s">
        <v>458</v>
      </c>
      <c r="F476" s="26" t="s">
        <v>458</v>
      </c>
      <c r="G476" s="26"/>
      <c r="H476" s="26">
        <v>4000</v>
      </c>
      <c r="I476" s="26">
        <v>0</v>
      </c>
      <c r="J476" s="26" t="s">
        <v>1110</v>
      </c>
      <c r="K476" s="3" t="s">
        <v>243</v>
      </c>
      <c r="L476" s="26" t="s">
        <v>1305</v>
      </c>
      <c r="M476" s="26" t="s">
        <v>1305</v>
      </c>
      <c r="N476" s="106"/>
      <c r="O476" s="106"/>
      <c r="P476" s="106"/>
      <c r="Q476" s="106"/>
      <c r="R476" s="106"/>
      <c r="S476" s="106"/>
      <c r="T476" s="106"/>
      <c r="U476" s="106"/>
      <c r="V476" s="106"/>
      <c r="W476" s="26"/>
      <c r="X476" s="29" t="s">
        <v>1271</v>
      </c>
      <c r="Y476" s="28">
        <f t="shared" si="2"/>
        <v>0</v>
      </c>
      <c r="Z476" s="29"/>
    </row>
    <row r="477" spans="1:26" x14ac:dyDescent="0.3">
      <c r="A477" s="3">
        <v>27</v>
      </c>
      <c r="B477" s="3" t="s">
        <v>1243</v>
      </c>
      <c r="C477" s="3" t="s">
        <v>1268</v>
      </c>
      <c r="D477" s="3" t="s">
        <v>1269</v>
      </c>
      <c r="E477" s="3" t="s">
        <v>458</v>
      </c>
      <c r="F477" s="3" t="s">
        <v>458</v>
      </c>
      <c r="G477" s="3"/>
      <c r="H477" s="3">
        <v>4000</v>
      </c>
      <c r="I477" s="3">
        <v>0</v>
      </c>
      <c r="J477" s="3" t="s">
        <v>1110</v>
      </c>
      <c r="K477" s="3" t="s">
        <v>243</v>
      </c>
      <c r="L477" s="3" t="s">
        <v>1306</v>
      </c>
      <c r="M477" s="3" t="s">
        <v>1306</v>
      </c>
      <c r="N477" s="22">
        <v>8878</v>
      </c>
      <c r="O477" s="22"/>
      <c r="P477" s="22"/>
      <c r="Q477" s="22"/>
      <c r="R477" s="22"/>
      <c r="S477" s="22"/>
      <c r="T477" s="22"/>
      <c r="U477" s="22"/>
      <c r="V477" s="22"/>
      <c r="W477" s="3"/>
      <c r="X477" s="5" t="s">
        <v>1271</v>
      </c>
      <c r="Y477" s="28">
        <f t="shared" si="2"/>
        <v>0</v>
      </c>
      <c r="Z477" s="5">
        <v>8878</v>
      </c>
    </row>
    <row r="478" spans="1:26" x14ac:dyDescent="0.3">
      <c r="A478" s="26">
        <v>27</v>
      </c>
      <c r="B478" s="26" t="s">
        <v>1243</v>
      </c>
      <c r="C478" s="26" t="s">
        <v>1268</v>
      </c>
      <c r="D478" s="26" t="s">
        <v>1269</v>
      </c>
      <c r="E478" s="26" t="s">
        <v>458</v>
      </c>
      <c r="F478" s="26" t="s">
        <v>458</v>
      </c>
      <c r="G478" s="26"/>
      <c r="H478" s="26">
        <v>4000</v>
      </c>
      <c r="I478" s="26">
        <v>0</v>
      </c>
      <c r="J478" s="26" t="s">
        <v>1110</v>
      </c>
      <c r="K478" s="3" t="s">
        <v>243</v>
      </c>
      <c r="L478" s="26" t="s">
        <v>1307</v>
      </c>
      <c r="M478" s="26" t="s">
        <v>1307</v>
      </c>
      <c r="N478" s="106">
        <v>3000</v>
      </c>
      <c r="O478" s="126"/>
      <c r="P478" s="126"/>
      <c r="Q478" s="106"/>
      <c r="R478" s="106"/>
      <c r="S478" s="106"/>
      <c r="T478" s="106"/>
      <c r="U478" s="106"/>
      <c r="V478" s="106"/>
      <c r="W478" s="26"/>
      <c r="X478" s="29" t="s">
        <v>1271</v>
      </c>
      <c r="Y478" s="28">
        <f t="shared" si="2"/>
        <v>0</v>
      </c>
      <c r="Z478" s="29">
        <v>3000</v>
      </c>
    </row>
    <row r="479" spans="1:26" x14ac:dyDescent="0.3">
      <c r="A479" s="3">
        <v>27</v>
      </c>
      <c r="B479" s="3" t="s">
        <v>1243</v>
      </c>
      <c r="C479" s="3" t="s">
        <v>1268</v>
      </c>
      <c r="D479" s="3" t="s">
        <v>1269</v>
      </c>
      <c r="E479" s="3" t="s">
        <v>458</v>
      </c>
      <c r="F479" s="3" t="s">
        <v>458</v>
      </c>
      <c r="G479" s="3"/>
      <c r="H479" s="3">
        <v>4000</v>
      </c>
      <c r="I479" s="3">
        <v>0</v>
      </c>
      <c r="J479" s="3" t="s">
        <v>1110</v>
      </c>
      <c r="K479" s="3" t="s">
        <v>243</v>
      </c>
      <c r="L479" s="3" t="s">
        <v>1308</v>
      </c>
      <c r="M479" s="3" t="s">
        <v>1308</v>
      </c>
      <c r="N479" s="22">
        <v>7</v>
      </c>
      <c r="O479" s="22"/>
      <c r="P479" s="22"/>
      <c r="Q479" s="22"/>
      <c r="R479" s="22"/>
      <c r="S479" s="22"/>
      <c r="T479" s="22"/>
      <c r="U479" s="22"/>
      <c r="V479" s="22"/>
      <c r="W479" s="3"/>
      <c r="X479" s="5" t="s">
        <v>1271</v>
      </c>
      <c r="Y479" s="28">
        <f t="shared" si="2"/>
        <v>0</v>
      </c>
      <c r="Z479" s="5">
        <v>7</v>
      </c>
    </row>
    <row r="480" spans="1:26" x14ac:dyDescent="0.3">
      <c r="A480" s="3">
        <v>27</v>
      </c>
      <c r="B480" s="3" t="s">
        <v>1243</v>
      </c>
      <c r="C480" s="3" t="s">
        <v>1268</v>
      </c>
      <c r="D480" s="3" t="s">
        <v>1269</v>
      </c>
      <c r="E480" s="3" t="s">
        <v>458</v>
      </c>
      <c r="F480" s="3" t="s">
        <v>458</v>
      </c>
      <c r="G480" s="3"/>
      <c r="H480" s="3">
        <v>4000</v>
      </c>
      <c r="I480" s="3">
        <v>0</v>
      </c>
      <c r="J480" s="3" t="s">
        <v>1110</v>
      </c>
      <c r="K480" s="3" t="s">
        <v>243</v>
      </c>
      <c r="L480" s="3" t="s">
        <v>1309</v>
      </c>
      <c r="M480" s="3" t="s">
        <v>1309</v>
      </c>
      <c r="N480" s="22">
        <v>11534</v>
      </c>
      <c r="O480" s="22"/>
      <c r="P480" s="22"/>
      <c r="Q480" s="22"/>
      <c r="R480" s="22"/>
      <c r="S480" s="22"/>
      <c r="T480" s="22"/>
      <c r="U480" s="22"/>
      <c r="V480" s="22"/>
      <c r="W480" s="3"/>
      <c r="X480" s="5" t="s">
        <v>1271</v>
      </c>
      <c r="Y480" s="28">
        <f t="shared" si="2"/>
        <v>0</v>
      </c>
      <c r="Z480" s="5">
        <v>11534</v>
      </c>
    </row>
    <row r="481" spans="1:26" s="124" customFormat="1" ht="23.25" customHeight="1" x14ac:dyDescent="0.3">
      <c r="A481" s="3">
        <v>27</v>
      </c>
      <c r="B481" s="3" t="s">
        <v>1243</v>
      </c>
      <c r="C481" s="3" t="s">
        <v>1268</v>
      </c>
      <c r="D481" s="3" t="s">
        <v>1269</v>
      </c>
      <c r="E481" s="3" t="s">
        <v>458</v>
      </c>
      <c r="F481" s="3" t="s">
        <v>458</v>
      </c>
      <c r="G481" s="3"/>
      <c r="H481" s="3">
        <v>4000</v>
      </c>
      <c r="I481" s="3">
        <v>0</v>
      </c>
      <c r="J481" s="3" t="s">
        <v>1110</v>
      </c>
      <c r="K481" s="3" t="s">
        <v>243</v>
      </c>
      <c r="L481" s="3" t="s">
        <v>1310</v>
      </c>
      <c r="M481" s="3" t="s">
        <v>1310</v>
      </c>
      <c r="N481" s="22">
        <v>1634</v>
      </c>
      <c r="O481" s="22"/>
      <c r="P481" s="22"/>
      <c r="Q481" s="22"/>
      <c r="R481" s="22"/>
      <c r="S481" s="22"/>
      <c r="T481" s="22"/>
      <c r="U481" s="22"/>
      <c r="V481" s="22"/>
      <c r="W481" s="3"/>
      <c r="X481" s="5" t="s">
        <v>1271</v>
      </c>
      <c r="Y481" s="28">
        <f t="shared" si="2"/>
        <v>0</v>
      </c>
      <c r="Z481" s="5">
        <v>1634</v>
      </c>
    </row>
    <row r="482" spans="1:26" x14ac:dyDescent="0.3">
      <c r="A482" s="3">
        <v>27</v>
      </c>
      <c r="B482" s="3" t="s">
        <v>1243</v>
      </c>
      <c r="C482" s="3" t="s">
        <v>1268</v>
      </c>
      <c r="D482" s="3" t="s">
        <v>1269</v>
      </c>
      <c r="E482" s="3" t="s">
        <v>458</v>
      </c>
      <c r="F482" s="3" t="s">
        <v>458</v>
      </c>
      <c r="G482" s="3"/>
      <c r="H482" s="3">
        <v>4000</v>
      </c>
      <c r="I482" s="3">
        <v>0</v>
      </c>
      <c r="J482" s="3" t="s">
        <v>1110</v>
      </c>
      <c r="K482" s="3" t="s">
        <v>243</v>
      </c>
      <c r="L482" s="3" t="s">
        <v>1311</v>
      </c>
      <c r="M482" s="3" t="s">
        <v>1311</v>
      </c>
      <c r="N482" s="22">
        <v>5</v>
      </c>
      <c r="O482" s="22"/>
      <c r="P482" s="22"/>
      <c r="Q482" s="22"/>
      <c r="R482" s="22"/>
      <c r="S482" s="22"/>
      <c r="T482" s="22"/>
      <c r="U482" s="22"/>
      <c r="V482" s="22"/>
      <c r="W482" s="3"/>
      <c r="X482" s="5" t="s">
        <v>1271</v>
      </c>
      <c r="Y482" s="28">
        <f t="shared" si="2"/>
        <v>0</v>
      </c>
      <c r="Z482" s="5">
        <v>5</v>
      </c>
    </row>
    <row r="483" spans="1:26" s="29" customFormat="1" x14ac:dyDescent="0.3">
      <c r="A483" s="26">
        <v>27</v>
      </c>
      <c r="B483" s="26" t="s">
        <v>1243</v>
      </c>
      <c r="C483" s="26" t="s">
        <v>1268</v>
      </c>
      <c r="D483" s="26" t="s">
        <v>1269</v>
      </c>
      <c r="E483" s="26" t="s">
        <v>458</v>
      </c>
      <c r="F483" s="26" t="s">
        <v>458</v>
      </c>
      <c r="G483" s="26"/>
      <c r="H483" s="26">
        <v>4000</v>
      </c>
      <c r="I483" s="26">
        <v>0</v>
      </c>
      <c r="J483" s="26" t="s">
        <v>1110</v>
      </c>
      <c r="K483" s="3" t="s">
        <v>243</v>
      </c>
      <c r="L483" s="26" t="s">
        <v>1312</v>
      </c>
      <c r="M483" s="26" t="s">
        <v>1312</v>
      </c>
      <c r="N483" s="106"/>
      <c r="O483" s="109"/>
      <c r="P483" s="109"/>
      <c r="Q483" s="106"/>
      <c r="R483" s="106"/>
      <c r="S483" s="106"/>
      <c r="T483" s="106"/>
      <c r="U483" s="106"/>
      <c r="V483" s="106"/>
      <c r="W483" s="26"/>
      <c r="X483" s="29" t="s">
        <v>1271</v>
      </c>
      <c r="Y483" s="28">
        <f t="shared" si="2"/>
        <v>0</v>
      </c>
    </row>
    <row r="484" spans="1:26" x14ac:dyDescent="0.3">
      <c r="A484" s="3">
        <v>27</v>
      </c>
      <c r="B484" s="3" t="s">
        <v>1243</v>
      </c>
      <c r="C484" s="3" t="s">
        <v>1268</v>
      </c>
      <c r="D484" s="3" t="s">
        <v>1269</v>
      </c>
      <c r="E484" s="3" t="s">
        <v>458</v>
      </c>
      <c r="F484" s="3" t="s">
        <v>458</v>
      </c>
      <c r="G484" s="3"/>
      <c r="H484" s="3">
        <v>4000</v>
      </c>
      <c r="I484" s="3">
        <v>0</v>
      </c>
      <c r="J484" s="3" t="s">
        <v>1110</v>
      </c>
      <c r="K484" s="3" t="s">
        <v>243</v>
      </c>
      <c r="L484" s="3" t="s">
        <v>1313</v>
      </c>
      <c r="M484" s="3" t="s">
        <v>1313</v>
      </c>
      <c r="N484" s="22">
        <v>2</v>
      </c>
      <c r="O484" s="22"/>
      <c r="P484" s="22"/>
      <c r="Q484" s="22"/>
      <c r="R484" s="22"/>
      <c r="S484" s="22"/>
      <c r="T484" s="22"/>
      <c r="U484" s="22"/>
      <c r="V484" s="22"/>
      <c r="W484" s="3"/>
      <c r="X484" s="5" t="s">
        <v>1271</v>
      </c>
      <c r="Y484" s="28">
        <f t="shared" si="2"/>
        <v>0</v>
      </c>
      <c r="Z484" s="5">
        <v>2</v>
      </c>
    </row>
    <row r="485" spans="1:26" x14ac:dyDescent="0.3">
      <c r="A485" s="3">
        <v>27</v>
      </c>
      <c r="B485" s="3" t="s">
        <v>1243</v>
      </c>
      <c r="C485" s="3" t="s">
        <v>1268</v>
      </c>
      <c r="D485" s="3" t="s">
        <v>1269</v>
      </c>
      <c r="E485" s="3" t="s">
        <v>458</v>
      </c>
      <c r="F485" s="3" t="s">
        <v>458</v>
      </c>
      <c r="G485" s="3"/>
      <c r="H485" s="3">
        <v>4000</v>
      </c>
      <c r="I485" s="3">
        <v>0</v>
      </c>
      <c r="J485" s="3" t="s">
        <v>1110</v>
      </c>
      <c r="K485" s="3" t="s">
        <v>243</v>
      </c>
      <c r="L485" s="3" t="s">
        <v>1314</v>
      </c>
      <c r="M485" s="3" t="s">
        <v>1314</v>
      </c>
      <c r="N485" s="22">
        <v>7</v>
      </c>
      <c r="O485" s="22"/>
      <c r="P485" s="22"/>
      <c r="Q485" s="22"/>
      <c r="R485" s="22"/>
      <c r="S485" s="22"/>
      <c r="T485" s="22"/>
      <c r="U485" s="22"/>
      <c r="V485" s="22"/>
      <c r="W485" s="3"/>
      <c r="X485" s="5" t="s">
        <v>1271</v>
      </c>
      <c r="Y485" s="28">
        <f t="shared" si="2"/>
        <v>0</v>
      </c>
      <c r="Z485" s="5">
        <v>7</v>
      </c>
    </row>
    <row r="486" spans="1:26" x14ac:dyDescent="0.3">
      <c r="A486" s="3">
        <v>27</v>
      </c>
      <c r="B486" s="3" t="s">
        <v>1243</v>
      </c>
      <c r="C486" s="3" t="s">
        <v>1268</v>
      </c>
      <c r="D486" s="3" t="s">
        <v>1269</v>
      </c>
      <c r="E486" s="3" t="s">
        <v>458</v>
      </c>
      <c r="F486" s="3" t="s">
        <v>458</v>
      </c>
      <c r="G486" s="3"/>
      <c r="H486" s="3">
        <v>4000</v>
      </c>
      <c r="I486" s="3">
        <v>0</v>
      </c>
      <c r="J486" s="3" t="s">
        <v>1110</v>
      </c>
      <c r="K486" s="3" t="s">
        <v>243</v>
      </c>
      <c r="L486" s="3" t="s">
        <v>1315</v>
      </c>
      <c r="M486" s="3" t="s">
        <v>1315</v>
      </c>
      <c r="N486" s="22">
        <v>9747</v>
      </c>
      <c r="O486" s="22"/>
      <c r="P486" s="22"/>
      <c r="Q486" s="22"/>
      <c r="R486" s="22"/>
      <c r="S486" s="22"/>
      <c r="T486" s="22"/>
      <c r="U486" s="22"/>
      <c r="V486" s="22"/>
      <c r="W486" s="3"/>
      <c r="X486" s="5" t="s">
        <v>1271</v>
      </c>
      <c r="Y486" s="28">
        <f t="shared" si="2"/>
        <v>0</v>
      </c>
      <c r="Z486" s="5">
        <v>9747</v>
      </c>
    </row>
    <row r="487" spans="1:26" x14ac:dyDescent="0.3">
      <c r="A487" s="26">
        <v>27</v>
      </c>
      <c r="B487" s="26" t="s">
        <v>1243</v>
      </c>
      <c r="C487" s="26" t="s">
        <v>1268</v>
      </c>
      <c r="D487" s="26" t="s">
        <v>1269</v>
      </c>
      <c r="E487" s="26" t="s">
        <v>458</v>
      </c>
      <c r="F487" s="26" t="s">
        <v>458</v>
      </c>
      <c r="G487" s="26"/>
      <c r="H487" s="26">
        <v>4000</v>
      </c>
      <c r="I487" s="26">
        <v>0</v>
      </c>
      <c r="J487" s="26" t="s">
        <v>1110</v>
      </c>
      <c r="K487" s="3" t="s">
        <v>243</v>
      </c>
      <c r="L487" s="26" t="s">
        <v>1316</v>
      </c>
      <c r="M487" s="26" t="s">
        <v>1316</v>
      </c>
      <c r="N487" s="106"/>
      <c r="O487" s="109"/>
      <c r="P487" s="109"/>
      <c r="Q487" s="106"/>
      <c r="R487" s="106"/>
      <c r="S487" s="106"/>
      <c r="T487" s="106"/>
      <c r="U487" s="106"/>
      <c r="V487" s="106"/>
      <c r="W487" s="26"/>
      <c r="X487" s="29" t="s">
        <v>1271</v>
      </c>
      <c r="Y487" s="28">
        <f t="shared" si="2"/>
        <v>0</v>
      </c>
      <c r="Z487" s="29"/>
    </row>
    <row r="488" spans="1:26" x14ac:dyDescent="0.3">
      <c r="A488" s="3">
        <v>27</v>
      </c>
      <c r="B488" s="3" t="s">
        <v>1243</v>
      </c>
      <c r="C488" s="3" t="s">
        <v>1268</v>
      </c>
      <c r="D488" s="3" t="s">
        <v>1269</v>
      </c>
      <c r="E488" s="3" t="s">
        <v>458</v>
      </c>
      <c r="F488" s="3" t="s">
        <v>458</v>
      </c>
      <c r="G488" s="3"/>
      <c r="H488" s="3">
        <v>4000</v>
      </c>
      <c r="I488" s="3">
        <v>0</v>
      </c>
      <c r="J488" s="3" t="s">
        <v>1110</v>
      </c>
      <c r="K488" s="3" t="s">
        <v>243</v>
      </c>
      <c r="L488" s="3" t="s">
        <v>1317</v>
      </c>
      <c r="M488" s="3" t="s">
        <v>1317</v>
      </c>
      <c r="N488" s="22">
        <v>2110</v>
      </c>
      <c r="O488" s="22"/>
      <c r="P488" s="22"/>
      <c r="Q488" s="22"/>
      <c r="R488" s="22"/>
      <c r="S488" s="22"/>
      <c r="T488" s="22"/>
      <c r="U488" s="22"/>
      <c r="V488" s="22"/>
      <c r="W488" s="3"/>
      <c r="X488" s="5" t="s">
        <v>1271</v>
      </c>
      <c r="Y488" s="28">
        <f t="shared" si="2"/>
        <v>0</v>
      </c>
      <c r="Z488" s="5">
        <v>2110</v>
      </c>
    </row>
    <row r="489" spans="1:26" x14ac:dyDescent="0.3">
      <c r="A489" s="3">
        <v>27</v>
      </c>
      <c r="B489" s="3" t="s">
        <v>1243</v>
      </c>
      <c r="C489" s="3" t="s">
        <v>1268</v>
      </c>
      <c r="D489" s="3" t="s">
        <v>1269</v>
      </c>
      <c r="E489" s="3" t="s">
        <v>458</v>
      </c>
      <c r="F489" s="3" t="s">
        <v>458</v>
      </c>
      <c r="G489" s="3"/>
      <c r="H489" s="3">
        <v>4000</v>
      </c>
      <c r="I489" s="3">
        <v>0</v>
      </c>
      <c r="J489" s="3" t="s">
        <v>1110</v>
      </c>
      <c r="K489" s="3" t="s">
        <v>243</v>
      </c>
      <c r="L489" s="3" t="s">
        <v>1318</v>
      </c>
      <c r="M489" s="3" t="s">
        <v>1318</v>
      </c>
      <c r="N489" s="22">
        <v>2457</v>
      </c>
      <c r="O489" s="22"/>
      <c r="P489" s="22"/>
      <c r="Q489" s="22"/>
      <c r="R489" s="22"/>
      <c r="S489" s="22"/>
      <c r="T489" s="22"/>
      <c r="U489" s="22"/>
      <c r="V489" s="22"/>
      <c r="W489" s="3"/>
      <c r="X489" s="5" t="s">
        <v>1271</v>
      </c>
      <c r="Y489" s="28">
        <f t="shared" si="2"/>
        <v>0</v>
      </c>
      <c r="Z489" s="5">
        <v>2457</v>
      </c>
    </row>
    <row r="490" spans="1:26" x14ac:dyDescent="0.3">
      <c r="A490" s="3">
        <v>27</v>
      </c>
      <c r="B490" s="3" t="s">
        <v>1243</v>
      </c>
      <c r="C490" s="3" t="s">
        <v>1268</v>
      </c>
      <c r="D490" s="3" t="s">
        <v>1269</v>
      </c>
      <c r="E490" s="3" t="s">
        <v>458</v>
      </c>
      <c r="F490" s="3" t="s">
        <v>458</v>
      </c>
      <c r="G490" s="3"/>
      <c r="H490" s="3">
        <v>4000</v>
      </c>
      <c r="I490" s="3">
        <v>0</v>
      </c>
      <c r="J490" s="3" t="s">
        <v>1110</v>
      </c>
      <c r="K490" s="3" t="s">
        <v>243</v>
      </c>
      <c r="L490" s="3" t="s">
        <v>1319</v>
      </c>
      <c r="M490" s="3" t="s">
        <v>1319</v>
      </c>
      <c r="N490" s="22">
        <v>3699</v>
      </c>
      <c r="O490" s="22"/>
      <c r="P490" s="22"/>
      <c r="Q490" s="22"/>
      <c r="R490" s="22"/>
      <c r="S490" s="22"/>
      <c r="T490" s="22"/>
      <c r="U490" s="22"/>
      <c r="V490" s="22"/>
      <c r="W490" s="3"/>
      <c r="X490" s="5" t="s">
        <v>1271</v>
      </c>
      <c r="Y490" s="28">
        <f t="shared" ref="Y490:Y553" si="3">N490-Z490</f>
        <v>0</v>
      </c>
      <c r="Z490" s="5">
        <v>3699</v>
      </c>
    </row>
    <row r="491" spans="1:26" x14ac:dyDescent="0.3">
      <c r="A491" s="3">
        <v>27</v>
      </c>
      <c r="B491" s="3" t="s">
        <v>1243</v>
      </c>
      <c r="C491" s="3" t="s">
        <v>1268</v>
      </c>
      <c r="D491" s="3" t="s">
        <v>1269</v>
      </c>
      <c r="E491" s="3" t="s">
        <v>458</v>
      </c>
      <c r="F491" s="3" t="s">
        <v>458</v>
      </c>
      <c r="G491" s="3"/>
      <c r="H491" s="3">
        <v>4000</v>
      </c>
      <c r="I491" s="3">
        <v>0</v>
      </c>
      <c r="J491" s="3" t="s">
        <v>1110</v>
      </c>
      <c r="K491" s="3" t="s">
        <v>243</v>
      </c>
      <c r="L491" s="3" t="s">
        <v>1320</v>
      </c>
      <c r="M491" s="3" t="s">
        <v>1320</v>
      </c>
      <c r="N491" s="22">
        <v>541</v>
      </c>
      <c r="O491" s="22"/>
      <c r="P491" s="22"/>
      <c r="Q491" s="22"/>
      <c r="R491" s="22"/>
      <c r="S491" s="22"/>
      <c r="T491" s="22"/>
      <c r="U491" s="22"/>
      <c r="V491" s="22"/>
      <c r="W491" s="3"/>
      <c r="X491" s="5" t="s">
        <v>1271</v>
      </c>
      <c r="Y491" s="28">
        <f t="shared" si="3"/>
        <v>0</v>
      </c>
      <c r="Z491" s="5">
        <v>541</v>
      </c>
    </row>
    <row r="492" spans="1:26" x14ac:dyDescent="0.3">
      <c r="A492" s="26">
        <v>27</v>
      </c>
      <c r="B492" s="26" t="s">
        <v>1243</v>
      </c>
      <c r="C492" s="26" t="s">
        <v>1268</v>
      </c>
      <c r="D492" s="26" t="s">
        <v>1269</v>
      </c>
      <c r="E492" s="26" t="s">
        <v>458</v>
      </c>
      <c r="F492" s="26" t="s">
        <v>458</v>
      </c>
      <c r="G492" s="26"/>
      <c r="H492" s="26">
        <v>4000</v>
      </c>
      <c r="I492" s="26">
        <v>0</v>
      </c>
      <c r="J492" s="26" t="s">
        <v>1110</v>
      </c>
      <c r="K492" s="3" t="s">
        <v>243</v>
      </c>
      <c r="L492" s="26" t="s">
        <v>1321</v>
      </c>
      <c r="M492" s="26" t="s">
        <v>1321</v>
      </c>
      <c r="N492" s="106"/>
      <c r="O492" s="109"/>
      <c r="P492" s="109"/>
      <c r="Q492" s="106"/>
      <c r="R492" s="106"/>
      <c r="S492" s="106"/>
      <c r="T492" s="106"/>
      <c r="U492" s="106"/>
      <c r="V492" s="106"/>
      <c r="W492" s="26"/>
      <c r="X492" s="29" t="s">
        <v>1271</v>
      </c>
      <c r="Y492" s="28">
        <f t="shared" si="3"/>
        <v>0</v>
      </c>
      <c r="Z492" s="29"/>
    </row>
    <row r="493" spans="1:26" x14ac:dyDescent="0.3">
      <c r="A493" s="26">
        <v>27</v>
      </c>
      <c r="B493" s="26" t="s">
        <v>1243</v>
      </c>
      <c r="C493" s="26" t="s">
        <v>1268</v>
      </c>
      <c r="D493" s="26" t="s">
        <v>1269</v>
      </c>
      <c r="E493" s="26" t="s">
        <v>458</v>
      </c>
      <c r="F493" s="26" t="s">
        <v>458</v>
      </c>
      <c r="G493" s="26"/>
      <c r="H493" s="26">
        <v>4000</v>
      </c>
      <c r="I493" s="26">
        <v>0</v>
      </c>
      <c r="J493" s="26" t="s">
        <v>1246</v>
      </c>
      <c r="K493" s="3" t="s">
        <v>243</v>
      </c>
      <c r="L493" s="26" t="s">
        <v>1322</v>
      </c>
      <c r="M493" s="26" t="s">
        <v>1322</v>
      </c>
      <c r="N493" s="106"/>
      <c r="O493" s="109"/>
      <c r="P493" s="109"/>
      <c r="Q493" s="106"/>
      <c r="R493" s="106"/>
      <c r="S493" s="106"/>
      <c r="T493" s="106"/>
      <c r="U493" s="106"/>
      <c r="V493" s="106"/>
      <c r="W493" s="26"/>
      <c r="X493" s="29" t="s">
        <v>1271</v>
      </c>
      <c r="Y493" s="28">
        <f t="shared" si="3"/>
        <v>0</v>
      </c>
      <c r="Z493" s="29"/>
    </row>
    <row r="494" spans="1:26" x14ac:dyDescent="0.3">
      <c r="A494" s="3">
        <v>27</v>
      </c>
      <c r="B494" s="3" t="s">
        <v>1243</v>
      </c>
      <c r="C494" s="3" t="s">
        <v>1268</v>
      </c>
      <c r="D494" s="3" t="s">
        <v>1269</v>
      </c>
      <c r="E494" s="3" t="s">
        <v>458</v>
      </c>
      <c r="F494" s="3" t="s">
        <v>458</v>
      </c>
      <c r="G494" s="3"/>
      <c r="H494" s="3">
        <v>4000</v>
      </c>
      <c r="I494" s="3">
        <v>0</v>
      </c>
      <c r="J494" s="3" t="s">
        <v>1246</v>
      </c>
      <c r="K494" s="3" t="s">
        <v>243</v>
      </c>
      <c r="L494" s="3" t="s">
        <v>1323</v>
      </c>
      <c r="M494" s="3" t="s">
        <v>1323</v>
      </c>
      <c r="N494" s="22">
        <v>18</v>
      </c>
      <c r="O494" s="22"/>
      <c r="P494" s="22"/>
      <c r="Q494" s="22"/>
      <c r="R494" s="22"/>
      <c r="S494" s="22"/>
      <c r="T494" s="22"/>
      <c r="U494" s="22"/>
      <c r="V494" s="22"/>
      <c r="W494" s="3"/>
      <c r="X494" s="5" t="s">
        <v>1271</v>
      </c>
      <c r="Y494" s="28">
        <f t="shared" si="3"/>
        <v>0</v>
      </c>
      <c r="Z494" s="5">
        <v>18</v>
      </c>
    </row>
    <row r="495" spans="1:26" x14ac:dyDescent="0.3">
      <c r="A495" s="3">
        <v>27</v>
      </c>
      <c r="B495" s="3" t="s">
        <v>1243</v>
      </c>
      <c r="C495" s="3" t="s">
        <v>1268</v>
      </c>
      <c r="D495" s="3" t="s">
        <v>1269</v>
      </c>
      <c r="E495" s="3" t="s">
        <v>458</v>
      </c>
      <c r="F495" s="3" t="s">
        <v>458</v>
      </c>
      <c r="G495" s="3"/>
      <c r="H495" s="3">
        <v>4000</v>
      </c>
      <c r="I495" s="3">
        <v>0</v>
      </c>
      <c r="J495" s="3" t="s">
        <v>1246</v>
      </c>
      <c r="K495" s="3" t="s">
        <v>243</v>
      </c>
      <c r="L495" s="3" t="s">
        <v>1324</v>
      </c>
      <c r="M495" s="3" t="s">
        <v>1324</v>
      </c>
      <c r="N495" s="22">
        <v>62</v>
      </c>
      <c r="O495" s="22"/>
      <c r="P495" s="22"/>
      <c r="Q495" s="22"/>
      <c r="R495" s="22"/>
      <c r="S495" s="22"/>
      <c r="T495" s="22"/>
      <c r="U495" s="22"/>
      <c r="V495" s="22"/>
      <c r="W495" s="3"/>
      <c r="X495" s="5" t="s">
        <v>1271</v>
      </c>
      <c r="Y495" s="28">
        <f t="shared" si="3"/>
        <v>0</v>
      </c>
      <c r="Z495" s="5">
        <v>62</v>
      </c>
    </row>
    <row r="496" spans="1:26" x14ac:dyDescent="0.3">
      <c r="A496" s="3">
        <v>27</v>
      </c>
      <c r="B496" s="3" t="s">
        <v>1243</v>
      </c>
      <c r="C496" s="3" t="s">
        <v>1268</v>
      </c>
      <c r="D496" s="3" t="s">
        <v>1269</v>
      </c>
      <c r="E496" s="3" t="s">
        <v>458</v>
      </c>
      <c r="F496" s="3" t="s">
        <v>458</v>
      </c>
      <c r="G496" s="3"/>
      <c r="H496" s="3">
        <v>4000</v>
      </c>
      <c r="I496" s="3">
        <v>0</v>
      </c>
      <c r="J496" s="3" t="s">
        <v>1246</v>
      </c>
      <c r="K496" s="3" t="s">
        <v>243</v>
      </c>
      <c r="L496" s="3" t="s">
        <v>1325</v>
      </c>
      <c r="M496" s="3" t="s">
        <v>1325</v>
      </c>
      <c r="N496" s="22">
        <v>518</v>
      </c>
      <c r="O496" s="22"/>
      <c r="P496" s="22"/>
      <c r="Q496" s="22"/>
      <c r="R496" s="22"/>
      <c r="S496" s="22"/>
      <c r="T496" s="22"/>
      <c r="U496" s="22"/>
      <c r="V496" s="22"/>
      <c r="W496" s="3"/>
      <c r="X496" s="5" t="s">
        <v>1271</v>
      </c>
      <c r="Y496" s="28">
        <f t="shared" si="3"/>
        <v>0</v>
      </c>
      <c r="Z496" s="5">
        <v>518</v>
      </c>
    </row>
    <row r="497" spans="1:26" x14ac:dyDescent="0.3">
      <c r="A497" s="26">
        <v>27</v>
      </c>
      <c r="B497" s="26" t="s">
        <v>1243</v>
      </c>
      <c r="C497" s="26" t="s">
        <v>1268</v>
      </c>
      <c r="D497" s="26" t="s">
        <v>1269</v>
      </c>
      <c r="E497" s="26" t="s">
        <v>458</v>
      </c>
      <c r="F497" s="26" t="s">
        <v>458</v>
      </c>
      <c r="G497" s="26"/>
      <c r="H497" s="26">
        <v>4000</v>
      </c>
      <c r="I497" s="26">
        <v>0</v>
      </c>
      <c r="J497" s="26" t="s">
        <v>1246</v>
      </c>
      <c r="K497" s="3" t="s">
        <v>243</v>
      </c>
      <c r="L497" s="26" t="s">
        <v>1326</v>
      </c>
      <c r="M497" s="26" t="s">
        <v>1326</v>
      </c>
      <c r="N497" s="106"/>
      <c r="O497" s="109"/>
      <c r="P497" s="109"/>
      <c r="Q497" s="106"/>
      <c r="R497" s="106"/>
      <c r="S497" s="106"/>
      <c r="T497" s="106"/>
      <c r="U497" s="106"/>
      <c r="V497" s="106"/>
      <c r="W497" s="26"/>
      <c r="X497" s="29" t="s">
        <v>1271</v>
      </c>
      <c r="Y497" s="28">
        <f t="shared" si="3"/>
        <v>0</v>
      </c>
      <c r="Z497" s="29"/>
    </row>
    <row r="498" spans="1:26" x14ac:dyDescent="0.3">
      <c r="A498" s="3">
        <v>27</v>
      </c>
      <c r="B498" s="3" t="s">
        <v>1243</v>
      </c>
      <c r="C498" s="3" t="s">
        <v>1268</v>
      </c>
      <c r="D498" s="3" t="s">
        <v>1269</v>
      </c>
      <c r="E498" s="3" t="s">
        <v>458</v>
      </c>
      <c r="F498" s="3" t="s">
        <v>458</v>
      </c>
      <c r="G498" s="3"/>
      <c r="H498" s="3">
        <v>4000</v>
      </c>
      <c r="I498" s="3">
        <v>0</v>
      </c>
      <c r="J498" s="3" t="s">
        <v>1246</v>
      </c>
      <c r="K498" s="3" t="s">
        <v>243</v>
      </c>
      <c r="L498" s="3" t="s">
        <v>1327</v>
      </c>
      <c r="M498" s="3" t="s">
        <v>1327</v>
      </c>
      <c r="N498" s="22">
        <v>24</v>
      </c>
      <c r="O498" s="22"/>
      <c r="P498" s="22"/>
      <c r="Q498" s="22"/>
      <c r="R498" s="22"/>
      <c r="S498" s="22"/>
      <c r="T498" s="22"/>
      <c r="U498" s="22"/>
      <c r="V498" s="22"/>
      <c r="W498" s="3"/>
      <c r="X498" s="5" t="s">
        <v>1271</v>
      </c>
      <c r="Y498" s="28">
        <f t="shared" si="3"/>
        <v>0</v>
      </c>
      <c r="Z498" s="5">
        <v>24</v>
      </c>
    </row>
    <row r="499" spans="1:26" x14ac:dyDescent="0.3">
      <c r="A499" s="3">
        <v>27</v>
      </c>
      <c r="B499" s="3" t="s">
        <v>1243</v>
      </c>
      <c r="C499" s="3" t="s">
        <v>1268</v>
      </c>
      <c r="D499" s="3" t="s">
        <v>1269</v>
      </c>
      <c r="E499" s="3" t="s">
        <v>458</v>
      </c>
      <c r="F499" s="3" t="s">
        <v>458</v>
      </c>
      <c r="G499" s="3"/>
      <c r="H499" s="3">
        <v>4000</v>
      </c>
      <c r="I499" s="3">
        <v>0</v>
      </c>
      <c r="J499" s="3" t="s">
        <v>1110</v>
      </c>
      <c r="K499" s="3" t="s">
        <v>243</v>
      </c>
      <c r="L499" s="3" t="s">
        <v>1328</v>
      </c>
      <c r="M499" s="3" t="s">
        <v>1328</v>
      </c>
      <c r="N499" s="22">
        <v>2893</v>
      </c>
      <c r="O499" s="22"/>
      <c r="P499" s="22"/>
      <c r="Q499" s="22"/>
      <c r="R499" s="22"/>
      <c r="S499" s="22"/>
      <c r="T499" s="22"/>
      <c r="U499" s="22"/>
      <c r="V499" s="22"/>
      <c r="W499" s="3"/>
      <c r="X499" s="5" t="s">
        <v>1271</v>
      </c>
      <c r="Y499" s="28">
        <f t="shared" si="3"/>
        <v>0</v>
      </c>
      <c r="Z499" s="5">
        <v>2893</v>
      </c>
    </row>
    <row r="500" spans="1:26" x14ac:dyDescent="0.3">
      <c r="A500" s="3">
        <v>27</v>
      </c>
      <c r="B500" s="3" t="s">
        <v>1243</v>
      </c>
      <c r="C500" s="3" t="s">
        <v>1268</v>
      </c>
      <c r="D500" s="3" t="s">
        <v>1269</v>
      </c>
      <c r="E500" s="3" t="s">
        <v>458</v>
      </c>
      <c r="F500" s="3" t="s">
        <v>458</v>
      </c>
      <c r="G500" s="3"/>
      <c r="H500" s="3">
        <v>4000</v>
      </c>
      <c r="I500" s="3">
        <v>0</v>
      </c>
      <c r="J500" s="3" t="s">
        <v>1110</v>
      </c>
      <c r="K500" s="3" t="s">
        <v>243</v>
      </c>
      <c r="L500" s="3" t="s">
        <v>1329</v>
      </c>
      <c r="M500" s="3" t="s">
        <v>1329</v>
      </c>
      <c r="N500" s="22">
        <v>2</v>
      </c>
      <c r="O500" s="22"/>
      <c r="P500" s="22"/>
      <c r="Q500" s="22"/>
      <c r="R500" s="22"/>
      <c r="S500" s="22"/>
      <c r="T500" s="22"/>
      <c r="U500" s="22"/>
      <c r="V500" s="22"/>
      <c r="W500" s="3"/>
      <c r="X500" s="5" t="s">
        <v>1271</v>
      </c>
      <c r="Y500" s="28">
        <f t="shared" si="3"/>
        <v>0</v>
      </c>
      <c r="Z500" s="5">
        <v>2</v>
      </c>
    </row>
    <row r="501" spans="1:26" x14ac:dyDescent="0.3">
      <c r="A501" s="3">
        <v>27</v>
      </c>
      <c r="B501" s="3" t="s">
        <v>1243</v>
      </c>
      <c r="C501" s="3" t="s">
        <v>1268</v>
      </c>
      <c r="D501" s="3" t="s">
        <v>1269</v>
      </c>
      <c r="E501" s="3" t="s">
        <v>458</v>
      </c>
      <c r="F501" s="3" t="s">
        <v>458</v>
      </c>
      <c r="G501" s="3"/>
      <c r="H501" s="3">
        <v>4000</v>
      </c>
      <c r="I501" s="3">
        <v>0</v>
      </c>
      <c r="J501" s="3" t="s">
        <v>1246</v>
      </c>
      <c r="K501" s="3" t="s">
        <v>243</v>
      </c>
      <c r="L501" s="3" t="s">
        <v>1330</v>
      </c>
      <c r="M501" s="3" t="s">
        <v>1330</v>
      </c>
      <c r="N501" s="22">
        <v>784</v>
      </c>
      <c r="O501" s="22"/>
      <c r="P501" s="22"/>
      <c r="Q501" s="22"/>
      <c r="R501" s="22"/>
      <c r="S501" s="22"/>
      <c r="T501" s="22"/>
      <c r="U501" s="22"/>
      <c r="V501" s="22"/>
      <c r="W501" s="3"/>
      <c r="X501" s="5" t="s">
        <v>1271</v>
      </c>
      <c r="Y501" s="28">
        <f t="shared" si="3"/>
        <v>0</v>
      </c>
      <c r="Z501" s="5">
        <v>784</v>
      </c>
    </row>
    <row r="502" spans="1:26" s="29" customFormat="1" x14ac:dyDescent="0.3">
      <c r="A502" s="3">
        <v>27</v>
      </c>
      <c r="B502" s="3" t="s">
        <v>1243</v>
      </c>
      <c r="C502" s="3" t="s">
        <v>1268</v>
      </c>
      <c r="D502" s="3" t="s">
        <v>1269</v>
      </c>
      <c r="E502" s="3" t="s">
        <v>458</v>
      </c>
      <c r="F502" s="3" t="s">
        <v>458</v>
      </c>
      <c r="G502" s="3"/>
      <c r="H502" s="3">
        <v>4000</v>
      </c>
      <c r="I502" s="3">
        <v>0</v>
      </c>
      <c r="J502" s="3" t="s">
        <v>1246</v>
      </c>
      <c r="K502" s="3" t="s">
        <v>243</v>
      </c>
      <c r="L502" s="3" t="s">
        <v>1331</v>
      </c>
      <c r="M502" s="3" t="s">
        <v>1331</v>
      </c>
      <c r="N502" s="22">
        <v>30703</v>
      </c>
      <c r="O502" s="22"/>
      <c r="P502" s="22"/>
      <c r="Q502" s="22"/>
      <c r="R502" s="22"/>
      <c r="S502" s="22"/>
      <c r="T502" s="22"/>
      <c r="U502" s="22"/>
      <c r="V502" s="22"/>
      <c r="W502" s="3"/>
      <c r="X502" s="5" t="s">
        <v>1271</v>
      </c>
      <c r="Y502" s="28">
        <f t="shared" si="3"/>
        <v>0</v>
      </c>
      <c r="Z502" s="5">
        <v>30703</v>
      </c>
    </row>
    <row r="503" spans="1:26" x14ac:dyDescent="0.3">
      <c r="A503" s="3">
        <v>27</v>
      </c>
      <c r="B503" s="3" t="s">
        <v>1243</v>
      </c>
      <c r="C503" s="3" t="s">
        <v>1268</v>
      </c>
      <c r="D503" s="3" t="s">
        <v>1269</v>
      </c>
      <c r="E503" s="3" t="s">
        <v>458</v>
      </c>
      <c r="F503" s="3" t="s">
        <v>458</v>
      </c>
      <c r="G503" s="3"/>
      <c r="H503" s="3">
        <v>4000</v>
      </c>
      <c r="I503" s="3">
        <v>0</v>
      </c>
      <c r="J503" s="3" t="s">
        <v>1246</v>
      </c>
      <c r="K503" s="3" t="s">
        <v>243</v>
      </c>
      <c r="L503" s="3" t="s">
        <v>1332</v>
      </c>
      <c r="M503" s="3" t="s">
        <v>1332</v>
      </c>
      <c r="N503" s="22">
        <v>9950</v>
      </c>
      <c r="O503" s="22"/>
      <c r="P503" s="22"/>
      <c r="Q503" s="22"/>
      <c r="R503" s="22"/>
      <c r="S503" s="22"/>
      <c r="T503" s="22"/>
      <c r="U503" s="22"/>
      <c r="V503" s="22"/>
      <c r="W503" s="3"/>
      <c r="X503" s="5" t="s">
        <v>1271</v>
      </c>
      <c r="Y503" s="28">
        <f t="shared" si="3"/>
        <v>0</v>
      </c>
      <c r="Z503" s="5">
        <v>9950</v>
      </c>
    </row>
    <row r="504" spans="1:26" x14ac:dyDescent="0.3">
      <c r="A504" s="3">
        <v>27</v>
      </c>
      <c r="B504" s="3" t="s">
        <v>1243</v>
      </c>
      <c r="C504" s="3" t="s">
        <v>1268</v>
      </c>
      <c r="D504" s="3" t="s">
        <v>1269</v>
      </c>
      <c r="E504" s="3" t="s">
        <v>458</v>
      </c>
      <c r="F504" s="3" t="s">
        <v>458</v>
      </c>
      <c r="G504" s="3"/>
      <c r="H504" s="3">
        <v>4000</v>
      </c>
      <c r="I504" s="3">
        <v>0</v>
      </c>
      <c r="J504" s="3" t="s">
        <v>1246</v>
      </c>
      <c r="K504" s="3" t="s">
        <v>243</v>
      </c>
      <c r="L504" s="3" t="s">
        <v>1333</v>
      </c>
      <c r="M504" s="3" t="s">
        <v>1333</v>
      </c>
      <c r="N504" s="22">
        <v>3</v>
      </c>
      <c r="O504" s="22"/>
      <c r="P504" s="22"/>
      <c r="Q504" s="22"/>
      <c r="R504" s="22"/>
      <c r="S504" s="22"/>
      <c r="T504" s="22"/>
      <c r="U504" s="22"/>
      <c r="V504" s="22"/>
      <c r="W504" s="3"/>
      <c r="X504" s="5" t="s">
        <v>1271</v>
      </c>
      <c r="Y504" s="28">
        <f t="shared" si="3"/>
        <v>0</v>
      </c>
      <c r="Z504" s="5">
        <v>3</v>
      </c>
    </row>
    <row r="505" spans="1:26" x14ac:dyDescent="0.3">
      <c r="A505" s="26">
        <v>27</v>
      </c>
      <c r="B505" s="26" t="s">
        <v>1243</v>
      </c>
      <c r="C505" s="26" t="s">
        <v>1268</v>
      </c>
      <c r="D505" s="26" t="s">
        <v>1269</v>
      </c>
      <c r="E505" s="26" t="s">
        <v>458</v>
      </c>
      <c r="F505" s="26" t="s">
        <v>458</v>
      </c>
      <c r="G505" s="26"/>
      <c r="H505" s="26">
        <v>4000</v>
      </c>
      <c r="I505" s="26">
        <v>0</v>
      </c>
      <c r="J505" s="26" t="s">
        <v>1246</v>
      </c>
      <c r="K505" s="3" t="s">
        <v>243</v>
      </c>
      <c r="L505" s="26" t="s">
        <v>1334</v>
      </c>
      <c r="M505" s="26" t="s">
        <v>1334</v>
      </c>
      <c r="N505" s="106"/>
      <c r="O505" s="109"/>
      <c r="P505" s="109"/>
      <c r="Q505" s="106"/>
      <c r="R505" s="106"/>
      <c r="S505" s="106"/>
      <c r="T505" s="106"/>
      <c r="U505" s="106"/>
      <c r="V505" s="106"/>
      <c r="W505" s="26"/>
      <c r="X505" s="29" t="s">
        <v>1271</v>
      </c>
      <c r="Y505" s="28">
        <f t="shared" si="3"/>
        <v>0</v>
      </c>
      <c r="Z505" s="29"/>
    </row>
    <row r="506" spans="1:26" x14ac:dyDescent="0.3">
      <c r="A506" s="3">
        <v>27</v>
      </c>
      <c r="B506" s="3" t="s">
        <v>1243</v>
      </c>
      <c r="C506" s="3" t="s">
        <v>1268</v>
      </c>
      <c r="D506" s="3" t="s">
        <v>1269</v>
      </c>
      <c r="E506" s="3" t="s">
        <v>458</v>
      </c>
      <c r="F506" s="3" t="s">
        <v>458</v>
      </c>
      <c r="G506" s="3"/>
      <c r="H506" s="3">
        <v>4000</v>
      </c>
      <c r="I506" s="3">
        <v>0</v>
      </c>
      <c r="J506" s="3" t="s">
        <v>1246</v>
      </c>
      <c r="K506" s="3" t="s">
        <v>243</v>
      </c>
      <c r="L506" s="3" t="s">
        <v>1335</v>
      </c>
      <c r="M506" s="3" t="s">
        <v>1335</v>
      </c>
      <c r="N506" s="22">
        <v>16</v>
      </c>
      <c r="O506" s="22"/>
      <c r="P506" s="22"/>
      <c r="Q506" s="22"/>
      <c r="R506" s="22"/>
      <c r="S506" s="22"/>
      <c r="T506" s="22"/>
      <c r="U506" s="22"/>
      <c r="V506" s="22"/>
      <c r="W506" s="3"/>
      <c r="X506" s="5" t="s">
        <v>1271</v>
      </c>
      <c r="Y506" s="28">
        <f t="shared" si="3"/>
        <v>0</v>
      </c>
      <c r="Z506" s="5">
        <v>16</v>
      </c>
    </row>
    <row r="507" spans="1:26" x14ac:dyDescent="0.3">
      <c r="A507" s="3">
        <v>27</v>
      </c>
      <c r="B507" s="3" t="s">
        <v>1243</v>
      </c>
      <c r="C507" s="3" t="s">
        <v>1268</v>
      </c>
      <c r="D507" s="3" t="s">
        <v>1269</v>
      </c>
      <c r="E507" s="3" t="s">
        <v>458</v>
      </c>
      <c r="F507" s="3" t="s">
        <v>458</v>
      </c>
      <c r="G507" s="3"/>
      <c r="H507" s="3">
        <v>4000</v>
      </c>
      <c r="I507" s="3">
        <v>0</v>
      </c>
      <c r="J507" s="3" t="s">
        <v>1110</v>
      </c>
      <c r="K507" s="3" t="s">
        <v>243</v>
      </c>
      <c r="L507" s="3" t="s">
        <v>1336</v>
      </c>
      <c r="M507" s="3" t="s">
        <v>1336</v>
      </c>
      <c r="N507" s="22">
        <v>1775</v>
      </c>
      <c r="O507" s="22"/>
      <c r="P507" s="22"/>
      <c r="Q507" s="22"/>
      <c r="R507" s="22"/>
      <c r="S507" s="22"/>
      <c r="T507" s="22"/>
      <c r="U507" s="22"/>
      <c r="V507" s="22"/>
      <c r="W507" s="3"/>
      <c r="X507" s="5" t="s">
        <v>1271</v>
      </c>
      <c r="Y507" s="28">
        <f t="shared" si="3"/>
        <v>0</v>
      </c>
      <c r="Z507" s="5">
        <v>1775</v>
      </c>
    </row>
    <row r="508" spans="1:26" x14ac:dyDescent="0.3">
      <c r="A508" s="3">
        <v>27</v>
      </c>
      <c r="B508" s="3" t="s">
        <v>1243</v>
      </c>
      <c r="C508" s="3" t="s">
        <v>1268</v>
      </c>
      <c r="D508" s="3" t="s">
        <v>1269</v>
      </c>
      <c r="E508" s="3" t="s">
        <v>458</v>
      </c>
      <c r="F508" s="3" t="s">
        <v>458</v>
      </c>
      <c r="G508" s="3"/>
      <c r="H508" s="3">
        <v>4000</v>
      </c>
      <c r="I508" s="3">
        <v>0</v>
      </c>
      <c r="J508" s="3" t="s">
        <v>1110</v>
      </c>
      <c r="K508" s="3" t="s">
        <v>243</v>
      </c>
      <c r="L508" s="3" t="s">
        <v>1337</v>
      </c>
      <c r="M508" s="3" t="s">
        <v>1337</v>
      </c>
      <c r="N508" s="22">
        <v>17948</v>
      </c>
      <c r="O508" s="22"/>
      <c r="P508" s="22"/>
      <c r="Q508" s="22"/>
      <c r="R508" s="22"/>
      <c r="S508" s="22"/>
      <c r="T508" s="22"/>
      <c r="U508" s="22"/>
      <c r="V508" s="22"/>
      <c r="W508" s="3"/>
      <c r="X508" s="5" t="s">
        <v>1271</v>
      </c>
      <c r="Y508" s="28">
        <f t="shared" si="3"/>
        <v>0</v>
      </c>
      <c r="Z508" s="5">
        <v>17948</v>
      </c>
    </row>
    <row r="509" spans="1:26" x14ac:dyDescent="0.3">
      <c r="A509" s="3">
        <v>27</v>
      </c>
      <c r="B509" s="3" t="s">
        <v>1243</v>
      </c>
      <c r="C509" s="3" t="s">
        <v>1268</v>
      </c>
      <c r="D509" s="3" t="s">
        <v>1269</v>
      </c>
      <c r="E509" s="3" t="s">
        <v>458</v>
      </c>
      <c r="F509" s="3" t="s">
        <v>458</v>
      </c>
      <c r="G509" s="3"/>
      <c r="H509" s="3">
        <v>4000</v>
      </c>
      <c r="I509" s="3">
        <v>0</v>
      </c>
      <c r="J509" s="3" t="s">
        <v>1110</v>
      </c>
      <c r="K509" s="3" t="s">
        <v>243</v>
      </c>
      <c r="L509" s="3" t="s">
        <v>1338</v>
      </c>
      <c r="M509" s="3" t="s">
        <v>1338</v>
      </c>
      <c r="N509" s="22">
        <v>8732</v>
      </c>
      <c r="O509" s="22"/>
      <c r="P509" s="22"/>
      <c r="Q509" s="22"/>
      <c r="R509" s="22"/>
      <c r="S509" s="22"/>
      <c r="T509" s="22"/>
      <c r="U509" s="22"/>
      <c r="V509" s="22"/>
      <c r="W509" s="3"/>
      <c r="X509" s="5" t="s">
        <v>1271</v>
      </c>
      <c r="Y509" s="28">
        <f t="shared" si="3"/>
        <v>0</v>
      </c>
      <c r="Z509" s="5">
        <v>8732</v>
      </c>
    </row>
    <row r="510" spans="1:26" x14ac:dyDescent="0.3">
      <c r="A510" s="3">
        <v>27</v>
      </c>
      <c r="B510" s="3" t="s">
        <v>1243</v>
      </c>
      <c r="C510" s="3" t="s">
        <v>1268</v>
      </c>
      <c r="D510" s="3" t="s">
        <v>1269</v>
      </c>
      <c r="E510" s="3" t="s">
        <v>458</v>
      </c>
      <c r="F510" s="3" t="s">
        <v>458</v>
      </c>
      <c r="G510" s="3"/>
      <c r="H510" s="3">
        <v>4000</v>
      </c>
      <c r="I510" s="3">
        <v>0</v>
      </c>
      <c r="J510" s="3" t="s">
        <v>1110</v>
      </c>
      <c r="K510" s="3" t="s">
        <v>243</v>
      </c>
      <c r="L510" s="3" t="s">
        <v>1339</v>
      </c>
      <c r="M510" s="3" t="s">
        <v>1339</v>
      </c>
      <c r="N510" s="22">
        <v>327</v>
      </c>
      <c r="O510" s="22"/>
      <c r="P510" s="22"/>
      <c r="Q510" s="22"/>
      <c r="R510" s="22"/>
      <c r="S510" s="22"/>
      <c r="T510" s="22"/>
      <c r="U510" s="22"/>
      <c r="V510" s="22"/>
      <c r="W510" s="3"/>
      <c r="X510" s="5" t="s">
        <v>1271</v>
      </c>
      <c r="Y510" s="28">
        <f t="shared" si="3"/>
        <v>0</v>
      </c>
      <c r="Z510" s="5">
        <v>327</v>
      </c>
    </row>
    <row r="511" spans="1:26" x14ac:dyDescent="0.3">
      <c r="A511" s="3">
        <v>27</v>
      </c>
      <c r="B511" s="3" t="s">
        <v>1243</v>
      </c>
      <c r="C511" s="3" t="s">
        <v>1268</v>
      </c>
      <c r="D511" s="3" t="s">
        <v>1269</v>
      </c>
      <c r="E511" s="3" t="s">
        <v>458</v>
      </c>
      <c r="F511" s="3" t="s">
        <v>458</v>
      </c>
      <c r="G511" s="3"/>
      <c r="H511" s="3">
        <v>4000</v>
      </c>
      <c r="I511" s="3">
        <v>0</v>
      </c>
      <c r="J511" s="3" t="s">
        <v>1110</v>
      </c>
      <c r="K511" s="3" t="s">
        <v>243</v>
      </c>
      <c r="L511" s="3" t="s">
        <v>1340</v>
      </c>
      <c r="M511" s="3" t="s">
        <v>1340</v>
      </c>
      <c r="N511" s="22">
        <v>3667</v>
      </c>
      <c r="O511" s="22"/>
      <c r="P511" s="22"/>
      <c r="Q511" s="22"/>
      <c r="R511" s="22"/>
      <c r="S511" s="22"/>
      <c r="T511" s="22"/>
      <c r="U511" s="22"/>
      <c r="V511" s="22"/>
      <c r="W511" s="3"/>
      <c r="X511" s="5" t="s">
        <v>1271</v>
      </c>
      <c r="Y511" s="28">
        <f t="shared" si="3"/>
        <v>0</v>
      </c>
      <c r="Z511" s="5">
        <v>3667</v>
      </c>
    </row>
    <row r="512" spans="1:26" x14ac:dyDescent="0.3">
      <c r="A512" s="3">
        <v>27</v>
      </c>
      <c r="B512" s="3" t="s">
        <v>1243</v>
      </c>
      <c r="C512" s="3" t="s">
        <v>1268</v>
      </c>
      <c r="D512" s="3" t="s">
        <v>1269</v>
      </c>
      <c r="E512" s="3" t="s">
        <v>458</v>
      </c>
      <c r="F512" s="3" t="s">
        <v>458</v>
      </c>
      <c r="G512" s="3"/>
      <c r="H512" s="3">
        <v>4000</v>
      </c>
      <c r="I512" s="3">
        <v>0</v>
      </c>
      <c r="J512" s="3" t="s">
        <v>1246</v>
      </c>
      <c r="K512" s="3" t="s">
        <v>243</v>
      </c>
      <c r="L512" s="3" t="s">
        <v>1341</v>
      </c>
      <c r="M512" s="3" t="s">
        <v>1341</v>
      </c>
      <c r="N512" s="22">
        <v>49</v>
      </c>
      <c r="O512" s="22"/>
      <c r="P512" s="22"/>
      <c r="Q512" s="22"/>
      <c r="R512" s="22"/>
      <c r="S512" s="22"/>
      <c r="T512" s="22"/>
      <c r="U512" s="22"/>
      <c r="V512" s="22"/>
      <c r="W512" s="3"/>
      <c r="X512" s="5" t="s">
        <v>1271</v>
      </c>
      <c r="Y512" s="28">
        <f t="shared" si="3"/>
        <v>0</v>
      </c>
      <c r="Z512" s="5">
        <v>49</v>
      </c>
    </row>
    <row r="513" spans="1:26" x14ac:dyDescent="0.3">
      <c r="A513" s="3">
        <v>27</v>
      </c>
      <c r="B513" s="3" t="s">
        <v>1243</v>
      </c>
      <c r="C513" s="3" t="s">
        <v>1268</v>
      </c>
      <c r="D513" s="3" t="s">
        <v>1269</v>
      </c>
      <c r="E513" s="3" t="s">
        <v>458</v>
      </c>
      <c r="F513" s="3" t="s">
        <v>458</v>
      </c>
      <c r="G513" s="3"/>
      <c r="H513" s="3">
        <v>4000</v>
      </c>
      <c r="I513" s="3">
        <v>0</v>
      </c>
      <c r="J513" s="3" t="s">
        <v>1246</v>
      </c>
      <c r="K513" s="3" t="s">
        <v>243</v>
      </c>
      <c r="L513" s="3" t="s">
        <v>1342</v>
      </c>
      <c r="M513" s="3" t="s">
        <v>1342</v>
      </c>
      <c r="N513" s="22">
        <v>16803</v>
      </c>
      <c r="O513" s="22"/>
      <c r="P513" s="22"/>
      <c r="Q513" s="22"/>
      <c r="R513" s="22"/>
      <c r="S513" s="22"/>
      <c r="T513" s="22"/>
      <c r="U513" s="22"/>
      <c r="V513" s="22"/>
      <c r="W513" s="3"/>
      <c r="X513" s="5" t="s">
        <v>1271</v>
      </c>
      <c r="Y513" s="28">
        <f t="shared" si="3"/>
        <v>0</v>
      </c>
      <c r="Z513" s="5">
        <v>16803</v>
      </c>
    </row>
    <row r="514" spans="1:26" x14ac:dyDescent="0.3">
      <c r="A514" s="3">
        <v>27</v>
      </c>
      <c r="B514" s="3" t="s">
        <v>1243</v>
      </c>
      <c r="C514" s="3" t="s">
        <v>1268</v>
      </c>
      <c r="D514" s="3" t="s">
        <v>1269</v>
      </c>
      <c r="E514" s="3" t="s">
        <v>458</v>
      </c>
      <c r="F514" s="3" t="s">
        <v>458</v>
      </c>
      <c r="G514" s="3"/>
      <c r="H514" s="3">
        <v>4000</v>
      </c>
      <c r="I514" s="3">
        <v>0</v>
      </c>
      <c r="J514" s="3" t="s">
        <v>1246</v>
      </c>
      <c r="K514" s="3" t="s">
        <v>243</v>
      </c>
      <c r="L514" s="3" t="s">
        <v>1343</v>
      </c>
      <c r="M514" s="3" t="s">
        <v>1343</v>
      </c>
      <c r="N514" s="22">
        <v>7388</v>
      </c>
      <c r="O514" s="22"/>
      <c r="P514" s="22"/>
      <c r="Q514" s="22"/>
      <c r="R514" s="22"/>
      <c r="S514" s="22"/>
      <c r="T514" s="22"/>
      <c r="U514" s="22"/>
      <c r="V514" s="22"/>
      <c r="W514" s="3"/>
      <c r="X514" s="5" t="s">
        <v>1271</v>
      </c>
      <c r="Y514" s="28">
        <f t="shared" si="3"/>
        <v>0</v>
      </c>
      <c r="Z514" s="5">
        <v>7388</v>
      </c>
    </row>
    <row r="515" spans="1:26" x14ac:dyDescent="0.3">
      <c r="A515" s="3">
        <v>27</v>
      </c>
      <c r="B515" s="3" t="s">
        <v>1243</v>
      </c>
      <c r="C515" s="3" t="s">
        <v>1268</v>
      </c>
      <c r="D515" s="3" t="s">
        <v>1269</v>
      </c>
      <c r="E515" s="3" t="s">
        <v>458</v>
      </c>
      <c r="F515" s="3" t="s">
        <v>458</v>
      </c>
      <c r="G515" s="3"/>
      <c r="H515" s="3">
        <v>4000</v>
      </c>
      <c r="I515" s="3">
        <v>0</v>
      </c>
      <c r="J515" s="3" t="s">
        <v>1246</v>
      </c>
      <c r="K515" s="3" t="s">
        <v>243</v>
      </c>
      <c r="L515" s="3" t="s">
        <v>1344</v>
      </c>
      <c r="M515" s="3" t="s">
        <v>1344</v>
      </c>
      <c r="N515" s="22">
        <v>327</v>
      </c>
      <c r="O515" s="22"/>
      <c r="P515" s="22"/>
      <c r="Q515" s="22"/>
      <c r="R515" s="22"/>
      <c r="S515" s="22"/>
      <c r="T515" s="22"/>
      <c r="U515" s="22"/>
      <c r="V515" s="22"/>
      <c r="W515" s="3"/>
      <c r="X515" s="5" t="s">
        <v>1271</v>
      </c>
      <c r="Y515" s="28">
        <f t="shared" si="3"/>
        <v>0</v>
      </c>
      <c r="Z515" s="5">
        <v>327</v>
      </c>
    </row>
    <row r="516" spans="1:26" x14ac:dyDescent="0.3">
      <c r="A516" s="3">
        <v>27</v>
      </c>
      <c r="B516" s="3" t="s">
        <v>1243</v>
      </c>
      <c r="C516" s="3" t="s">
        <v>1268</v>
      </c>
      <c r="D516" s="3" t="s">
        <v>1269</v>
      </c>
      <c r="E516" s="3" t="s">
        <v>458</v>
      </c>
      <c r="F516" s="3" t="s">
        <v>458</v>
      </c>
      <c r="G516" s="3"/>
      <c r="H516" s="3">
        <v>4000</v>
      </c>
      <c r="I516" s="3">
        <v>0</v>
      </c>
      <c r="J516" s="3" t="s">
        <v>1246</v>
      </c>
      <c r="K516" s="3" t="s">
        <v>243</v>
      </c>
      <c r="L516" s="3" t="s">
        <v>1345</v>
      </c>
      <c r="M516" s="3" t="s">
        <v>1345</v>
      </c>
      <c r="N516" s="22">
        <v>7682</v>
      </c>
      <c r="O516" s="22"/>
      <c r="P516" s="22"/>
      <c r="Q516" s="22"/>
      <c r="R516" s="22"/>
      <c r="S516" s="22"/>
      <c r="T516" s="22"/>
      <c r="U516" s="22"/>
      <c r="V516" s="22"/>
      <c r="W516" s="3"/>
      <c r="X516" s="5" t="s">
        <v>1271</v>
      </c>
      <c r="Y516" s="28">
        <f t="shared" si="3"/>
        <v>0</v>
      </c>
      <c r="Z516" s="5">
        <v>7682</v>
      </c>
    </row>
    <row r="517" spans="1:26" x14ac:dyDescent="0.3">
      <c r="A517" s="3">
        <v>27</v>
      </c>
      <c r="B517" s="3" t="s">
        <v>1243</v>
      </c>
      <c r="C517" s="3" t="s">
        <v>1268</v>
      </c>
      <c r="D517" s="3" t="s">
        <v>1269</v>
      </c>
      <c r="E517" s="3" t="s">
        <v>458</v>
      </c>
      <c r="F517" s="3" t="s">
        <v>458</v>
      </c>
      <c r="G517" s="3"/>
      <c r="H517" s="3">
        <v>4000</v>
      </c>
      <c r="I517" s="3">
        <v>0</v>
      </c>
      <c r="J517" s="3" t="s">
        <v>1246</v>
      </c>
      <c r="K517" s="3" t="s">
        <v>243</v>
      </c>
      <c r="L517" s="3" t="s">
        <v>1346</v>
      </c>
      <c r="M517" s="3" t="s">
        <v>1346</v>
      </c>
      <c r="N517" s="22">
        <v>1887</v>
      </c>
      <c r="O517" s="22"/>
      <c r="P517" s="22"/>
      <c r="Q517" s="22"/>
      <c r="R517" s="22"/>
      <c r="S517" s="22"/>
      <c r="T517" s="22"/>
      <c r="U517" s="22"/>
      <c r="V517" s="22"/>
      <c r="W517" s="3"/>
      <c r="X517" s="5" t="s">
        <v>1271</v>
      </c>
      <c r="Y517" s="28">
        <f t="shared" si="3"/>
        <v>0</v>
      </c>
      <c r="Z517" s="5">
        <v>1887</v>
      </c>
    </row>
    <row r="518" spans="1:26" x14ac:dyDescent="0.3">
      <c r="A518" s="3">
        <v>27</v>
      </c>
      <c r="B518" s="3" t="s">
        <v>1243</v>
      </c>
      <c r="C518" s="3" t="s">
        <v>1268</v>
      </c>
      <c r="D518" s="3" t="s">
        <v>1269</v>
      </c>
      <c r="E518" s="3" t="s">
        <v>458</v>
      </c>
      <c r="F518" s="3" t="s">
        <v>458</v>
      </c>
      <c r="G518" s="3"/>
      <c r="H518" s="3">
        <v>4000</v>
      </c>
      <c r="I518" s="3">
        <v>0</v>
      </c>
      <c r="J518" s="3" t="s">
        <v>1246</v>
      </c>
      <c r="K518" s="3" t="s">
        <v>243</v>
      </c>
      <c r="L518" s="3" t="s">
        <v>1347</v>
      </c>
      <c r="M518" s="3" t="s">
        <v>1347</v>
      </c>
      <c r="N518" s="22">
        <v>904</v>
      </c>
      <c r="O518" s="22"/>
      <c r="P518" s="22"/>
      <c r="Q518" s="22"/>
      <c r="R518" s="22"/>
      <c r="S518" s="22"/>
      <c r="T518" s="22"/>
      <c r="U518" s="22"/>
      <c r="V518" s="22"/>
      <c r="W518" s="3"/>
      <c r="X518" s="5" t="s">
        <v>1271</v>
      </c>
      <c r="Y518" s="28">
        <f t="shared" si="3"/>
        <v>0</v>
      </c>
      <c r="Z518" s="5">
        <v>904</v>
      </c>
    </row>
    <row r="519" spans="1:26" x14ac:dyDescent="0.3">
      <c r="A519" s="3">
        <v>27</v>
      </c>
      <c r="B519" s="3" t="s">
        <v>1243</v>
      </c>
      <c r="C519" s="3" t="s">
        <v>1268</v>
      </c>
      <c r="D519" s="3" t="s">
        <v>1269</v>
      </c>
      <c r="E519" s="3" t="s">
        <v>458</v>
      </c>
      <c r="F519" s="3" t="s">
        <v>458</v>
      </c>
      <c r="G519" s="3"/>
      <c r="H519" s="3">
        <v>4000</v>
      </c>
      <c r="I519" s="3">
        <v>0</v>
      </c>
      <c r="J519" s="3" t="s">
        <v>1246</v>
      </c>
      <c r="K519" s="3" t="s">
        <v>243</v>
      </c>
      <c r="L519" s="3" t="s">
        <v>1348</v>
      </c>
      <c r="M519" s="3" t="s">
        <v>1348</v>
      </c>
      <c r="N519" s="22">
        <v>11637</v>
      </c>
      <c r="O519" s="22"/>
      <c r="P519" s="22"/>
      <c r="Q519" s="22"/>
      <c r="R519" s="22"/>
      <c r="S519" s="22"/>
      <c r="T519" s="22"/>
      <c r="U519" s="22"/>
      <c r="V519" s="22"/>
      <c r="W519" s="3"/>
      <c r="X519" s="5" t="s">
        <v>1271</v>
      </c>
      <c r="Y519" s="28">
        <f t="shared" si="3"/>
        <v>0</v>
      </c>
      <c r="Z519" s="5">
        <v>11637</v>
      </c>
    </row>
    <row r="520" spans="1:26" x14ac:dyDescent="0.3">
      <c r="A520" s="3">
        <v>27</v>
      </c>
      <c r="B520" s="3" t="s">
        <v>1243</v>
      </c>
      <c r="C520" s="3" t="s">
        <v>1268</v>
      </c>
      <c r="D520" s="3" t="s">
        <v>1269</v>
      </c>
      <c r="E520" s="3" t="s">
        <v>458</v>
      </c>
      <c r="F520" s="3" t="s">
        <v>458</v>
      </c>
      <c r="G520" s="3"/>
      <c r="H520" s="3">
        <v>4000</v>
      </c>
      <c r="I520" s="3">
        <v>0</v>
      </c>
      <c r="J520" s="3" t="s">
        <v>1110</v>
      </c>
      <c r="K520" s="3" t="s">
        <v>243</v>
      </c>
      <c r="L520" s="3" t="s">
        <v>1349</v>
      </c>
      <c r="M520" s="3" t="s">
        <v>1349</v>
      </c>
      <c r="N520" s="22">
        <v>4553</v>
      </c>
      <c r="O520" s="22"/>
      <c r="P520" s="22"/>
      <c r="Q520" s="22"/>
      <c r="R520" s="22"/>
      <c r="S520" s="22"/>
      <c r="T520" s="22"/>
      <c r="U520" s="22"/>
      <c r="V520" s="22"/>
      <c r="W520" s="3"/>
      <c r="X520" s="5" t="s">
        <v>1271</v>
      </c>
      <c r="Y520" s="28">
        <f t="shared" si="3"/>
        <v>0</v>
      </c>
      <c r="Z520" s="5">
        <v>4553</v>
      </c>
    </row>
    <row r="521" spans="1:26" x14ac:dyDescent="0.3">
      <c r="A521" s="3">
        <v>27</v>
      </c>
      <c r="B521" s="3" t="s">
        <v>1243</v>
      </c>
      <c r="C521" s="3" t="s">
        <v>1268</v>
      </c>
      <c r="D521" s="3" t="s">
        <v>1269</v>
      </c>
      <c r="E521" s="3" t="s">
        <v>458</v>
      </c>
      <c r="F521" s="3" t="s">
        <v>458</v>
      </c>
      <c r="G521" s="3"/>
      <c r="H521" s="3">
        <v>4000</v>
      </c>
      <c r="I521" s="3">
        <v>0</v>
      </c>
      <c r="J521" s="3" t="s">
        <v>1246</v>
      </c>
      <c r="K521" s="3" t="s">
        <v>243</v>
      </c>
      <c r="L521" s="3" t="s">
        <v>1350</v>
      </c>
      <c r="M521" s="3" t="s">
        <v>1350</v>
      </c>
      <c r="N521" s="22">
        <v>3690</v>
      </c>
      <c r="O521" s="22"/>
      <c r="P521" s="22"/>
      <c r="Q521" s="22"/>
      <c r="R521" s="22"/>
      <c r="S521" s="22"/>
      <c r="T521" s="22"/>
      <c r="U521" s="22"/>
      <c r="V521" s="22"/>
      <c r="W521" s="3"/>
      <c r="X521" s="5" t="s">
        <v>1271</v>
      </c>
      <c r="Y521" s="28">
        <f t="shared" si="3"/>
        <v>0</v>
      </c>
      <c r="Z521" s="5">
        <v>3690</v>
      </c>
    </row>
    <row r="522" spans="1:26" s="29" customFormat="1" x14ac:dyDescent="0.3">
      <c r="A522" s="26">
        <v>27</v>
      </c>
      <c r="B522" s="26" t="s">
        <v>1243</v>
      </c>
      <c r="C522" s="26" t="s">
        <v>1268</v>
      </c>
      <c r="D522" s="26" t="s">
        <v>1269</v>
      </c>
      <c r="E522" s="26" t="s">
        <v>458</v>
      </c>
      <c r="F522" s="26" t="s">
        <v>458</v>
      </c>
      <c r="G522" s="26"/>
      <c r="H522" s="26">
        <v>4000</v>
      </c>
      <c r="I522" s="26">
        <v>0</v>
      </c>
      <c r="J522" s="26" t="s">
        <v>1110</v>
      </c>
      <c r="K522" s="3" t="s">
        <v>243</v>
      </c>
      <c r="L522" s="26" t="s">
        <v>1351</v>
      </c>
      <c r="M522" s="26" t="s">
        <v>1351</v>
      </c>
      <c r="N522" s="106">
        <v>400</v>
      </c>
      <c r="O522" s="22"/>
      <c r="P522" s="22"/>
      <c r="Q522" s="22"/>
      <c r="R522" s="22"/>
      <c r="S522" s="22"/>
      <c r="T522" s="22"/>
      <c r="U522" s="22"/>
      <c r="V522" s="22"/>
      <c r="W522" s="3"/>
      <c r="X522" s="5" t="s">
        <v>1271</v>
      </c>
      <c r="Y522" s="28">
        <f t="shared" si="3"/>
        <v>0</v>
      </c>
      <c r="Z522" s="29">
        <v>400</v>
      </c>
    </row>
    <row r="523" spans="1:26" x14ac:dyDescent="0.3">
      <c r="A523" s="3">
        <v>27</v>
      </c>
      <c r="B523" s="3" t="s">
        <v>1243</v>
      </c>
      <c r="C523" s="3" t="s">
        <v>1268</v>
      </c>
      <c r="D523" s="3" t="s">
        <v>1269</v>
      </c>
      <c r="E523" s="3" t="s">
        <v>458</v>
      </c>
      <c r="F523" s="3" t="s">
        <v>458</v>
      </c>
      <c r="G523" s="3"/>
      <c r="H523" s="3">
        <v>4000</v>
      </c>
      <c r="I523" s="3">
        <v>0</v>
      </c>
      <c r="J523" s="3" t="s">
        <v>1110</v>
      </c>
      <c r="K523" s="3" t="s">
        <v>243</v>
      </c>
      <c r="L523" s="3" t="s">
        <v>1352</v>
      </c>
      <c r="M523" s="3" t="s">
        <v>1352</v>
      </c>
      <c r="N523" s="22">
        <v>738</v>
      </c>
      <c r="O523" s="22"/>
      <c r="P523" s="22"/>
      <c r="Q523" s="22"/>
      <c r="R523" s="22"/>
      <c r="S523" s="22"/>
      <c r="T523" s="22"/>
      <c r="U523" s="22"/>
      <c r="V523" s="22"/>
      <c r="W523" s="3"/>
      <c r="X523" s="5" t="s">
        <v>1271</v>
      </c>
      <c r="Y523" s="28">
        <f t="shared" si="3"/>
        <v>0</v>
      </c>
      <c r="Z523" s="5">
        <v>738</v>
      </c>
    </row>
    <row r="524" spans="1:26" x14ac:dyDescent="0.3">
      <c r="A524" s="26">
        <v>27</v>
      </c>
      <c r="B524" s="26" t="s">
        <v>1243</v>
      </c>
      <c r="C524" s="26" t="s">
        <v>1268</v>
      </c>
      <c r="D524" s="26" t="s">
        <v>1353</v>
      </c>
      <c r="E524" s="26" t="s">
        <v>458</v>
      </c>
      <c r="F524" s="26" t="s">
        <v>458</v>
      </c>
      <c r="G524" s="26"/>
      <c r="H524" s="26">
        <v>4000</v>
      </c>
      <c r="I524" s="26">
        <v>0</v>
      </c>
      <c r="J524" s="26" t="s">
        <v>1246</v>
      </c>
      <c r="K524" s="3" t="s">
        <v>243</v>
      </c>
      <c r="L524" s="26" t="s">
        <v>1354</v>
      </c>
      <c r="M524" s="26" t="s">
        <v>1354</v>
      </c>
      <c r="N524" s="106"/>
      <c r="O524" s="109"/>
      <c r="P524" s="106"/>
      <c r="Q524" s="106"/>
      <c r="R524" s="106"/>
      <c r="S524" s="106"/>
      <c r="T524" s="106"/>
      <c r="U524" s="106"/>
      <c r="V524" s="106"/>
      <c r="W524" s="26"/>
      <c r="X524" s="29" t="s">
        <v>1271</v>
      </c>
      <c r="Y524" s="28">
        <f t="shared" si="3"/>
        <v>0</v>
      </c>
      <c r="Z524" s="29"/>
    </row>
    <row r="525" spans="1:26" x14ac:dyDescent="0.3">
      <c r="A525" s="3">
        <v>27</v>
      </c>
      <c r="B525" s="3" t="s">
        <v>1243</v>
      </c>
      <c r="C525" s="3" t="s">
        <v>1268</v>
      </c>
      <c r="D525" s="3" t="s">
        <v>1353</v>
      </c>
      <c r="E525" s="3" t="s">
        <v>458</v>
      </c>
      <c r="F525" s="3" t="s">
        <v>458</v>
      </c>
      <c r="G525" s="3"/>
      <c r="H525" s="3">
        <v>4000</v>
      </c>
      <c r="I525" s="3">
        <v>0</v>
      </c>
      <c r="J525" s="3" t="s">
        <v>1246</v>
      </c>
      <c r="K525" s="3" t="s">
        <v>243</v>
      </c>
      <c r="L525" s="3" t="s">
        <v>1355</v>
      </c>
      <c r="M525" s="3" t="s">
        <v>1355</v>
      </c>
      <c r="N525" s="22">
        <v>129</v>
      </c>
      <c r="O525" s="22"/>
      <c r="P525" s="22"/>
      <c r="Q525" s="22"/>
      <c r="R525" s="22"/>
      <c r="S525" s="22"/>
      <c r="T525" s="22"/>
      <c r="U525" s="22"/>
      <c r="V525" s="22"/>
      <c r="W525" s="3"/>
      <c r="X525" s="5" t="s">
        <v>1271</v>
      </c>
      <c r="Y525" s="28">
        <f t="shared" si="3"/>
        <v>0</v>
      </c>
      <c r="Z525" s="5">
        <v>129</v>
      </c>
    </row>
    <row r="526" spans="1:26" x14ac:dyDescent="0.3">
      <c r="A526" s="3">
        <v>27</v>
      </c>
      <c r="B526" s="3" t="s">
        <v>1243</v>
      </c>
      <c r="C526" s="3" t="s">
        <v>1268</v>
      </c>
      <c r="D526" s="3" t="s">
        <v>1353</v>
      </c>
      <c r="E526" s="3" t="s">
        <v>458</v>
      </c>
      <c r="F526" s="3" t="s">
        <v>458</v>
      </c>
      <c r="G526" s="3"/>
      <c r="H526" s="3">
        <v>4000</v>
      </c>
      <c r="I526" s="3">
        <v>0</v>
      </c>
      <c r="J526" s="3" t="s">
        <v>1246</v>
      </c>
      <c r="K526" s="3" t="s">
        <v>243</v>
      </c>
      <c r="L526" s="3" t="s">
        <v>1356</v>
      </c>
      <c r="M526" s="3" t="s">
        <v>1356</v>
      </c>
      <c r="N526" s="22">
        <v>507</v>
      </c>
      <c r="O526" s="22"/>
      <c r="P526" s="22"/>
      <c r="Q526" s="22"/>
      <c r="R526" s="22"/>
      <c r="S526" s="22"/>
      <c r="T526" s="22"/>
      <c r="U526" s="22"/>
      <c r="V526" s="22"/>
      <c r="W526" s="3"/>
      <c r="X526" s="5" t="s">
        <v>1271</v>
      </c>
      <c r="Y526" s="28">
        <f t="shared" si="3"/>
        <v>0</v>
      </c>
      <c r="Z526" s="5">
        <v>507</v>
      </c>
    </row>
    <row r="527" spans="1:26" x14ac:dyDescent="0.3">
      <c r="A527" s="3">
        <v>27</v>
      </c>
      <c r="B527" s="3" t="s">
        <v>1243</v>
      </c>
      <c r="C527" s="3" t="s">
        <v>1268</v>
      </c>
      <c r="D527" s="3" t="s">
        <v>1353</v>
      </c>
      <c r="E527" s="3" t="s">
        <v>458</v>
      </c>
      <c r="F527" s="3" t="s">
        <v>458</v>
      </c>
      <c r="G527" s="3"/>
      <c r="H527" s="3">
        <v>4000</v>
      </c>
      <c r="I527" s="3">
        <v>0</v>
      </c>
      <c r="J527" s="3" t="s">
        <v>1246</v>
      </c>
      <c r="K527" s="3" t="s">
        <v>243</v>
      </c>
      <c r="L527" s="3" t="s">
        <v>1357</v>
      </c>
      <c r="M527" s="3" t="s">
        <v>1357</v>
      </c>
      <c r="N527" s="22">
        <v>284</v>
      </c>
      <c r="O527" s="22"/>
      <c r="P527" s="22"/>
      <c r="Q527" s="22"/>
      <c r="R527" s="22"/>
      <c r="S527" s="22"/>
      <c r="T527" s="22"/>
      <c r="U527" s="22"/>
      <c r="V527" s="22"/>
      <c r="W527" s="3"/>
      <c r="X527" s="5" t="s">
        <v>1271</v>
      </c>
      <c r="Y527" s="28">
        <f t="shared" si="3"/>
        <v>0</v>
      </c>
      <c r="Z527" s="5">
        <v>284</v>
      </c>
    </row>
    <row r="528" spans="1:26" x14ac:dyDescent="0.3">
      <c r="A528" s="3">
        <v>27</v>
      </c>
      <c r="B528" s="3" t="s">
        <v>1243</v>
      </c>
      <c r="C528" s="3" t="s">
        <v>1268</v>
      </c>
      <c r="D528" s="3" t="s">
        <v>1353</v>
      </c>
      <c r="E528" s="3" t="s">
        <v>458</v>
      </c>
      <c r="F528" s="3" t="s">
        <v>458</v>
      </c>
      <c r="G528" s="3"/>
      <c r="H528" s="3">
        <v>4000</v>
      </c>
      <c r="I528" s="3">
        <v>0</v>
      </c>
      <c r="J528" s="3" t="s">
        <v>1246</v>
      </c>
      <c r="K528" s="3" t="s">
        <v>243</v>
      </c>
      <c r="L528" s="3" t="s">
        <v>1358</v>
      </c>
      <c r="M528" s="3" t="s">
        <v>1358</v>
      </c>
      <c r="N528" s="22">
        <v>1525</v>
      </c>
      <c r="O528" s="22"/>
      <c r="P528" s="22"/>
      <c r="Q528" s="22"/>
      <c r="R528" s="22"/>
      <c r="S528" s="22"/>
      <c r="T528" s="22"/>
      <c r="U528" s="22"/>
      <c r="V528" s="22"/>
      <c r="W528" s="3"/>
      <c r="X528" s="5" t="s">
        <v>1271</v>
      </c>
      <c r="Y528" s="28">
        <f t="shared" si="3"/>
        <v>0</v>
      </c>
      <c r="Z528" s="5">
        <v>1525</v>
      </c>
    </row>
    <row r="529" spans="1:26" x14ac:dyDescent="0.3">
      <c r="A529" s="3">
        <v>27</v>
      </c>
      <c r="B529" s="3" t="s">
        <v>1243</v>
      </c>
      <c r="C529" s="3" t="s">
        <v>1268</v>
      </c>
      <c r="D529" s="3" t="s">
        <v>1353</v>
      </c>
      <c r="E529" s="3" t="s">
        <v>458</v>
      </c>
      <c r="F529" s="3" t="s">
        <v>458</v>
      </c>
      <c r="G529" s="3"/>
      <c r="H529" s="3">
        <v>4000</v>
      </c>
      <c r="I529" s="3">
        <v>0</v>
      </c>
      <c r="J529" s="3" t="s">
        <v>1246</v>
      </c>
      <c r="K529" s="3" t="s">
        <v>243</v>
      </c>
      <c r="L529" s="3" t="s">
        <v>1359</v>
      </c>
      <c r="M529" s="3" t="s">
        <v>1359</v>
      </c>
      <c r="N529" s="22">
        <v>251</v>
      </c>
      <c r="O529" s="22"/>
      <c r="P529" s="22"/>
      <c r="Q529" s="22"/>
      <c r="R529" s="22"/>
      <c r="S529" s="22"/>
      <c r="T529" s="22"/>
      <c r="U529" s="22"/>
      <c r="V529" s="22"/>
      <c r="W529" s="3"/>
      <c r="X529" s="5" t="s">
        <v>1271</v>
      </c>
      <c r="Y529" s="28">
        <f t="shared" si="3"/>
        <v>0</v>
      </c>
      <c r="Z529" s="5">
        <v>251</v>
      </c>
    </row>
    <row r="530" spans="1:26" x14ac:dyDescent="0.3">
      <c r="A530" s="3">
        <v>27</v>
      </c>
      <c r="B530" s="3" t="s">
        <v>1243</v>
      </c>
      <c r="C530" s="3" t="s">
        <v>1268</v>
      </c>
      <c r="D530" s="3" t="s">
        <v>1353</v>
      </c>
      <c r="E530" s="3" t="s">
        <v>458</v>
      </c>
      <c r="F530" s="3" t="s">
        <v>458</v>
      </c>
      <c r="G530" s="3"/>
      <c r="H530" s="3">
        <v>4000</v>
      </c>
      <c r="I530" s="3">
        <v>0</v>
      </c>
      <c r="J530" s="3" t="s">
        <v>1246</v>
      </c>
      <c r="K530" s="3" t="s">
        <v>243</v>
      </c>
      <c r="L530" s="3" t="s">
        <v>1360</v>
      </c>
      <c r="M530" s="3" t="s">
        <v>1360</v>
      </c>
      <c r="N530" s="22">
        <v>115</v>
      </c>
      <c r="O530" s="22"/>
      <c r="P530" s="22"/>
      <c r="Q530" s="22"/>
      <c r="R530" s="22"/>
      <c r="S530" s="22"/>
      <c r="T530" s="22"/>
      <c r="U530" s="22"/>
      <c r="V530" s="22"/>
      <c r="W530" s="3"/>
      <c r="X530" s="5" t="s">
        <v>1271</v>
      </c>
      <c r="Y530" s="28">
        <f t="shared" si="3"/>
        <v>0</v>
      </c>
      <c r="Z530" s="5">
        <v>115</v>
      </c>
    </row>
    <row r="531" spans="1:26" x14ac:dyDescent="0.3">
      <c r="A531" s="3">
        <v>27</v>
      </c>
      <c r="B531" s="3" t="s">
        <v>1243</v>
      </c>
      <c r="C531" s="3" t="s">
        <v>1268</v>
      </c>
      <c r="D531" s="3" t="s">
        <v>1353</v>
      </c>
      <c r="E531" s="3" t="s">
        <v>458</v>
      </c>
      <c r="F531" s="3" t="s">
        <v>458</v>
      </c>
      <c r="G531" s="3"/>
      <c r="H531" s="3">
        <v>4000</v>
      </c>
      <c r="I531" s="3">
        <v>0</v>
      </c>
      <c r="J531" s="3" t="s">
        <v>1246</v>
      </c>
      <c r="K531" s="3" t="s">
        <v>243</v>
      </c>
      <c r="L531" s="3" t="s">
        <v>1361</v>
      </c>
      <c r="M531" s="3" t="s">
        <v>1361</v>
      </c>
      <c r="N531" s="22">
        <v>382</v>
      </c>
      <c r="O531" s="22"/>
      <c r="P531" s="22"/>
      <c r="Q531" s="22"/>
      <c r="R531" s="22"/>
      <c r="S531" s="22"/>
      <c r="T531" s="22"/>
      <c r="U531" s="22"/>
      <c r="V531" s="22"/>
      <c r="W531" s="3"/>
      <c r="X531" s="5" t="s">
        <v>1271</v>
      </c>
      <c r="Y531" s="28">
        <f t="shared" si="3"/>
        <v>0</v>
      </c>
      <c r="Z531" s="5">
        <v>382</v>
      </c>
    </row>
    <row r="532" spans="1:26" x14ac:dyDescent="0.3">
      <c r="A532" s="3">
        <v>27</v>
      </c>
      <c r="B532" s="3" t="s">
        <v>1243</v>
      </c>
      <c r="C532" s="3" t="s">
        <v>1268</v>
      </c>
      <c r="D532" s="3" t="s">
        <v>1353</v>
      </c>
      <c r="E532" s="3" t="s">
        <v>458</v>
      </c>
      <c r="F532" s="3" t="s">
        <v>458</v>
      </c>
      <c r="G532" s="3"/>
      <c r="H532" s="3">
        <v>4000</v>
      </c>
      <c r="I532" s="3">
        <v>0</v>
      </c>
      <c r="J532" s="3" t="s">
        <v>1246</v>
      </c>
      <c r="K532" s="3" t="s">
        <v>243</v>
      </c>
      <c r="L532" s="3" t="s">
        <v>1362</v>
      </c>
      <c r="M532" s="3" t="s">
        <v>1362</v>
      </c>
      <c r="N532" s="22">
        <v>63</v>
      </c>
      <c r="O532" s="22"/>
      <c r="P532" s="22"/>
      <c r="Q532" s="22"/>
      <c r="R532" s="22"/>
      <c r="S532" s="22"/>
      <c r="T532" s="22"/>
      <c r="U532" s="22"/>
      <c r="V532" s="22"/>
      <c r="W532" s="3"/>
      <c r="X532" s="5" t="s">
        <v>1271</v>
      </c>
      <c r="Y532" s="28">
        <f t="shared" si="3"/>
        <v>0</v>
      </c>
      <c r="Z532" s="5">
        <v>63</v>
      </c>
    </row>
    <row r="533" spans="1:26" s="29" customFormat="1" x14ac:dyDescent="0.3">
      <c r="A533" s="3">
        <v>27</v>
      </c>
      <c r="B533" s="3" t="s">
        <v>1243</v>
      </c>
      <c r="C533" s="3" t="s">
        <v>1268</v>
      </c>
      <c r="D533" s="3" t="s">
        <v>1353</v>
      </c>
      <c r="E533" s="3" t="s">
        <v>458</v>
      </c>
      <c r="F533" s="3" t="s">
        <v>458</v>
      </c>
      <c r="G533" s="3"/>
      <c r="H533" s="3">
        <v>4000</v>
      </c>
      <c r="I533" s="3">
        <v>0</v>
      </c>
      <c r="J533" s="3" t="s">
        <v>1110</v>
      </c>
      <c r="K533" s="3" t="s">
        <v>243</v>
      </c>
      <c r="L533" s="3" t="s">
        <v>1363</v>
      </c>
      <c r="M533" s="3" t="s">
        <v>1363</v>
      </c>
      <c r="N533" s="22">
        <v>1035.9999998963999</v>
      </c>
      <c r="O533" s="22"/>
      <c r="P533" s="22"/>
      <c r="Q533" s="22"/>
      <c r="R533" s="22"/>
      <c r="S533" s="22"/>
      <c r="T533" s="22"/>
      <c r="U533" s="22"/>
      <c r="V533" s="22"/>
      <c r="W533" s="3"/>
      <c r="X533" s="5" t="s">
        <v>1271</v>
      </c>
      <c r="Y533" s="28">
        <f t="shared" si="3"/>
        <v>0</v>
      </c>
      <c r="Z533" s="5">
        <v>1035.9999998963999</v>
      </c>
    </row>
    <row r="534" spans="1:26" x14ac:dyDescent="0.3">
      <c r="A534" s="3">
        <v>27</v>
      </c>
      <c r="B534" s="3" t="s">
        <v>1243</v>
      </c>
      <c r="C534" s="3" t="s">
        <v>1268</v>
      </c>
      <c r="D534" s="3" t="s">
        <v>1353</v>
      </c>
      <c r="E534" s="3" t="s">
        <v>458</v>
      </c>
      <c r="F534" s="3" t="s">
        <v>458</v>
      </c>
      <c r="G534" s="3"/>
      <c r="H534" s="3">
        <v>4000</v>
      </c>
      <c r="I534" s="3">
        <v>0</v>
      </c>
      <c r="J534" s="3" t="s">
        <v>1246</v>
      </c>
      <c r="K534" s="3" t="s">
        <v>243</v>
      </c>
      <c r="L534" s="3" t="s">
        <v>1364</v>
      </c>
      <c r="M534" s="3" t="s">
        <v>1364</v>
      </c>
      <c r="N534" s="22">
        <v>89</v>
      </c>
      <c r="O534" s="22"/>
      <c r="P534" s="22"/>
      <c r="Q534" s="22"/>
      <c r="R534" s="22"/>
      <c r="S534" s="22"/>
      <c r="T534" s="22"/>
      <c r="U534" s="22"/>
      <c r="V534" s="22"/>
      <c r="W534" s="3"/>
      <c r="X534" s="5" t="s">
        <v>1271</v>
      </c>
      <c r="Y534" s="28">
        <f t="shared" si="3"/>
        <v>0</v>
      </c>
      <c r="Z534" s="5">
        <v>89</v>
      </c>
    </row>
    <row r="535" spans="1:26" s="29" customFormat="1" x14ac:dyDescent="0.3">
      <c r="A535" s="3">
        <v>27</v>
      </c>
      <c r="B535" s="3" t="s">
        <v>1243</v>
      </c>
      <c r="C535" s="3" t="s">
        <v>1268</v>
      </c>
      <c r="D535" s="3" t="s">
        <v>1353</v>
      </c>
      <c r="E535" s="3" t="s">
        <v>458</v>
      </c>
      <c r="F535" s="3" t="s">
        <v>458</v>
      </c>
      <c r="G535" s="3"/>
      <c r="H535" s="3">
        <v>4000</v>
      </c>
      <c r="I535" s="3">
        <v>0</v>
      </c>
      <c r="J535" s="3" t="s">
        <v>1246</v>
      </c>
      <c r="K535" s="3" t="s">
        <v>243</v>
      </c>
      <c r="L535" s="3" t="s">
        <v>1365</v>
      </c>
      <c r="M535" s="3" t="s">
        <v>1365</v>
      </c>
      <c r="N535" s="22">
        <v>605</v>
      </c>
      <c r="O535" s="22"/>
      <c r="P535" s="22"/>
      <c r="Q535" s="22"/>
      <c r="R535" s="22"/>
      <c r="S535" s="22"/>
      <c r="T535" s="22"/>
      <c r="U535" s="22"/>
      <c r="V535" s="22"/>
      <c r="W535" s="3"/>
      <c r="X535" s="5" t="s">
        <v>1271</v>
      </c>
      <c r="Y535" s="28">
        <f t="shared" si="3"/>
        <v>0</v>
      </c>
      <c r="Z535" s="5">
        <v>605</v>
      </c>
    </row>
    <row r="536" spans="1:26" x14ac:dyDescent="0.3">
      <c r="A536" s="3">
        <v>27</v>
      </c>
      <c r="B536" s="3" t="s">
        <v>1243</v>
      </c>
      <c r="C536" s="3" t="s">
        <v>1268</v>
      </c>
      <c r="D536" s="3" t="s">
        <v>1353</v>
      </c>
      <c r="E536" s="3" t="s">
        <v>458</v>
      </c>
      <c r="F536" s="3" t="s">
        <v>458</v>
      </c>
      <c r="G536" s="3"/>
      <c r="H536" s="3">
        <v>4000</v>
      </c>
      <c r="I536" s="3">
        <v>0</v>
      </c>
      <c r="J536" s="3" t="s">
        <v>1246</v>
      </c>
      <c r="K536" s="3" t="s">
        <v>243</v>
      </c>
      <c r="L536" s="3" t="s">
        <v>1366</v>
      </c>
      <c r="M536" s="3" t="s">
        <v>1366</v>
      </c>
      <c r="N536" s="22">
        <v>264</v>
      </c>
      <c r="O536" s="22"/>
      <c r="P536" s="22"/>
      <c r="Q536" s="22"/>
      <c r="R536" s="22"/>
      <c r="S536" s="22"/>
      <c r="T536" s="22"/>
      <c r="U536" s="22"/>
      <c r="V536" s="22"/>
      <c r="W536" s="3"/>
      <c r="X536" s="5" t="s">
        <v>1271</v>
      </c>
      <c r="Y536" s="28">
        <f t="shared" si="3"/>
        <v>0</v>
      </c>
      <c r="Z536" s="5">
        <v>264</v>
      </c>
    </row>
    <row r="537" spans="1:26" x14ac:dyDescent="0.3">
      <c r="A537" s="3">
        <v>27</v>
      </c>
      <c r="B537" s="3" t="s">
        <v>1243</v>
      </c>
      <c r="C537" s="3" t="s">
        <v>1268</v>
      </c>
      <c r="D537" s="3" t="s">
        <v>1353</v>
      </c>
      <c r="E537" s="3" t="s">
        <v>458</v>
      </c>
      <c r="F537" s="3" t="s">
        <v>458</v>
      </c>
      <c r="G537" s="3"/>
      <c r="H537" s="3">
        <v>4000</v>
      </c>
      <c r="I537" s="3">
        <v>0</v>
      </c>
      <c r="J537" s="3" t="s">
        <v>1246</v>
      </c>
      <c r="K537" s="3" t="s">
        <v>243</v>
      </c>
      <c r="L537" s="3" t="s">
        <v>1367</v>
      </c>
      <c r="M537" s="3" t="s">
        <v>1367</v>
      </c>
      <c r="N537" s="22">
        <v>178</v>
      </c>
      <c r="O537" s="22"/>
      <c r="P537" s="22"/>
      <c r="Q537" s="22"/>
      <c r="R537" s="22"/>
      <c r="S537" s="22"/>
      <c r="T537" s="22"/>
      <c r="U537" s="22"/>
      <c r="V537" s="22"/>
      <c r="W537" s="3"/>
      <c r="X537" s="5" t="s">
        <v>1271</v>
      </c>
      <c r="Y537" s="28">
        <f t="shared" si="3"/>
        <v>0</v>
      </c>
      <c r="Z537" s="5">
        <v>178</v>
      </c>
    </row>
    <row r="538" spans="1:26" x14ac:dyDescent="0.3">
      <c r="A538" s="3">
        <v>27</v>
      </c>
      <c r="B538" s="3" t="s">
        <v>1243</v>
      </c>
      <c r="C538" s="3" t="s">
        <v>1268</v>
      </c>
      <c r="D538" s="3" t="s">
        <v>1353</v>
      </c>
      <c r="E538" s="3" t="s">
        <v>458</v>
      </c>
      <c r="F538" s="3" t="s">
        <v>458</v>
      </c>
      <c r="G538" s="3"/>
      <c r="H538" s="3">
        <v>4000</v>
      </c>
      <c r="I538" s="3">
        <v>0</v>
      </c>
      <c r="J538" s="3" t="s">
        <v>1246</v>
      </c>
      <c r="K538" s="3" t="s">
        <v>243</v>
      </c>
      <c r="L538" s="3" t="s">
        <v>1368</v>
      </c>
      <c r="M538" s="3" t="s">
        <v>1368</v>
      </c>
      <c r="N538" s="22">
        <v>171</v>
      </c>
      <c r="O538" s="22"/>
      <c r="P538" s="22"/>
      <c r="Q538" s="22"/>
      <c r="R538" s="22"/>
      <c r="S538" s="22"/>
      <c r="T538" s="22"/>
      <c r="U538" s="22"/>
      <c r="V538" s="22"/>
      <c r="W538" s="3"/>
      <c r="X538" s="5" t="s">
        <v>1271</v>
      </c>
      <c r="Y538" s="28">
        <f t="shared" si="3"/>
        <v>0</v>
      </c>
      <c r="Z538" s="5">
        <v>171</v>
      </c>
    </row>
    <row r="539" spans="1:26" x14ac:dyDescent="0.3">
      <c r="A539" s="3">
        <v>27</v>
      </c>
      <c r="B539" s="3" t="s">
        <v>1243</v>
      </c>
      <c r="C539" s="3" t="s">
        <v>1268</v>
      </c>
      <c r="D539" s="3" t="s">
        <v>1353</v>
      </c>
      <c r="E539" s="3" t="s">
        <v>458</v>
      </c>
      <c r="F539" s="3" t="s">
        <v>458</v>
      </c>
      <c r="G539" s="3"/>
      <c r="H539" s="3">
        <v>4000</v>
      </c>
      <c r="I539" s="3">
        <v>0</v>
      </c>
      <c r="J539" s="3" t="s">
        <v>1246</v>
      </c>
      <c r="K539" s="3" t="s">
        <v>243</v>
      </c>
      <c r="L539" s="3" t="s">
        <v>1369</v>
      </c>
      <c r="M539" s="3" t="s">
        <v>1369</v>
      </c>
      <c r="N539" s="22">
        <v>3900</v>
      </c>
      <c r="O539" s="22"/>
      <c r="P539" s="22"/>
      <c r="Q539" s="22"/>
      <c r="R539" s="22"/>
      <c r="S539" s="22"/>
      <c r="T539" s="22"/>
      <c r="U539" s="22"/>
      <c r="V539" s="22"/>
      <c r="W539" s="3"/>
      <c r="X539" s="5" t="s">
        <v>1271</v>
      </c>
      <c r="Y539" s="28">
        <f t="shared" si="3"/>
        <v>0</v>
      </c>
      <c r="Z539" s="5">
        <v>3900</v>
      </c>
    </row>
    <row r="540" spans="1:26" s="29" customFormat="1" x14ac:dyDescent="0.3">
      <c r="A540" s="3">
        <v>27</v>
      </c>
      <c r="B540" s="3" t="s">
        <v>1243</v>
      </c>
      <c r="C540" s="3" t="s">
        <v>1268</v>
      </c>
      <c r="D540" s="3" t="s">
        <v>1353</v>
      </c>
      <c r="E540" s="3" t="s">
        <v>458</v>
      </c>
      <c r="F540" s="3" t="s">
        <v>458</v>
      </c>
      <c r="G540" s="3"/>
      <c r="H540" s="3">
        <v>4000</v>
      </c>
      <c r="I540" s="3">
        <v>0</v>
      </c>
      <c r="J540" s="3" t="s">
        <v>1246</v>
      </c>
      <c r="K540" s="3" t="s">
        <v>243</v>
      </c>
      <c r="L540" s="3" t="s">
        <v>1370</v>
      </c>
      <c r="M540" s="3" t="s">
        <v>1370</v>
      </c>
      <c r="N540" s="22">
        <v>11</v>
      </c>
      <c r="O540" s="22"/>
      <c r="P540" s="22"/>
      <c r="Q540" s="22"/>
      <c r="R540" s="22"/>
      <c r="S540" s="22"/>
      <c r="T540" s="22"/>
      <c r="U540" s="22"/>
      <c r="V540" s="22"/>
      <c r="W540" s="3"/>
      <c r="X540" s="5" t="s">
        <v>1271</v>
      </c>
      <c r="Y540" s="28">
        <f t="shared" si="3"/>
        <v>0</v>
      </c>
      <c r="Z540" s="5">
        <v>11</v>
      </c>
    </row>
    <row r="541" spans="1:26" x14ac:dyDescent="0.3">
      <c r="A541" s="3">
        <v>27</v>
      </c>
      <c r="B541" s="3" t="s">
        <v>1243</v>
      </c>
      <c r="C541" s="3" t="s">
        <v>1268</v>
      </c>
      <c r="D541" s="3" t="s">
        <v>1353</v>
      </c>
      <c r="E541" s="3" t="s">
        <v>458</v>
      </c>
      <c r="F541" s="3" t="s">
        <v>458</v>
      </c>
      <c r="G541" s="3"/>
      <c r="H541" s="3">
        <v>4000</v>
      </c>
      <c r="I541" s="3">
        <v>0</v>
      </c>
      <c r="J541" s="3" t="s">
        <v>1110</v>
      </c>
      <c r="K541" s="3" t="s">
        <v>243</v>
      </c>
      <c r="L541" s="3" t="s">
        <v>1371</v>
      </c>
      <c r="M541" s="3" t="s">
        <v>1371</v>
      </c>
      <c r="N541" s="22">
        <v>2384</v>
      </c>
      <c r="O541" s="22"/>
      <c r="P541" s="22"/>
      <c r="Q541" s="22"/>
      <c r="R541" s="22"/>
      <c r="S541" s="22"/>
      <c r="T541" s="22"/>
      <c r="U541" s="22"/>
      <c r="V541" s="22"/>
      <c r="W541" s="3"/>
      <c r="X541" s="5" t="s">
        <v>1271</v>
      </c>
      <c r="Y541" s="28">
        <f t="shared" si="3"/>
        <v>0</v>
      </c>
      <c r="Z541" s="5">
        <v>2384</v>
      </c>
    </row>
    <row r="542" spans="1:26" x14ac:dyDescent="0.3">
      <c r="A542" s="3">
        <v>27</v>
      </c>
      <c r="B542" s="3" t="s">
        <v>1243</v>
      </c>
      <c r="C542" s="3" t="s">
        <v>1268</v>
      </c>
      <c r="D542" s="3" t="s">
        <v>1353</v>
      </c>
      <c r="E542" s="3" t="s">
        <v>458</v>
      </c>
      <c r="F542" s="3" t="s">
        <v>458</v>
      </c>
      <c r="G542" s="3"/>
      <c r="H542" s="3">
        <v>4000</v>
      </c>
      <c r="I542" s="3">
        <v>0</v>
      </c>
      <c r="J542" s="3" t="s">
        <v>1246</v>
      </c>
      <c r="K542" s="3" t="s">
        <v>243</v>
      </c>
      <c r="L542" s="3" t="s">
        <v>1372</v>
      </c>
      <c r="M542" s="3" t="s">
        <v>1372</v>
      </c>
      <c r="N542" s="22">
        <v>236</v>
      </c>
      <c r="O542" s="22"/>
      <c r="P542" s="22"/>
      <c r="Q542" s="22"/>
      <c r="R542" s="22"/>
      <c r="S542" s="22"/>
      <c r="T542" s="22"/>
      <c r="U542" s="22"/>
      <c r="V542" s="22"/>
      <c r="W542" s="3"/>
      <c r="X542" s="5" t="s">
        <v>1271</v>
      </c>
      <c r="Y542" s="28">
        <f t="shared" si="3"/>
        <v>0</v>
      </c>
      <c r="Z542" s="5">
        <v>236</v>
      </c>
    </row>
    <row r="543" spans="1:26" x14ac:dyDescent="0.3">
      <c r="A543" s="3">
        <v>27</v>
      </c>
      <c r="B543" s="3" t="s">
        <v>1243</v>
      </c>
      <c r="C543" s="3" t="s">
        <v>1268</v>
      </c>
      <c r="D543" s="3" t="s">
        <v>1353</v>
      </c>
      <c r="E543" s="3" t="s">
        <v>458</v>
      </c>
      <c r="F543" s="3" t="s">
        <v>458</v>
      </c>
      <c r="G543" s="3"/>
      <c r="H543" s="3">
        <v>4000</v>
      </c>
      <c r="I543" s="3">
        <v>0</v>
      </c>
      <c r="J543" s="3" t="s">
        <v>1246</v>
      </c>
      <c r="K543" s="3" t="s">
        <v>243</v>
      </c>
      <c r="L543" s="3" t="s">
        <v>1373</v>
      </c>
      <c r="M543" s="3" t="s">
        <v>1373</v>
      </c>
      <c r="N543" s="22">
        <v>196</v>
      </c>
      <c r="O543" s="22"/>
      <c r="P543" s="22"/>
      <c r="Q543" s="22"/>
      <c r="R543" s="22"/>
      <c r="S543" s="22"/>
      <c r="T543" s="22"/>
      <c r="U543" s="22"/>
      <c r="V543" s="22"/>
      <c r="W543" s="3"/>
      <c r="X543" s="5" t="s">
        <v>1271</v>
      </c>
      <c r="Y543" s="28">
        <f t="shared" si="3"/>
        <v>0</v>
      </c>
      <c r="Z543" s="5">
        <v>196</v>
      </c>
    </row>
    <row r="544" spans="1:26" s="29" customFormat="1" x14ac:dyDescent="0.3">
      <c r="A544" s="3">
        <v>27</v>
      </c>
      <c r="B544" s="3" t="s">
        <v>1243</v>
      </c>
      <c r="C544" s="3" t="s">
        <v>1268</v>
      </c>
      <c r="D544" s="3" t="s">
        <v>1353</v>
      </c>
      <c r="E544" s="3" t="s">
        <v>458</v>
      </c>
      <c r="F544" s="3" t="s">
        <v>458</v>
      </c>
      <c r="G544" s="3"/>
      <c r="H544" s="3">
        <v>4000</v>
      </c>
      <c r="I544" s="3">
        <v>0</v>
      </c>
      <c r="J544" s="3" t="s">
        <v>1110</v>
      </c>
      <c r="K544" s="3" t="s">
        <v>243</v>
      </c>
      <c r="L544" s="3" t="s">
        <v>1374</v>
      </c>
      <c r="M544" s="3" t="s">
        <v>1374</v>
      </c>
      <c r="N544" s="22">
        <v>1269</v>
      </c>
      <c r="O544" s="22"/>
      <c r="P544" s="22"/>
      <c r="Q544" s="22"/>
      <c r="R544" s="22"/>
      <c r="S544" s="22"/>
      <c r="T544" s="22"/>
      <c r="U544" s="22"/>
      <c r="V544" s="22"/>
      <c r="W544" s="3"/>
      <c r="X544" s="5" t="s">
        <v>1271</v>
      </c>
      <c r="Y544" s="28">
        <f t="shared" si="3"/>
        <v>0</v>
      </c>
      <c r="Z544" s="5">
        <v>1269</v>
      </c>
    </row>
    <row r="545" spans="1:26" x14ac:dyDescent="0.3">
      <c r="A545" s="3">
        <v>27</v>
      </c>
      <c r="B545" s="3" t="s">
        <v>1243</v>
      </c>
      <c r="C545" s="3" t="s">
        <v>1268</v>
      </c>
      <c r="D545" s="3" t="s">
        <v>1353</v>
      </c>
      <c r="E545" s="3" t="s">
        <v>458</v>
      </c>
      <c r="F545" s="3" t="s">
        <v>458</v>
      </c>
      <c r="G545" s="3"/>
      <c r="H545" s="3">
        <v>4000</v>
      </c>
      <c r="I545" s="3">
        <v>0</v>
      </c>
      <c r="J545" s="3" t="s">
        <v>1246</v>
      </c>
      <c r="K545" s="3" t="s">
        <v>243</v>
      </c>
      <c r="L545" s="3" t="s">
        <v>1375</v>
      </c>
      <c r="M545" s="3" t="s">
        <v>1375</v>
      </c>
      <c r="N545" s="22">
        <v>89</v>
      </c>
      <c r="O545" s="22"/>
      <c r="P545" s="22"/>
      <c r="Q545" s="22"/>
      <c r="R545" s="22"/>
      <c r="S545" s="22"/>
      <c r="T545" s="22"/>
      <c r="U545" s="22"/>
      <c r="V545" s="22"/>
      <c r="W545" s="3"/>
      <c r="X545" s="5" t="s">
        <v>1271</v>
      </c>
      <c r="Y545" s="28">
        <f t="shared" si="3"/>
        <v>0</v>
      </c>
      <c r="Z545" s="5">
        <v>89</v>
      </c>
    </row>
    <row r="546" spans="1:26" x14ac:dyDescent="0.3">
      <c r="A546" s="3">
        <v>27</v>
      </c>
      <c r="B546" s="3" t="s">
        <v>1243</v>
      </c>
      <c r="C546" s="3" t="s">
        <v>1268</v>
      </c>
      <c r="D546" s="3" t="s">
        <v>1353</v>
      </c>
      <c r="E546" s="3" t="s">
        <v>458</v>
      </c>
      <c r="F546" s="3" t="s">
        <v>458</v>
      </c>
      <c r="G546" s="3"/>
      <c r="H546" s="3">
        <v>4000</v>
      </c>
      <c r="I546" s="3">
        <v>0</v>
      </c>
      <c r="J546" s="3" t="s">
        <v>1246</v>
      </c>
      <c r="K546" s="3" t="s">
        <v>243</v>
      </c>
      <c r="L546" s="3" t="s">
        <v>1376</v>
      </c>
      <c r="M546" s="3" t="s">
        <v>1376</v>
      </c>
      <c r="N546" s="22">
        <v>100</v>
      </c>
      <c r="O546" s="22"/>
      <c r="P546" s="22"/>
      <c r="Q546" s="22"/>
      <c r="R546" s="22"/>
      <c r="S546" s="22"/>
      <c r="T546" s="22"/>
      <c r="U546" s="22"/>
      <c r="V546" s="22"/>
      <c r="W546" s="3"/>
      <c r="X546" s="5" t="s">
        <v>1271</v>
      </c>
      <c r="Y546" s="28">
        <f t="shared" si="3"/>
        <v>0</v>
      </c>
      <c r="Z546" s="5">
        <v>100</v>
      </c>
    </row>
    <row r="547" spans="1:26" x14ac:dyDescent="0.3">
      <c r="A547" s="3">
        <v>27</v>
      </c>
      <c r="B547" s="3" t="s">
        <v>1243</v>
      </c>
      <c r="C547" s="3" t="s">
        <v>1268</v>
      </c>
      <c r="D547" s="3" t="s">
        <v>1353</v>
      </c>
      <c r="E547" s="3" t="s">
        <v>458</v>
      </c>
      <c r="F547" s="3" t="s">
        <v>458</v>
      </c>
      <c r="G547" s="3"/>
      <c r="H547" s="3">
        <v>4000</v>
      </c>
      <c r="I547" s="3">
        <v>0</v>
      </c>
      <c r="J547" s="3" t="s">
        <v>1246</v>
      </c>
      <c r="K547" s="3" t="s">
        <v>243</v>
      </c>
      <c r="L547" s="3" t="s">
        <v>1377</v>
      </c>
      <c r="M547" s="3" t="s">
        <v>1377</v>
      </c>
      <c r="N547" s="22">
        <v>510</v>
      </c>
      <c r="O547" s="22"/>
      <c r="P547" s="22"/>
      <c r="Q547" s="22"/>
      <c r="R547" s="22"/>
      <c r="S547" s="22"/>
      <c r="T547" s="22"/>
      <c r="U547" s="22"/>
      <c r="V547" s="22"/>
      <c r="W547" s="3"/>
      <c r="X547" s="5" t="s">
        <v>1271</v>
      </c>
      <c r="Y547" s="28">
        <f t="shared" si="3"/>
        <v>0</v>
      </c>
      <c r="Z547" s="5">
        <v>510</v>
      </c>
    </row>
    <row r="548" spans="1:26" x14ac:dyDescent="0.3">
      <c r="A548" s="3">
        <v>27</v>
      </c>
      <c r="B548" s="3" t="s">
        <v>1243</v>
      </c>
      <c r="C548" s="3" t="s">
        <v>1268</v>
      </c>
      <c r="D548" s="3" t="s">
        <v>1353</v>
      </c>
      <c r="E548" s="3" t="s">
        <v>458</v>
      </c>
      <c r="F548" s="3" t="s">
        <v>458</v>
      </c>
      <c r="G548" s="3"/>
      <c r="H548" s="3">
        <v>4000</v>
      </c>
      <c r="I548" s="3">
        <v>0</v>
      </c>
      <c r="J548" s="3" t="s">
        <v>1110</v>
      </c>
      <c r="K548" s="3" t="s">
        <v>243</v>
      </c>
      <c r="L548" s="3" t="s">
        <v>1378</v>
      </c>
      <c r="M548" s="3" t="s">
        <v>1378</v>
      </c>
      <c r="N548" s="22">
        <v>85</v>
      </c>
      <c r="O548" s="22"/>
      <c r="P548" s="22"/>
      <c r="Q548" s="22"/>
      <c r="R548" s="22"/>
      <c r="S548" s="22"/>
      <c r="T548" s="22"/>
      <c r="U548" s="22"/>
      <c r="V548" s="22"/>
      <c r="W548" s="3"/>
      <c r="X548" s="5" t="s">
        <v>1271</v>
      </c>
      <c r="Y548" s="28">
        <f t="shared" si="3"/>
        <v>0</v>
      </c>
      <c r="Z548" s="5">
        <v>85</v>
      </c>
    </row>
    <row r="549" spans="1:26" s="29" customFormat="1" x14ac:dyDescent="0.3">
      <c r="A549" s="3">
        <v>27</v>
      </c>
      <c r="B549" s="3" t="s">
        <v>1243</v>
      </c>
      <c r="C549" s="3" t="s">
        <v>1268</v>
      </c>
      <c r="D549" s="3" t="s">
        <v>1353</v>
      </c>
      <c r="E549" s="3" t="s">
        <v>458</v>
      </c>
      <c r="F549" s="3" t="s">
        <v>458</v>
      </c>
      <c r="G549" s="3"/>
      <c r="H549" s="3">
        <v>4000</v>
      </c>
      <c r="I549" s="3">
        <v>0</v>
      </c>
      <c r="J549" s="3" t="s">
        <v>1246</v>
      </c>
      <c r="K549" s="3" t="s">
        <v>243</v>
      </c>
      <c r="L549" s="3" t="s">
        <v>1379</v>
      </c>
      <c r="M549" s="3" t="s">
        <v>1379</v>
      </c>
      <c r="N549" s="22">
        <v>1491</v>
      </c>
      <c r="O549" s="22"/>
      <c r="P549" s="22"/>
      <c r="Q549" s="22"/>
      <c r="R549" s="22"/>
      <c r="S549" s="22"/>
      <c r="T549" s="22"/>
      <c r="U549" s="22"/>
      <c r="V549" s="22"/>
      <c r="W549" s="3"/>
      <c r="X549" s="5" t="s">
        <v>1271</v>
      </c>
      <c r="Y549" s="28">
        <f t="shared" si="3"/>
        <v>0</v>
      </c>
      <c r="Z549" s="5">
        <v>1491</v>
      </c>
    </row>
    <row r="550" spans="1:26" s="29" customFormat="1" x14ac:dyDescent="0.3">
      <c r="A550" s="3">
        <v>27</v>
      </c>
      <c r="B550" s="3" t="s">
        <v>1243</v>
      </c>
      <c r="C550" s="3" t="s">
        <v>1268</v>
      </c>
      <c r="D550" s="3" t="s">
        <v>1353</v>
      </c>
      <c r="E550" s="3" t="s">
        <v>458</v>
      </c>
      <c r="F550" s="3" t="s">
        <v>458</v>
      </c>
      <c r="G550" s="3"/>
      <c r="H550" s="3">
        <v>4000</v>
      </c>
      <c r="I550" s="3">
        <v>0</v>
      </c>
      <c r="J550" s="3" t="s">
        <v>1110</v>
      </c>
      <c r="K550" s="3" t="s">
        <v>243</v>
      </c>
      <c r="L550" s="3" t="s">
        <v>1380</v>
      </c>
      <c r="M550" s="3" t="s">
        <v>1380</v>
      </c>
      <c r="N550" s="22">
        <v>1925</v>
      </c>
      <c r="O550" s="22"/>
      <c r="P550" s="22"/>
      <c r="Q550" s="22"/>
      <c r="R550" s="22"/>
      <c r="S550" s="22"/>
      <c r="T550" s="22"/>
      <c r="U550" s="22"/>
      <c r="V550" s="22"/>
      <c r="W550" s="3"/>
      <c r="X550" s="5" t="s">
        <v>1271</v>
      </c>
      <c r="Y550" s="28">
        <f t="shared" si="3"/>
        <v>0</v>
      </c>
      <c r="Z550" s="5">
        <v>1925</v>
      </c>
    </row>
    <row r="551" spans="1:26" x14ac:dyDescent="0.3">
      <c r="A551" s="3">
        <v>27</v>
      </c>
      <c r="B551" s="3" t="s">
        <v>1243</v>
      </c>
      <c r="C551" s="3" t="s">
        <v>1268</v>
      </c>
      <c r="D551" s="3" t="s">
        <v>1353</v>
      </c>
      <c r="E551" s="3" t="s">
        <v>458</v>
      </c>
      <c r="F551" s="3" t="s">
        <v>458</v>
      </c>
      <c r="G551" s="3"/>
      <c r="H551" s="3">
        <v>4000</v>
      </c>
      <c r="I551" s="3">
        <v>0</v>
      </c>
      <c r="J551" s="3" t="s">
        <v>1110</v>
      </c>
      <c r="K551" s="3" t="s">
        <v>243</v>
      </c>
      <c r="L551" s="3" t="s">
        <v>1381</v>
      </c>
      <c r="M551" s="3" t="s">
        <v>1381</v>
      </c>
      <c r="N551" s="22">
        <v>3048</v>
      </c>
      <c r="O551" s="22"/>
      <c r="P551" s="22"/>
      <c r="Q551" s="22"/>
      <c r="R551" s="22"/>
      <c r="S551" s="22"/>
      <c r="T551" s="22"/>
      <c r="U551" s="22"/>
      <c r="V551" s="22"/>
      <c r="W551" s="3"/>
      <c r="X551" s="5" t="s">
        <v>1271</v>
      </c>
      <c r="Y551" s="28">
        <f t="shared" si="3"/>
        <v>0</v>
      </c>
      <c r="Z551" s="5">
        <v>3048</v>
      </c>
    </row>
    <row r="552" spans="1:26" x14ac:dyDescent="0.3">
      <c r="A552" s="3">
        <v>27</v>
      </c>
      <c r="B552" s="3" t="s">
        <v>1243</v>
      </c>
      <c r="C552" s="3" t="s">
        <v>1268</v>
      </c>
      <c r="D552" s="3" t="s">
        <v>1353</v>
      </c>
      <c r="E552" s="3" t="s">
        <v>458</v>
      </c>
      <c r="F552" s="3" t="s">
        <v>458</v>
      </c>
      <c r="G552" s="3"/>
      <c r="H552" s="3">
        <v>4000</v>
      </c>
      <c r="I552" s="3">
        <v>0</v>
      </c>
      <c r="J552" s="3" t="s">
        <v>1110</v>
      </c>
      <c r="K552" s="3" t="s">
        <v>243</v>
      </c>
      <c r="L552" s="3" t="s">
        <v>1382</v>
      </c>
      <c r="M552" s="3" t="s">
        <v>1382</v>
      </c>
      <c r="N552" s="22">
        <v>4286</v>
      </c>
      <c r="O552" s="22"/>
      <c r="P552" s="22"/>
      <c r="Q552" s="22"/>
      <c r="R552" s="22"/>
      <c r="S552" s="22"/>
      <c r="T552" s="22"/>
      <c r="U552" s="22"/>
      <c r="V552" s="22"/>
      <c r="W552" s="3"/>
      <c r="X552" s="5" t="s">
        <v>1271</v>
      </c>
      <c r="Y552" s="28">
        <f t="shared" si="3"/>
        <v>0</v>
      </c>
      <c r="Z552" s="5">
        <v>4286</v>
      </c>
    </row>
    <row r="553" spans="1:26" x14ac:dyDescent="0.3">
      <c r="A553" s="3">
        <v>27</v>
      </c>
      <c r="B553" s="3" t="s">
        <v>1243</v>
      </c>
      <c r="C553" s="3" t="s">
        <v>1268</v>
      </c>
      <c r="D553" s="3" t="s">
        <v>1353</v>
      </c>
      <c r="E553" s="3" t="s">
        <v>458</v>
      </c>
      <c r="F553" s="3" t="s">
        <v>458</v>
      </c>
      <c r="G553" s="3"/>
      <c r="H553" s="3">
        <v>4000</v>
      </c>
      <c r="I553" s="3">
        <v>0</v>
      </c>
      <c r="J553" s="3" t="s">
        <v>1246</v>
      </c>
      <c r="K553" s="3" t="s">
        <v>243</v>
      </c>
      <c r="L553" s="3" t="s">
        <v>1383</v>
      </c>
      <c r="M553" s="3" t="s">
        <v>1383</v>
      </c>
      <c r="N553" s="22">
        <v>2208</v>
      </c>
      <c r="O553" s="22"/>
      <c r="P553" s="22"/>
      <c r="Q553" s="22"/>
      <c r="R553" s="22"/>
      <c r="S553" s="22"/>
      <c r="T553" s="22"/>
      <c r="U553" s="22"/>
      <c r="V553" s="22"/>
      <c r="W553" s="3"/>
      <c r="X553" s="5" t="s">
        <v>1271</v>
      </c>
      <c r="Y553" s="28">
        <f t="shared" si="3"/>
        <v>0</v>
      </c>
      <c r="Z553" s="5">
        <v>2208</v>
      </c>
    </row>
    <row r="554" spans="1:26" s="29" customFormat="1" x14ac:dyDescent="0.3">
      <c r="A554" s="3">
        <v>27</v>
      </c>
      <c r="B554" s="3" t="s">
        <v>1243</v>
      </c>
      <c r="C554" s="3" t="s">
        <v>1268</v>
      </c>
      <c r="D554" s="3" t="s">
        <v>1353</v>
      </c>
      <c r="E554" s="3" t="s">
        <v>458</v>
      </c>
      <c r="F554" s="3" t="s">
        <v>458</v>
      </c>
      <c r="G554" s="3"/>
      <c r="H554" s="3">
        <v>4000</v>
      </c>
      <c r="I554" s="3">
        <v>0</v>
      </c>
      <c r="J554" s="3" t="s">
        <v>1246</v>
      </c>
      <c r="K554" s="3" t="s">
        <v>243</v>
      </c>
      <c r="L554" s="3" t="s">
        <v>1384</v>
      </c>
      <c r="M554" s="3" t="s">
        <v>1384</v>
      </c>
      <c r="N554" s="22">
        <v>447</v>
      </c>
      <c r="O554" s="22"/>
      <c r="P554" s="22"/>
      <c r="Q554" s="22"/>
      <c r="R554" s="22"/>
      <c r="S554" s="22"/>
      <c r="T554" s="22"/>
      <c r="U554" s="22"/>
      <c r="V554" s="22"/>
      <c r="W554" s="3"/>
      <c r="X554" s="5" t="s">
        <v>1271</v>
      </c>
      <c r="Y554" s="28">
        <f t="shared" ref="Y554:Y617" si="4">N554-Z554</f>
        <v>0</v>
      </c>
      <c r="Z554" s="5">
        <v>447</v>
      </c>
    </row>
    <row r="555" spans="1:26" x14ac:dyDescent="0.3">
      <c r="A555" s="3">
        <v>27</v>
      </c>
      <c r="B555" s="3" t="s">
        <v>1243</v>
      </c>
      <c r="C555" s="3" t="s">
        <v>1268</v>
      </c>
      <c r="D555" s="3" t="s">
        <v>1353</v>
      </c>
      <c r="E555" s="3" t="s">
        <v>458</v>
      </c>
      <c r="F555" s="3" t="s">
        <v>458</v>
      </c>
      <c r="G555" s="3"/>
      <c r="H555" s="3">
        <v>4000</v>
      </c>
      <c r="I555" s="3">
        <v>0</v>
      </c>
      <c r="J555" s="3" t="s">
        <v>1246</v>
      </c>
      <c r="K555" s="3" t="s">
        <v>243</v>
      </c>
      <c r="L555" s="3" t="s">
        <v>1385</v>
      </c>
      <c r="M555" s="3" t="s">
        <v>1385</v>
      </c>
      <c r="N555" s="22">
        <v>147</v>
      </c>
      <c r="O555" s="22"/>
      <c r="P555" s="22"/>
      <c r="Q555" s="22"/>
      <c r="R555" s="22"/>
      <c r="S555" s="22"/>
      <c r="T555" s="22"/>
      <c r="U555" s="22"/>
      <c r="V555" s="22"/>
      <c r="W555" s="3"/>
      <c r="X555" s="5" t="s">
        <v>1271</v>
      </c>
      <c r="Y555" s="28">
        <f t="shared" si="4"/>
        <v>0</v>
      </c>
      <c r="Z555" s="5">
        <v>147</v>
      </c>
    </row>
    <row r="556" spans="1:26" x14ac:dyDescent="0.3">
      <c r="A556" s="3">
        <v>27</v>
      </c>
      <c r="B556" s="3" t="s">
        <v>1243</v>
      </c>
      <c r="C556" s="3" t="s">
        <v>1268</v>
      </c>
      <c r="D556" s="3" t="s">
        <v>1353</v>
      </c>
      <c r="E556" s="3" t="s">
        <v>458</v>
      </c>
      <c r="F556" s="3" t="s">
        <v>458</v>
      </c>
      <c r="G556" s="3"/>
      <c r="H556" s="3">
        <v>4000</v>
      </c>
      <c r="I556" s="3">
        <v>0</v>
      </c>
      <c r="J556" s="3" t="s">
        <v>1246</v>
      </c>
      <c r="K556" s="3" t="s">
        <v>243</v>
      </c>
      <c r="L556" s="3" t="s">
        <v>1386</v>
      </c>
      <c r="M556" s="3" t="s">
        <v>1386</v>
      </c>
      <c r="N556" s="22">
        <v>11704</v>
      </c>
      <c r="O556" s="22"/>
      <c r="P556" s="22"/>
      <c r="Q556" s="22"/>
      <c r="R556" s="22"/>
      <c r="S556" s="22"/>
      <c r="T556" s="22"/>
      <c r="U556" s="22"/>
      <c r="V556" s="22"/>
      <c r="W556" s="3"/>
      <c r="X556" s="5" t="s">
        <v>1271</v>
      </c>
      <c r="Y556" s="28">
        <f t="shared" si="4"/>
        <v>0</v>
      </c>
      <c r="Z556" s="5">
        <v>11704</v>
      </c>
    </row>
    <row r="557" spans="1:26" x14ac:dyDescent="0.3">
      <c r="A557" s="3">
        <v>27</v>
      </c>
      <c r="B557" s="3" t="s">
        <v>1243</v>
      </c>
      <c r="C557" s="3" t="s">
        <v>1268</v>
      </c>
      <c r="D557" s="3" t="s">
        <v>1353</v>
      </c>
      <c r="E557" s="3" t="s">
        <v>458</v>
      </c>
      <c r="F557" s="3" t="s">
        <v>458</v>
      </c>
      <c r="G557" s="3"/>
      <c r="H557" s="3">
        <v>4000</v>
      </c>
      <c r="I557" s="3">
        <v>0</v>
      </c>
      <c r="J557" s="3" t="s">
        <v>1246</v>
      </c>
      <c r="K557" s="3" t="s">
        <v>243</v>
      </c>
      <c r="L557" s="3" t="s">
        <v>1387</v>
      </c>
      <c r="M557" s="3" t="s">
        <v>1387</v>
      </c>
      <c r="N557" s="22">
        <v>570</v>
      </c>
      <c r="O557" s="22"/>
      <c r="P557" s="22"/>
      <c r="Q557" s="22"/>
      <c r="R557" s="22"/>
      <c r="S557" s="22"/>
      <c r="T557" s="22"/>
      <c r="U557" s="22"/>
      <c r="V557" s="22"/>
      <c r="W557" s="3"/>
      <c r="X557" s="5" t="s">
        <v>1271</v>
      </c>
      <c r="Y557" s="28">
        <f t="shared" si="4"/>
        <v>0</v>
      </c>
      <c r="Z557" s="5">
        <v>570</v>
      </c>
    </row>
    <row r="558" spans="1:26" x14ac:dyDescent="0.3">
      <c r="A558" s="3">
        <v>27</v>
      </c>
      <c r="B558" s="3" t="s">
        <v>1243</v>
      </c>
      <c r="C558" s="3" t="s">
        <v>1268</v>
      </c>
      <c r="D558" s="3" t="s">
        <v>1353</v>
      </c>
      <c r="E558" s="3" t="s">
        <v>458</v>
      </c>
      <c r="F558" s="3" t="s">
        <v>458</v>
      </c>
      <c r="G558" s="3"/>
      <c r="H558" s="3">
        <v>4000</v>
      </c>
      <c r="I558" s="3">
        <v>0</v>
      </c>
      <c r="J558" s="3" t="s">
        <v>1110</v>
      </c>
      <c r="K558" s="3" t="s">
        <v>243</v>
      </c>
      <c r="L558" s="3" t="s">
        <v>1388</v>
      </c>
      <c r="M558" s="3" t="s">
        <v>1388</v>
      </c>
      <c r="N558" s="22">
        <v>1364</v>
      </c>
      <c r="O558" s="22"/>
      <c r="P558" s="22"/>
      <c r="Q558" s="22"/>
      <c r="R558" s="22"/>
      <c r="S558" s="22"/>
      <c r="T558" s="22"/>
      <c r="U558" s="22"/>
      <c r="V558" s="22"/>
      <c r="W558" s="3"/>
      <c r="X558" s="5" t="s">
        <v>1271</v>
      </c>
      <c r="Y558" s="28">
        <f t="shared" si="4"/>
        <v>0</v>
      </c>
      <c r="Z558" s="5">
        <v>1364</v>
      </c>
    </row>
    <row r="559" spans="1:26" x14ac:dyDescent="0.3">
      <c r="A559" s="3">
        <v>27</v>
      </c>
      <c r="B559" s="3" t="s">
        <v>1243</v>
      </c>
      <c r="C559" s="3" t="s">
        <v>1268</v>
      </c>
      <c r="D559" s="3" t="s">
        <v>1353</v>
      </c>
      <c r="E559" s="3" t="s">
        <v>458</v>
      </c>
      <c r="F559" s="3" t="s">
        <v>458</v>
      </c>
      <c r="G559" s="3"/>
      <c r="H559" s="3">
        <v>4000</v>
      </c>
      <c r="I559" s="3">
        <v>0</v>
      </c>
      <c r="J559" s="3" t="s">
        <v>1246</v>
      </c>
      <c r="K559" s="3" t="s">
        <v>243</v>
      </c>
      <c r="L559" s="3" t="s">
        <v>1389</v>
      </c>
      <c r="M559" s="3" t="s">
        <v>1389</v>
      </c>
      <c r="N559" s="22">
        <v>506</v>
      </c>
      <c r="O559" s="22"/>
      <c r="P559" s="22"/>
      <c r="Q559" s="22"/>
      <c r="R559" s="22"/>
      <c r="S559" s="22"/>
      <c r="T559" s="22"/>
      <c r="U559" s="22"/>
      <c r="V559" s="22"/>
      <c r="W559" s="3"/>
      <c r="X559" s="5" t="s">
        <v>1271</v>
      </c>
      <c r="Y559" s="28">
        <f t="shared" si="4"/>
        <v>0</v>
      </c>
      <c r="Z559" s="5">
        <v>506</v>
      </c>
    </row>
    <row r="560" spans="1:26" x14ac:dyDescent="0.3">
      <c r="A560" s="3">
        <v>27</v>
      </c>
      <c r="B560" s="3" t="s">
        <v>1243</v>
      </c>
      <c r="C560" s="3" t="s">
        <v>1268</v>
      </c>
      <c r="D560" s="3" t="s">
        <v>1353</v>
      </c>
      <c r="E560" s="3" t="s">
        <v>458</v>
      </c>
      <c r="F560" s="3" t="s">
        <v>458</v>
      </c>
      <c r="G560" s="3"/>
      <c r="H560" s="3">
        <v>4000</v>
      </c>
      <c r="I560" s="3">
        <v>0</v>
      </c>
      <c r="J560" s="3" t="s">
        <v>1110</v>
      </c>
      <c r="K560" s="3" t="s">
        <v>243</v>
      </c>
      <c r="L560" s="3" t="s">
        <v>1390</v>
      </c>
      <c r="M560" s="3" t="s">
        <v>1390</v>
      </c>
      <c r="N560" s="22">
        <v>1430</v>
      </c>
      <c r="O560" s="22"/>
      <c r="P560" s="22"/>
      <c r="Q560" s="22"/>
      <c r="R560" s="22"/>
      <c r="S560" s="22"/>
      <c r="T560" s="22"/>
      <c r="U560" s="22"/>
      <c r="V560" s="22"/>
      <c r="W560" s="3"/>
      <c r="X560" s="5" t="s">
        <v>1271</v>
      </c>
      <c r="Y560" s="28">
        <f t="shared" si="4"/>
        <v>0</v>
      </c>
      <c r="Z560" s="5">
        <v>1430</v>
      </c>
    </row>
    <row r="561" spans="1:26" x14ac:dyDescent="0.3">
      <c r="A561" s="3">
        <v>27</v>
      </c>
      <c r="B561" s="3" t="s">
        <v>1243</v>
      </c>
      <c r="C561" s="3" t="s">
        <v>1268</v>
      </c>
      <c r="D561" s="3" t="s">
        <v>1353</v>
      </c>
      <c r="E561" s="3" t="s">
        <v>458</v>
      </c>
      <c r="F561" s="3" t="s">
        <v>458</v>
      </c>
      <c r="G561" s="3"/>
      <c r="H561" s="3">
        <v>4000</v>
      </c>
      <c r="I561" s="3">
        <v>0</v>
      </c>
      <c r="J561" s="3" t="s">
        <v>1246</v>
      </c>
      <c r="K561" s="3" t="s">
        <v>243</v>
      </c>
      <c r="L561" s="3" t="s">
        <v>1391</v>
      </c>
      <c r="M561" s="3" t="s">
        <v>1391</v>
      </c>
      <c r="N561" s="22">
        <v>611</v>
      </c>
      <c r="O561" s="22"/>
      <c r="P561" s="22"/>
      <c r="Q561" s="22"/>
      <c r="R561" s="22"/>
      <c r="S561" s="22"/>
      <c r="T561" s="22"/>
      <c r="U561" s="22"/>
      <c r="V561" s="22"/>
      <c r="W561" s="3"/>
      <c r="X561" s="5" t="s">
        <v>1271</v>
      </c>
      <c r="Y561" s="28">
        <f t="shared" si="4"/>
        <v>0</v>
      </c>
      <c r="Z561" s="5">
        <v>611</v>
      </c>
    </row>
    <row r="562" spans="1:26" s="29" customFormat="1" x14ac:dyDescent="0.3">
      <c r="A562" s="3">
        <v>27</v>
      </c>
      <c r="B562" s="3" t="s">
        <v>1243</v>
      </c>
      <c r="C562" s="3" t="s">
        <v>1268</v>
      </c>
      <c r="D562" s="3" t="s">
        <v>1353</v>
      </c>
      <c r="E562" s="3" t="s">
        <v>458</v>
      </c>
      <c r="F562" s="3" t="s">
        <v>458</v>
      </c>
      <c r="G562" s="3"/>
      <c r="H562" s="3">
        <v>4000</v>
      </c>
      <c r="I562" s="3">
        <v>0</v>
      </c>
      <c r="J562" s="3" t="s">
        <v>1110</v>
      </c>
      <c r="K562" s="3" t="s">
        <v>243</v>
      </c>
      <c r="L562" s="3" t="s">
        <v>1392</v>
      </c>
      <c r="M562" s="3" t="s">
        <v>1392</v>
      </c>
      <c r="N562" s="22">
        <v>1445</v>
      </c>
      <c r="O562" s="22"/>
      <c r="P562" s="22"/>
      <c r="Q562" s="22"/>
      <c r="R562" s="22"/>
      <c r="S562" s="22"/>
      <c r="T562" s="22"/>
      <c r="U562" s="22"/>
      <c r="V562" s="22"/>
      <c r="W562" s="3"/>
      <c r="X562" s="5" t="s">
        <v>1271</v>
      </c>
      <c r="Y562" s="28">
        <f t="shared" si="4"/>
        <v>0</v>
      </c>
      <c r="Z562" s="5">
        <v>1445</v>
      </c>
    </row>
    <row r="563" spans="1:26" x14ac:dyDescent="0.3">
      <c r="A563" s="3">
        <v>27</v>
      </c>
      <c r="B563" s="3" t="s">
        <v>1243</v>
      </c>
      <c r="C563" s="3" t="s">
        <v>1268</v>
      </c>
      <c r="D563" s="3" t="s">
        <v>1353</v>
      </c>
      <c r="E563" s="3" t="s">
        <v>458</v>
      </c>
      <c r="F563" s="3" t="s">
        <v>458</v>
      </c>
      <c r="G563" s="3"/>
      <c r="H563" s="3">
        <v>4000</v>
      </c>
      <c r="I563" s="3">
        <v>0</v>
      </c>
      <c r="J563" s="3" t="s">
        <v>1246</v>
      </c>
      <c r="K563" s="3" t="s">
        <v>243</v>
      </c>
      <c r="L563" s="3" t="s">
        <v>1393</v>
      </c>
      <c r="M563" s="3" t="s">
        <v>1393</v>
      </c>
      <c r="N563" s="22">
        <v>183</v>
      </c>
      <c r="O563" s="22"/>
      <c r="P563" s="22"/>
      <c r="Q563" s="22"/>
      <c r="R563" s="22"/>
      <c r="S563" s="22"/>
      <c r="T563" s="22"/>
      <c r="U563" s="22"/>
      <c r="V563" s="22"/>
      <c r="W563" s="3"/>
      <c r="X563" s="5" t="s">
        <v>1271</v>
      </c>
      <c r="Y563" s="28">
        <f t="shared" si="4"/>
        <v>0</v>
      </c>
      <c r="Z563" s="5">
        <v>183</v>
      </c>
    </row>
    <row r="564" spans="1:26" x14ac:dyDescent="0.3">
      <c r="A564" s="3">
        <v>27</v>
      </c>
      <c r="B564" s="3" t="s">
        <v>1243</v>
      </c>
      <c r="C564" s="3" t="s">
        <v>1268</v>
      </c>
      <c r="D564" s="3" t="s">
        <v>1353</v>
      </c>
      <c r="E564" s="3" t="s">
        <v>458</v>
      </c>
      <c r="F564" s="3" t="s">
        <v>458</v>
      </c>
      <c r="G564" s="3"/>
      <c r="H564" s="3">
        <v>4000</v>
      </c>
      <c r="I564" s="3">
        <v>0</v>
      </c>
      <c r="J564" s="3" t="s">
        <v>1110</v>
      </c>
      <c r="K564" s="3" t="s">
        <v>243</v>
      </c>
      <c r="L564" s="3" t="s">
        <v>1394</v>
      </c>
      <c r="M564" s="3" t="s">
        <v>1394</v>
      </c>
      <c r="N564" s="22">
        <v>320</v>
      </c>
      <c r="O564" s="22"/>
      <c r="P564" s="22"/>
      <c r="Q564" s="22"/>
      <c r="R564" s="22"/>
      <c r="S564" s="22"/>
      <c r="T564" s="22"/>
      <c r="U564" s="22"/>
      <c r="V564" s="22"/>
      <c r="W564" s="3"/>
      <c r="X564" s="5" t="s">
        <v>1271</v>
      </c>
      <c r="Y564" s="28">
        <f t="shared" si="4"/>
        <v>0</v>
      </c>
      <c r="Z564" s="5">
        <v>320</v>
      </c>
    </row>
    <row r="565" spans="1:26" x14ac:dyDescent="0.3">
      <c r="A565" s="3">
        <v>27</v>
      </c>
      <c r="B565" s="3" t="s">
        <v>1243</v>
      </c>
      <c r="C565" s="3" t="s">
        <v>1268</v>
      </c>
      <c r="D565" s="3" t="s">
        <v>1353</v>
      </c>
      <c r="E565" s="3" t="s">
        <v>458</v>
      </c>
      <c r="F565" s="3" t="s">
        <v>458</v>
      </c>
      <c r="G565" s="3"/>
      <c r="H565" s="3">
        <v>4000</v>
      </c>
      <c r="I565" s="3">
        <v>0</v>
      </c>
      <c r="J565" s="3" t="s">
        <v>1110</v>
      </c>
      <c r="K565" s="3" t="s">
        <v>243</v>
      </c>
      <c r="L565" s="3" t="s">
        <v>1395</v>
      </c>
      <c r="M565" s="3" t="s">
        <v>1395</v>
      </c>
      <c r="N565" s="22">
        <v>3955</v>
      </c>
      <c r="O565" s="22"/>
      <c r="P565" s="22"/>
      <c r="Q565" s="22"/>
      <c r="R565" s="22"/>
      <c r="S565" s="22"/>
      <c r="T565" s="22"/>
      <c r="U565" s="22"/>
      <c r="V565" s="22"/>
      <c r="W565" s="3"/>
      <c r="X565" s="5" t="s">
        <v>1271</v>
      </c>
      <c r="Y565" s="28">
        <f t="shared" si="4"/>
        <v>0</v>
      </c>
      <c r="Z565" s="5">
        <v>3955</v>
      </c>
    </row>
    <row r="566" spans="1:26" x14ac:dyDescent="0.3">
      <c r="A566" s="3">
        <v>27</v>
      </c>
      <c r="B566" s="3" t="s">
        <v>1243</v>
      </c>
      <c r="C566" s="3" t="s">
        <v>1268</v>
      </c>
      <c r="D566" s="3" t="s">
        <v>1353</v>
      </c>
      <c r="E566" s="3" t="s">
        <v>458</v>
      </c>
      <c r="F566" s="3" t="s">
        <v>458</v>
      </c>
      <c r="G566" s="3"/>
      <c r="H566" s="3">
        <v>4000</v>
      </c>
      <c r="I566" s="3">
        <v>0</v>
      </c>
      <c r="J566" s="3" t="s">
        <v>1110</v>
      </c>
      <c r="K566" s="3" t="s">
        <v>243</v>
      </c>
      <c r="L566" s="3" t="s">
        <v>1396</v>
      </c>
      <c r="M566" s="3" t="s">
        <v>1396</v>
      </c>
      <c r="N566" s="22">
        <v>944</v>
      </c>
      <c r="O566" s="22"/>
      <c r="P566" s="22"/>
      <c r="Q566" s="22"/>
      <c r="R566" s="22"/>
      <c r="S566" s="22"/>
      <c r="T566" s="22"/>
      <c r="U566" s="22"/>
      <c r="V566" s="22"/>
      <c r="W566" s="3"/>
      <c r="X566" s="5" t="s">
        <v>1271</v>
      </c>
      <c r="Y566" s="28">
        <f t="shared" si="4"/>
        <v>0</v>
      </c>
      <c r="Z566" s="5">
        <v>944</v>
      </c>
    </row>
    <row r="567" spans="1:26" x14ac:dyDescent="0.3">
      <c r="A567" s="3">
        <v>27</v>
      </c>
      <c r="B567" s="3" t="s">
        <v>1243</v>
      </c>
      <c r="C567" s="3" t="s">
        <v>1268</v>
      </c>
      <c r="D567" s="3" t="s">
        <v>1353</v>
      </c>
      <c r="E567" s="3" t="s">
        <v>458</v>
      </c>
      <c r="F567" s="3" t="s">
        <v>458</v>
      </c>
      <c r="G567" s="3"/>
      <c r="H567" s="3">
        <v>4000</v>
      </c>
      <c r="I567" s="3">
        <v>0</v>
      </c>
      <c r="J567" s="3" t="s">
        <v>1110</v>
      </c>
      <c r="K567" s="3" t="s">
        <v>243</v>
      </c>
      <c r="L567" s="3" t="s">
        <v>1397</v>
      </c>
      <c r="M567" s="3" t="s">
        <v>1397</v>
      </c>
      <c r="N567" s="22">
        <v>1556</v>
      </c>
      <c r="O567" s="22"/>
      <c r="P567" s="22"/>
      <c r="Q567" s="22"/>
      <c r="R567" s="22"/>
      <c r="S567" s="22"/>
      <c r="T567" s="22"/>
      <c r="U567" s="22"/>
      <c r="V567" s="22"/>
      <c r="W567" s="3"/>
      <c r="X567" s="5" t="s">
        <v>1271</v>
      </c>
      <c r="Y567" s="28">
        <f t="shared" si="4"/>
        <v>0</v>
      </c>
      <c r="Z567" s="5">
        <v>1556</v>
      </c>
    </row>
    <row r="568" spans="1:26" x14ac:dyDescent="0.3">
      <c r="A568" s="3">
        <v>27</v>
      </c>
      <c r="B568" s="3" t="s">
        <v>1243</v>
      </c>
      <c r="C568" s="3" t="s">
        <v>1268</v>
      </c>
      <c r="D568" s="3" t="s">
        <v>1353</v>
      </c>
      <c r="E568" s="3" t="s">
        <v>458</v>
      </c>
      <c r="F568" s="3" t="s">
        <v>458</v>
      </c>
      <c r="G568" s="3"/>
      <c r="H568" s="3">
        <v>4000</v>
      </c>
      <c r="I568" s="3">
        <v>0</v>
      </c>
      <c r="J568" s="3" t="s">
        <v>1246</v>
      </c>
      <c r="K568" s="3" t="s">
        <v>243</v>
      </c>
      <c r="L568" s="3" t="s">
        <v>1398</v>
      </c>
      <c r="M568" s="3" t="s">
        <v>1398</v>
      </c>
      <c r="N568" s="22">
        <v>1647</v>
      </c>
      <c r="O568" s="22"/>
      <c r="P568" s="22"/>
      <c r="Q568" s="22"/>
      <c r="R568" s="22"/>
      <c r="S568" s="22"/>
      <c r="T568" s="22"/>
      <c r="U568" s="22"/>
      <c r="V568" s="22"/>
      <c r="W568" s="3"/>
      <c r="X568" s="5" t="s">
        <v>1271</v>
      </c>
      <c r="Y568" s="28">
        <f t="shared" si="4"/>
        <v>0</v>
      </c>
      <c r="Z568" s="5">
        <v>1647</v>
      </c>
    </row>
    <row r="569" spans="1:26" x14ac:dyDescent="0.3">
      <c r="A569" s="3">
        <v>27</v>
      </c>
      <c r="B569" s="3" t="s">
        <v>1243</v>
      </c>
      <c r="C569" s="3" t="s">
        <v>1268</v>
      </c>
      <c r="D569" s="3" t="s">
        <v>1353</v>
      </c>
      <c r="E569" s="3" t="s">
        <v>458</v>
      </c>
      <c r="F569" s="3" t="s">
        <v>458</v>
      </c>
      <c r="G569" s="3"/>
      <c r="H569" s="3">
        <v>4000</v>
      </c>
      <c r="I569" s="3">
        <v>0</v>
      </c>
      <c r="J569" s="3" t="s">
        <v>1246</v>
      </c>
      <c r="K569" s="3" t="s">
        <v>243</v>
      </c>
      <c r="L569" s="3" t="s">
        <v>1399</v>
      </c>
      <c r="M569" s="3" t="s">
        <v>1399</v>
      </c>
      <c r="N569" s="22">
        <v>3335</v>
      </c>
      <c r="O569" s="22"/>
      <c r="P569" s="22"/>
      <c r="Q569" s="22"/>
      <c r="R569" s="22"/>
      <c r="S569" s="22"/>
      <c r="T569" s="22"/>
      <c r="U569" s="22"/>
      <c r="V569" s="22"/>
      <c r="W569" s="3"/>
      <c r="X569" s="5" t="s">
        <v>1271</v>
      </c>
      <c r="Y569" s="28">
        <f t="shared" si="4"/>
        <v>0</v>
      </c>
      <c r="Z569" s="5">
        <v>3335</v>
      </c>
    </row>
    <row r="570" spans="1:26" x14ac:dyDescent="0.3">
      <c r="A570" s="3">
        <v>27</v>
      </c>
      <c r="B570" s="3" t="s">
        <v>1243</v>
      </c>
      <c r="C570" s="3" t="s">
        <v>1268</v>
      </c>
      <c r="D570" s="3" t="s">
        <v>1353</v>
      </c>
      <c r="E570" s="3" t="s">
        <v>458</v>
      </c>
      <c r="F570" s="3" t="s">
        <v>458</v>
      </c>
      <c r="G570" s="3"/>
      <c r="H570" s="3">
        <v>4000</v>
      </c>
      <c r="I570" s="3">
        <v>0</v>
      </c>
      <c r="J570" s="3" t="s">
        <v>1110</v>
      </c>
      <c r="K570" s="3" t="s">
        <v>243</v>
      </c>
      <c r="L570" s="3" t="s">
        <v>1400</v>
      </c>
      <c r="M570" s="3" t="s">
        <v>1400</v>
      </c>
      <c r="N570" s="22">
        <v>2235</v>
      </c>
      <c r="O570" s="22"/>
      <c r="P570" s="22"/>
      <c r="Q570" s="22"/>
      <c r="R570" s="22"/>
      <c r="S570" s="22"/>
      <c r="T570" s="22"/>
      <c r="U570" s="22"/>
      <c r="V570" s="22"/>
      <c r="W570" s="3"/>
      <c r="X570" s="5" t="s">
        <v>1271</v>
      </c>
      <c r="Y570" s="28">
        <f t="shared" si="4"/>
        <v>0</v>
      </c>
      <c r="Z570" s="5">
        <v>2235</v>
      </c>
    </row>
    <row r="571" spans="1:26" x14ac:dyDescent="0.3">
      <c r="A571" s="3">
        <v>27</v>
      </c>
      <c r="B571" s="3" t="s">
        <v>1243</v>
      </c>
      <c r="C571" s="3" t="s">
        <v>1268</v>
      </c>
      <c r="D571" s="3" t="s">
        <v>1353</v>
      </c>
      <c r="E571" s="3" t="s">
        <v>458</v>
      </c>
      <c r="F571" s="3" t="s">
        <v>458</v>
      </c>
      <c r="G571" s="3"/>
      <c r="H571" s="3">
        <v>4000</v>
      </c>
      <c r="I571" s="3">
        <v>0</v>
      </c>
      <c r="J571" s="3" t="s">
        <v>1246</v>
      </c>
      <c r="K571" s="3" t="s">
        <v>243</v>
      </c>
      <c r="L571" s="3" t="s">
        <v>1401</v>
      </c>
      <c r="M571" s="3" t="s">
        <v>1401</v>
      </c>
      <c r="N571" s="22">
        <v>190</v>
      </c>
      <c r="O571" s="22"/>
      <c r="P571" s="22"/>
      <c r="Q571" s="22"/>
      <c r="R571" s="22"/>
      <c r="S571" s="22"/>
      <c r="T571" s="22"/>
      <c r="U571" s="22"/>
      <c r="V571" s="22"/>
      <c r="W571" s="3"/>
      <c r="X571" s="5" t="s">
        <v>1271</v>
      </c>
      <c r="Y571" s="28">
        <f t="shared" si="4"/>
        <v>0</v>
      </c>
      <c r="Z571" s="5">
        <v>190</v>
      </c>
    </row>
    <row r="572" spans="1:26" x14ac:dyDescent="0.3">
      <c r="A572" s="3">
        <v>27</v>
      </c>
      <c r="B572" s="3" t="s">
        <v>1243</v>
      </c>
      <c r="C572" s="3" t="s">
        <v>1268</v>
      </c>
      <c r="D572" s="3" t="s">
        <v>1353</v>
      </c>
      <c r="E572" s="3" t="s">
        <v>458</v>
      </c>
      <c r="F572" s="3" t="s">
        <v>458</v>
      </c>
      <c r="G572" s="3"/>
      <c r="H572" s="3">
        <v>4000</v>
      </c>
      <c r="I572" s="3">
        <v>0</v>
      </c>
      <c r="J572" s="3" t="s">
        <v>1246</v>
      </c>
      <c r="K572" s="3" t="s">
        <v>243</v>
      </c>
      <c r="L572" s="3" t="s">
        <v>1402</v>
      </c>
      <c r="M572" s="3" t="s">
        <v>1402</v>
      </c>
      <c r="N572" s="22">
        <v>822</v>
      </c>
      <c r="O572" s="22"/>
      <c r="P572" s="22"/>
      <c r="Q572" s="22"/>
      <c r="R572" s="22"/>
      <c r="S572" s="22"/>
      <c r="T572" s="22"/>
      <c r="U572" s="22"/>
      <c r="V572" s="22"/>
      <c r="W572" s="3"/>
      <c r="X572" s="5" t="s">
        <v>1271</v>
      </c>
      <c r="Y572" s="28">
        <f t="shared" si="4"/>
        <v>0</v>
      </c>
      <c r="Z572" s="5">
        <v>822</v>
      </c>
    </row>
    <row r="573" spans="1:26" x14ac:dyDescent="0.3">
      <c r="A573" s="3">
        <v>27</v>
      </c>
      <c r="B573" s="3" t="s">
        <v>1243</v>
      </c>
      <c r="C573" s="3" t="s">
        <v>1268</v>
      </c>
      <c r="D573" s="3" t="s">
        <v>1353</v>
      </c>
      <c r="E573" s="3" t="s">
        <v>458</v>
      </c>
      <c r="F573" s="3" t="s">
        <v>458</v>
      </c>
      <c r="G573" s="3"/>
      <c r="H573" s="3">
        <v>4000</v>
      </c>
      <c r="I573" s="3">
        <v>0</v>
      </c>
      <c r="J573" s="3" t="s">
        <v>1246</v>
      </c>
      <c r="K573" s="3" t="s">
        <v>243</v>
      </c>
      <c r="L573" s="3" t="s">
        <v>1403</v>
      </c>
      <c r="M573" s="3" t="s">
        <v>1403</v>
      </c>
      <c r="N573" s="22">
        <v>4269</v>
      </c>
      <c r="O573" s="22"/>
      <c r="P573" s="22"/>
      <c r="Q573" s="22"/>
      <c r="R573" s="22"/>
      <c r="S573" s="22"/>
      <c r="T573" s="22"/>
      <c r="U573" s="22"/>
      <c r="V573" s="22"/>
      <c r="W573" s="3"/>
      <c r="X573" s="5" t="s">
        <v>1271</v>
      </c>
      <c r="Y573" s="28">
        <f t="shared" si="4"/>
        <v>0</v>
      </c>
      <c r="Z573" s="5">
        <v>4269</v>
      </c>
    </row>
    <row r="574" spans="1:26" x14ac:dyDescent="0.3">
      <c r="A574" s="3">
        <v>27</v>
      </c>
      <c r="B574" s="3" t="s">
        <v>1243</v>
      </c>
      <c r="C574" s="3" t="s">
        <v>1268</v>
      </c>
      <c r="D574" s="3" t="s">
        <v>1353</v>
      </c>
      <c r="E574" s="3" t="s">
        <v>458</v>
      </c>
      <c r="F574" s="3" t="s">
        <v>458</v>
      </c>
      <c r="G574" s="3"/>
      <c r="H574" s="3">
        <v>4000</v>
      </c>
      <c r="I574" s="3">
        <v>0</v>
      </c>
      <c r="J574" s="3" t="s">
        <v>1246</v>
      </c>
      <c r="K574" s="3" t="s">
        <v>243</v>
      </c>
      <c r="L574" s="3" t="s">
        <v>1404</v>
      </c>
      <c r="M574" s="3" t="s">
        <v>1404</v>
      </c>
      <c r="N574" s="22">
        <v>78</v>
      </c>
      <c r="O574" s="22"/>
      <c r="P574" s="22"/>
      <c r="Q574" s="22"/>
      <c r="R574" s="22"/>
      <c r="S574" s="22"/>
      <c r="T574" s="22"/>
      <c r="U574" s="22"/>
      <c r="V574" s="22"/>
      <c r="W574" s="3"/>
      <c r="X574" s="5" t="s">
        <v>1271</v>
      </c>
      <c r="Y574" s="28">
        <f t="shared" si="4"/>
        <v>0</v>
      </c>
      <c r="Z574" s="5">
        <v>78</v>
      </c>
    </row>
    <row r="575" spans="1:26" x14ac:dyDescent="0.3">
      <c r="A575" s="3">
        <v>27</v>
      </c>
      <c r="B575" s="3" t="s">
        <v>1243</v>
      </c>
      <c r="C575" s="3" t="s">
        <v>1268</v>
      </c>
      <c r="D575" s="3" t="s">
        <v>1353</v>
      </c>
      <c r="E575" s="3" t="s">
        <v>458</v>
      </c>
      <c r="F575" s="3" t="s">
        <v>458</v>
      </c>
      <c r="G575" s="3"/>
      <c r="H575" s="3">
        <v>4000</v>
      </c>
      <c r="I575" s="3">
        <v>0</v>
      </c>
      <c r="J575" s="3" t="s">
        <v>1110</v>
      </c>
      <c r="K575" s="3" t="s">
        <v>243</v>
      </c>
      <c r="L575" s="3" t="s">
        <v>1405</v>
      </c>
      <c r="M575" s="3" t="s">
        <v>1405</v>
      </c>
      <c r="N575" s="22">
        <v>907</v>
      </c>
      <c r="O575" s="22"/>
      <c r="P575" s="22"/>
      <c r="Q575" s="22"/>
      <c r="R575" s="22"/>
      <c r="S575" s="22"/>
      <c r="T575" s="22"/>
      <c r="U575" s="22"/>
      <c r="V575" s="22"/>
      <c r="W575" s="3"/>
      <c r="X575" s="5" t="s">
        <v>1271</v>
      </c>
      <c r="Y575" s="28">
        <f t="shared" si="4"/>
        <v>0</v>
      </c>
      <c r="Z575" s="5">
        <v>907</v>
      </c>
    </row>
    <row r="576" spans="1:26" x14ac:dyDescent="0.3">
      <c r="A576" s="3">
        <v>27</v>
      </c>
      <c r="B576" s="3" t="s">
        <v>1243</v>
      </c>
      <c r="C576" s="3" t="s">
        <v>1268</v>
      </c>
      <c r="D576" s="3" t="s">
        <v>1353</v>
      </c>
      <c r="E576" s="3" t="s">
        <v>458</v>
      </c>
      <c r="F576" s="3" t="s">
        <v>458</v>
      </c>
      <c r="G576" s="3"/>
      <c r="H576" s="3">
        <v>4000</v>
      </c>
      <c r="I576" s="3">
        <v>0</v>
      </c>
      <c r="J576" s="3" t="s">
        <v>1246</v>
      </c>
      <c r="K576" s="3" t="s">
        <v>243</v>
      </c>
      <c r="L576" s="3" t="s">
        <v>1406</v>
      </c>
      <c r="M576" s="3" t="s">
        <v>1406</v>
      </c>
      <c r="N576" s="22">
        <v>1206</v>
      </c>
      <c r="O576" s="22"/>
      <c r="P576" s="22"/>
      <c r="Q576" s="22"/>
      <c r="R576" s="22"/>
      <c r="S576" s="22"/>
      <c r="T576" s="22"/>
      <c r="U576" s="22"/>
      <c r="V576" s="22"/>
      <c r="W576" s="3"/>
      <c r="X576" s="5" t="s">
        <v>1271</v>
      </c>
      <c r="Y576" s="28">
        <f t="shared" si="4"/>
        <v>0</v>
      </c>
      <c r="Z576" s="5">
        <v>1206</v>
      </c>
    </row>
    <row r="577" spans="1:26" x14ac:dyDescent="0.3">
      <c r="A577" s="3">
        <v>27</v>
      </c>
      <c r="B577" s="3" t="s">
        <v>1243</v>
      </c>
      <c r="C577" s="3" t="s">
        <v>1268</v>
      </c>
      <c r="D577" s="3" t="s">
        <v>1353</v>
      </c>
      <c r="E577" s="3" t="s">
        <v>458</v>
      </c>
      <c r="F577" s="3" t="s">
        <v>458</v>
      </c>
      <c r="G577" s="3"/>
      <c r="H577" s="3">
        <v>4000</v>
      </c>
      <c r="I577" s="3">
        <v>0</v>
      </c>
      <c r="J577" s="3" t="s">
        <v>1246</v>
      </c>
      <c r="K577" s="3" t="s">
        <v>243</v>
      </c>
      <c r="L577" s="3" t="s">
        <v>1407</v>
      </c>
      <c r="M577" s="3" t="s">
        <v>1407</v>
      </c>
      <c r="N577" s="22">
        <v>5096</v>
      </c>
      <c r="O577" s="22"/>
      <c r="P577" s="22"/>
      <c r="Q577" s="22"/>
      <c r="R577" s="22"/>
      <c r="S577" s="22"/>
      <c r="T577" s="22"/>
      <c r="U577" s="22"/>
      <c r="V577" s="22"/>
      <c r="W577" s="3"/>
      <c r="X577" s="5" t="s">
        <v>1271</v>
      </c>
      <c r="Y577" s="28">
        <f t="shared" si="4"/>
        <v>0</v>
      </c>
      <c r="Z577" s="5">
        <v>5096</v>
      </c>
    </row>
    <row r="578" spans="1:26" x14ac:dyDescent="0.3">
      <c r="A578" s="3">
        <v>27</v>
      </c>
      <c r="B578" s="3" t="s">
        <v>1243</v>
      </c>
      <c r="C578" s="3" t="s">
        <v>1268</v>
      </c>
      <c r="D578" s="3" t="s">
        <v>1353</v>
      </c>
      <c r="E578" s="3" t="s">
        <v>458</v>
      </c>
      <c r="F578" s="3" t="s">
        <v>458</v>
      </c>
      <c r="G578" s="3"/>
      <c r="H578" s="3">
        <v>4000</v>
      </c>
      <c r="I578" s="3">
        <v>0</v>
      </c>
      <c r="J578" s="3" t="s">
        <v>1246</v>
      </c>
      <c r="K578" s="3" t="s">
        <v>243</v>
      </c>
      <c r="L578" s="3" t="s">
        <v>1408</v>
      </c>
      <c r="M578" s="3" t="s">
        <v>1408</v>
      </c>
      <c r="N578" s="22">
        <v>4525</v>
      </c>
      <c r="O578" s="22"/>
      <c r="P578" s="22"/>
      <c r="Q578" s="22"/>
      <c r="R578" s="22"/>
      <c r="S578" s="22"/>
      <c r="T578" s="22"/>
      <c r="U578" s="22"/>
      <c r="V578" s="22"/>
      <c r="W578" s="3"/>
      <c r="X578" s="5" t="s">
        <v>1271</v>
      </c>
      <c r="Y578" s="28">
        <f t="shared" si="4"/>
        <v>0</v>
      </c>
      <c r="Z578" s="5">
        <v>4525</v>
      </c>
    </row>
    <row r="579" spans="1:26" s="29" customFormat="1" x14ac:dyDescent="0.3">
      <c r="A579" s="3">
        <v>27</v>
      </c>
      <c r="B579" s="3" t="s">
        <v>1243</v>
      </c>
      <c r="C579" s="3" t="s">
        <v>1268</v>
      </c>
      <c r="D579" s="3" t="s">
        <v>1353</v>
      </c>
      <c r="E579" s="3" t="s">
        <v>458</v>
      </c>
      <c r="F579" s="3" t="s">
        <v>458</v>
      </c>
      <c r="G579" s="3"/>
      <c r="H579" s="3">
        <v>4000</v>
      </c>
      <c r="I579" s="3">
        <v>0</v>
      </c>
      <c r="J579" s="3" t="s">
        <v>1246</v>
      </c>
      <c r="K579" s="3" t="s">
        <v>243</v>
      </c>
      <c r="L579" s="3" t="s">
        <v>1409</v>
      </c>
      <c r="M579" s="3" t="s">
        <v>1409</v>
      </c>
      <c r="N579" s="22">
        <v>510</v>
      </c>
      <c r="O579" s="22"/>
      <c r="P579" s="22"/>
      <c r="Q579" s="22"/>
      <c r="R579" s="22"/>
      <c r="S579" s="22"/>
      <c r="T579" s="22"/>
      <c r="U579" s="22"/>
      <c r="V579" s="22"/>
      <c r="W579" s="3"/>
      <c r="X579" s="5" t="s">
        <v>1271</v>
      </c>
      <c r="Y579" s="28">
        <f t="shared" si="4"/>
        <v>0</v>
      </c>
      <c r="Z579" s="5">
        <v>510</v>
      </c>
    </row>
    <row r="580" spans="1:26" x14ac:dyDescent="0.3">
      <c r="A580" s="3">
        <v>27</v>
      </c>
      <c r="B580" s="3" t="s">
        <v>1243</v>
      </c>
      <c r="C580" s="3" t="s">
        <v>1268</v>
      </c>
      <c r="D580" s="3" t="s">
        <v>1353</v>
      </c>
      <c r="E580" s="3" t="s">
        <v>458</v>
      </c>
      <c r="F580" s="3" t="s">
        <v>458</v>
      </c>
      <c r="G580" s="3"/>
      <c r="H580" s="3">
        <v>4000</v>
      </c>
      <c r="I580" s="3">
        <v>0</v>
      </c>
      <c r="J580" s="3" t="s">
        <v>1246</v>
      </c>
      <c r="K580" s="3" t="s">
        <v>243</v>
      </c>
      <c r="L580" s="3" t="s">
        <v>1410</v>
      </c>
      <c r="M580" s="3" t="s">
        <v>1410</v>
      </c>
      <c r="N580" s="22">
        <v>177</v>
      </c>
      <c r="O580" s="22"/>
      <c r="P580" s="22"/>
      <c r="Q580" s="22"/>
      <c r="R580" s="22"/>
      <c r="S580" s="22"/>
      <c r="T580" s="22"/>
      <c r="U580" s="22"/>
      <c r="V580" s="22"/>
      <c r="W580" s="3"/>
      <c r="X580" s="5" t="s">
        <v>1271</v>
      </c>
      <c r="Y580" s="28">
        <f t="shared" si="4"/>
        <v>0</v>
      </c>
      <c r="Z580" s="5">
        <v>177</v>
      </c>
    </row>
    <row r="581" spans="1:26" s="29" customFormat="1" x14ac:dyDescent="0.3">
      <c r="A581" s="3">
        <v>27</v>
      </c>
      <c r="B581" s="3" t="s">
        <v>1243</v>
      </c>
      <c r="C581" s="3" t="s">
        <v>1268</v>
      </c>
      <c r="D581" s="3" t="s">
        <v>1353</v>
      </c>
      <c r="E581" s="3" t="s">
        <v>458</v>
      </c>
      <c r="F581" s="3" t="s">
        <v>458</v>
      </c>
      <c r="G581" s="3"/>
      <c r="H581" s="3">
        <v>4000</v>
      </c>
      <c r="I581" s="3">
        <v>0</v>
      </c>
      <c r="J581" s="3" t="s">
        <v>1246</v>
      </c>
      <c r="K581" s="3" t="s">
        <v>243</v>
      </c>
      <c r="L581" s="3" t="s">
        <v>1411</v>
      </c>
      <c r="M581" s="3" t="s">
        <v>1411</v>
      </c>
      <c r="N581" s="22">
        <v>3075</v>
      </c>
      <c r="O581" s="22"/>
      <c r="P581" s="22"/>
      <c r="Q581" s="22"/>
      <c r="R581" s="22"/>
      <c r="S581" s="22"/>
      <c r="T581" s="22"/>
      <c r="U581" s="22"/>
      <c r="V581" s="22"/>
      <c r="W581" s="3"/>
      <c r="X581" s="5" t="s">
        <v>1271</v>
      </c>
      <c r="Y581" s="28">
        <f t="shared" si="4"/>
        <v>0</v>
      </c>
      <c r="Z581" s="5">
        <v>3075</v>
      </c>
    </row>
    <row r="582" spans="1:26" x14ac:dyDescent="0.3">
      <c r="A582" s="3">
        <v>27</v>
      </c>
      <c r="B582" s="3" t="s">
        <v>1243</v>
      </c>
      <c r="C582" s="3" t="s">
        <v>1268</v>
      </c>
      <c r="D582" s="3" t="s">
        <v>1353</v>
      </c>
      <c r="E582" s="3" t="s">
        <v>458</v>
      </c>
      <c r="F582" s="3" t="s">
        <v>458</v>
      </c>
      <c r="G582" s="3"/>
      <c r="H582" s="3">
        <v>4000</v>
      </c>
      <c r="I582" s="3">
        <v>0</v>
      </c>
      <c r="J582" s="3" t="s">
        <v>1246</v>
      </c>
      <c r="K582" s="3" t="s">
        <v>243</v>
      </c>
      <c r="L582" s="3" t="s">
        <v>1412</v>
      </c>
      <c r="M582" s="3" t="s">
        <v>1412</v>
      </c>
      <c r="N582" s="22">
        <v>2035</v>
      </c>
      <c r="O582" s="22"/>
      <c r="P582" s="22"/>
      <c r="Q582" s="22"/>
      <c r="R582" s="22"/>
      <c r="S582" s="22"/>
      <c r="T582" s="22"/>
      <c r="U582" s="22"/>
      <c r="V582" s="22"/>
      <c r="W582" s="3"/>
      <c r="X582" s="5" t="s">
        <v>1271</v>
      </c>
      <c r="Y582" s="28">
        <f t="shared" si="4"/>
        <v>0</v>
      </c>
      <c r="Z582" s="5">
        <v>2035</v>
      </c>
    </row>
    <row r="583" spans="1:26" x14ac:dyDescent="0.3">
      <c r="A583" s="3">
        <v>27</v>
      </c>
      <c r="B583" s="3" t="s">
        <v>1243</v>
      </c>
      <c r="C583" s="3" t="s">
        <v>1268</v>
      </c>
      <c r="D583" s="3" t="s">
        <v>1353</v>
      </c>
      <c r="E583" s="3" t="s">
        <v>458</v>
      </c>
      <c r="F583" s="3" t="s">
        <v>458</v>
      </c>
      <c r="G583" s="3"/>
      <c r="H583" s="3">
        <v>4000</v>
      </c>
      <c r="I583" s="3">
        <v>0</v>
      </c>
      <c r="J583" s="3" t="s">
        <v>1246</v>
      </c>
      <c r="K583" s="3" t="s">
        <v>243</v>
      </c>
      <c r="L583" s="3" t="s">
        <v>1413</v>
      </c>
      <c r="M583" s="3" t="s">
        <v>1413</v>
      </c>
      <c r="N583" s="22">
        <v>4551</v>
      </c>
      <c r="O583" s="22"/>
      <c r="P583" s="22"/>
      <c r="Q583" s="22"/>
      <c r="R583" s="22"/>
      <c r="S583" s="22"/>
      <c r="T583" s="22"/>
      <c r="U583" s="22"/>
      <c r="V583" s="22"/>
      <c r="W583" s="3"/>
      <c r="X583" s="5" t="s">
        <v>1271</v>
      </c>
      <c r="Y583" s="28">
        <f t="shared" si="4"/>
        <v>0</v>
      </c>
      <c r="Z583" s="5">
        <v>4551</v>
      </c>
    </row>
    <row r="584" spans="1:26" x14ac:dyDescent="0.3">
      <c r="A584" s="3">
        <v>27</v>
      </c>
      <c r="B584" s="3" t="s">
        <v>1243</v>
      </c>
      <c r="C584" s="3" t="s">
        <v>1268</v>
      </c>
      <c r="D584" s="3" t="s">
        <v>1353</v>
      </c>
      <c r="E584" s="3" t="s">
        <v>458</v>
      </c>
      <c r="F584" s="3" t="s">
        <v>458</v>
      </c>
      <c r="G584" s="3"/>
      <c r="H584" s="3">
        <v>4000</v>
      </c>
      <c r="I584" s="3">
        <v>0</v>
      </c>
      <c r="J584" s="3" t="s">
        <v>1246</v>
      </c>
      <c r="K584" s="3" t="s">
        <v>243</v>
      </c>
      <c r="L584" s="3" t="s">
        <v>1414</v>
      </c>
      <c r="M584" s="3" t="s">
        <v>1414</v>
      </c>
      <c r="N584" s="22">
        <v>1092</v>
      </c>
      <c r="O584" s="22"/>
      <c r="P584" s="22"/>
      <c r="Q584" s="22"/>
      <c r="R584" s="22"/>
      <c r="S584" s="22"/>
      <c r="T584" s="22"/>
      <c r="U584" s="22"/>
      <c r="V584" s="22"/>
      <c r="W584" s="3"/>
      <c r="X584" s="5" t="s">
        <v>1271</v>
      </c>
      <c r="Y584" s="28">
        <f t="shared" si="4"/>
        <v>0</v>
      </c>
      <c r="Z584" s="5">
        <v>1092</v>
      </c>
    </row>
    <row r="585" spans="1:26" x14ac:dyDescent="0.3">
      <c r="A585" s="3">
        <v>27</v>
      </c>
      <c r="B585" s="3" t="s">
        <v>1243</v>
      </c>
      <c r="C585" s="3" t="s">
        <v>1268</v>
      </c>
      <c r="D585" s="3" t="s">
        <v>1353</v>
      </c>
      <c r="E585" s="3" t="s">
        <v>458</v>
      </c>
      <c r="F585" s="3" t="s">
        <v>458</v>
      </c>
      <c r="G585" s="3"/>
      <c r="H585" s="3">
        <v>4000</v>
      </c>
      <c r="I585" s="3">
        <v>0</v>
      </c>
      <c r="J585" s="3" t="s">
        <v>1246</v>
      </c>
      <c r="K585" s="3" t="s">
        <v>243</v>
      </c>
      <c r="L585" s="3" t="s">
        <v>1355</v>
      </c>
      <c r="M585" s="3" t="s">
        <v>1355</v>
      </c>
      <c r="N585" s="22">
        <v>0</v>
      </c>
      <c r="O585" s="22"/>
      <c r="P585" s="22"/>
      <c r="Q585" s="22"/>
      <c r="R585" s="22"/>
      <c r="S585" s="22"/>
      <c r="T585" s="22"/>
      <c r="U585" s="22"/>
      <c r="V585" s="22"/>
      <c r="W585" s="3"/>
      <c r="X585" s="5" t="s">
        <v>1271</v>
      </c>
      <c r="Y585" s="28">
        <f t="shared" si="4"/>
        <v>0</v>
      </c>
      <c r="Z585" s="5">
        <v>0</v>
      </c>
    </row>
    <row r="586" spans="1:26" x14ac:dyDescent="0.3">
      <c r="A586" s="3">
        <v>27</v>
      </c>
      <c r="B586" s="3" t="s">
        <v>1243</v>
      </c>
      <c r="C586" s="3" t="s">
        <v>1268</v>
      </c>
      <c r="D586" s="3" t="s">
        <v>1353</v>
      </c>
      <c r="E586" s="3" t="s">
        <v>458</v>
      </c>
      <c r="F586" s="3" t="s">
        <v>458</v>
      </c>
      <c r="G586" s="3"/>
      <c r="H586" s="3">
        <v>4000</v>
      </c>
      <c r="I586" s="3">
        <v>0</v>
      </c>
      <c r="J586" s="3" t="s">
        <v>1246</v>
      </c>
      <c r="K586" s="3" t="s">
        <v>243</v>
      </c>
      <c r="L586" s="3" t="s">
        <v>1415</v>
      </c>
      <c r="M586" s="3" t="s">
        <v>1415</v>
      </c>
      <c r="N586" s="22">
        <v>0</v>
      </c>
      <c r="O586" s="22"/>
      <c r="P586" s="22"/>
      <c r="Q586" s="22"/>
      <c r="R586" s="22"/>
      <c r="S586" s="22"/>
      <c r="T586" s="22"/>
      <c r="U586" s="22"/>
      <c r="V586" s="22"/>
      <c r="W586" s="3"/>
      <c r="X586" s="5" t="s">
        <v>1271</v>
      </c>
      <c r="Y586" s="28">
        <f t="shared" si="4"/>
        <v>0</v>
      </c>
      <c r="Z586" s="5">
        <v>0</v>
      </c>
    </row>
    <row r="587" spans="1:26" x14ac:dyDescent="0.3">
      <c r="A587" s="3">
        <v>27</v>
      </c>
      <c r="B587" s="3" t="s">
        <v>1243</v>
      </c>
      <c r="C587" s="3" t="s">
        <v>1268</v>
      </c>
      <c r="D587" s="3" t="s">
        <v>1353</v>
      </c>
      <c r="E587" s="3" t="s">
        <v>458</v>
      </c>
      <c r="F587" s="3" t="s">
        <v>458</v>
      </c>
      <c r="G587" s="3"/>
      <c r="H587" s="3">
        <v>4000</v>
      </c>
      <c r="I587" s="3">
        <v>0</v>
      </c>
      <c r="J587" s="3" t="s">
        <v>1246</v>
      </c>
      <c r="K587" s="3" t="s">
        <v>243</v>
      </c>
      <c r="L587" s="3" t="s">
        <v>1356</v>
      </c>
      <c r="M587" s="3" t="s">
        <v>1356</v>
      </c>
      <c r="N587" s="22">
        <v>0</v>
      </c>
      <c r="O587" s="22"/>
      <c r="P587" s="22"/>
      <c r="Q587" s="22"/>
      <c r="R587" s="22"/>
      <c r="S587" s="22"/>
      <c r="T587" s="22"/>
      <c r="U587" s="22"/>
      <c r="V587" s="22"/>
      <c r="W587" s="3"/>
      <c r="X587" s="5" t="s">
        <v>1271</v>
      </c>
      <c r="Y587" s="28">
        <f t="shared" si="4"/>
        <v>0</v>
      </c>
      <c r="Z587" s="5">
        <v>0</v>
      </c>
    </row>
    <row r="588" spans="1:26" x14ac:dyDescent="0.3">
      <c r="A588" s="3">
        <v>27</v>
      </c>
      <c r="B588" s="3" t="s">
        <v>1243</v>
      </c>
      <c r="C588" s="3" t="s">
        <v>1268</v>
      </c>
      <c r="D588" s="3" t="s">
        <v>1353</v>
      </c>
      <c r="E588" s="3" t="s">
        <v>458</v>
      </c>
      <c r="F588" s="3" t="s">
        <v>458</v>
      </c>
      <c r="G588" s="3"/>
      <c r="H588" s="3">
        <v>4000</v>
      </c>
      <c r="I588" s="3">
        <v>0</v>
      </c>
      <c r="J588" s="3" t="s">
        <v>1246</v>
      </c>
      <c r="K588" s="3" t="s">
        <v>243</v>
      </c>
      <c r="L588" s="3" t="s">
        <v>1357</v>
      </c>
      <c r="M588" s="3" t="s">
        <v>1357</v>
      </c>
      <c r="N588" s="22">
        <v>0</v>
      </c>
      <c r="O588" s="22"/>
      <c r="P588" s="22"/>
      <c r="Q588" s="22"/>
      <c r="R588" s="22"/>
      <c r="S588" s="22"/>
      <c r="T588" s="22"/>
      <c r="U588" s="22"/>
      <c r="V588" s="22"/>
      <c r="W588" s="3"/>
      <c r="X588" s="5" t="s">
        <v>1271</v>
      </c>
      <c r="Y588" s="28">
        <f t="shared" si="4"/>
        <v>0</v>
      </c>
      <c r="Z588" s="5">
        <v>0</v>
      </c>
    </row>
    <row r="589" spans="1:26" x14ac:dyDescent="0.3">
      <c r="A589" s="3">
        <v>27</v>
      </c>
      <c r="B589" s="3" t="s">
        <v>1243</v>
      </c>
      <c r="C589" s="3" t="s">
        <v>1268</v>
      </c>
      <c r="D589" s="3" t="s">
        <v>1353</v>
      </c>
      <c r="E589" s="3" t="s">
        <v>458</v>
      </c>
      <c r="F589" s="3" t="s">
        <v>458</v>
      </c>
      <c r="G589" s="3"/>
      <c r="H589" s="3">
        <v>4000</v>
      </c>
      <c r="I589" s="3">
        <v>0</v>
      </c>
      <c r="J589" s="3" t="s">
        <v>1246</v>
      </c>
      <c r="K589" s="3" t="s">
        <v>243</v>
      </c>
      <c r="L589" s="3" t="s">
        <v>1358</v>
      </c>
      <c r="M589" s="3" t="s">
        <v>1358</v>
      </c>
      <c r="N589" s="22">
        <v>0</v>
      </c>
      <c r="O589" s="22"/>
      <c r="P589" s="22"/>
      <c r="Q589" s="22"/>
      <c r="R589" s="22"/>
      <c r="S589" s="22"/>
      <c r="T589" s="22"/>
      <c r="U589" s="22"/>
      <c r="V589" s="22"/>
      <c r="W589" s="3"/>
      <c r="X589" s="5" t="s">
        <v>1271</v>
      </c>
      <c r="Y589" s="28">
        <f t="shared" si="4"/>
        <v>0</v>
      </c>
      <c r="Z589" s="5">
        <v>0</v>
      </c>
    </row>
    <row r="590" spans="1:26" x14ac:dyDescent="0.3">
      <c r="A590" s="3">
        <v>27</v>
      </c>
      <c r="B590" s="3" t="s">
        <v>1243</v>
      </c>
      <c r="C590" s="3" t="s">
        <v>1268</v>
      </c>
      <c r="D590" s="3" t="s">
        <v>1353</v>
      </c>
      <c r="E590" s="3" t="s">
        <v>458</v>
      </c>
      <c r="F590" s="3" t="s">
        <v>458</v>
      </c>
      <c r="G590" s="3"/>
      <c r="H590" s="3">
        <v>4000</v>
      </c>
      <c r="I590" s="3">
        <v>0</v>
      </c>
      <c r="J590" s="3" t="s">
        <v>1246</v>
      </c>
      <c r="K590" s="3" t="s">
        <v>243</v>
      </c>
      <c r="L590" s="3" t="s">
        <v>1359</v>
      </c>
      <c r="M590" s="3" t="s">
        <v>1359</v>
      </c>
      <c r="N590" s="22">
        <v>0</v>
      </c>
      <c r="O590" s="22"/>
      <c r="P590" s="22"/>
      <c r="Q590" s="22"/>
      <c r="R590" s="22"/>
      <c r="S590" s="22"/>
      <c r="T590" s="22"/>
      <c r="U590" s="22"/>
      <c r="V590" s="22"/>
      <c r="W590" s="3"/>
      <c r="X590" s="5" t="s">
        <v>1271</v>
      </c>
      <c r="Y590" s="28">
        <f t="shared" si="4"/>
        <v>0</v>
      </c>
      <c r="Z590" s="5">
        <v>0</v>
      </c>
    </row>
    <row r="591" spans="1:26" x14ac:dyDescent="0.3">
      <c r="A591" s="3">
        <v>27</v>
      </c>
      <c r="B591" s="3" t="s">
        <v>1243</v>
      </c>
      <c r="C591" s="3" t="s">
        <v>1268</v>
      </c>
      <c r="D591" s="3" t="s">
        <v>1353</v>
      </c>
      <c r="E591" s="3" t="s">
        <v>458</v>
      </c>
      <c r="F591" s="3" t="s">
        <v>458</v>
      </c>
      <c r="G591" s="3"/>
      <c r="H591" s="3">
        <v>4000</v>
      </c>
      <c r="I591" s="3">
        <v>0</v>
      </c>
      <c r="J591" s="3" t="s">
        <v>1246</v>
      </c>
      <c r="K591" s="3" t="s">
        <v>243</v>
      </c>
      <c r="L591" s="3" t="s">
        <v>1360</v>
      </c>
      <c r="M591" s="3" t="s">
        <v>1360</v>
      </c>
      <c r="N591" s="22">
        <v>0</v>
      </c>
      <c r="O591" s="22"/>
      <c r="P591" s="22"/>
      <c r="Q591" s="22"/>
      <c r="R591" s="22"/>
      <c r="S591" s="22"/>
      <c r="T591" s="22"/>
      <c r="U591" s="22"/>
      <c r="V591" s="22"/>
      <c r="W591" s="3"/>
      <c r="X591" s="5" t="s">
        <v>1271</v>
      </c>
      <c r="Y591" s="28">
        <f t="shared" si="4"/>
        <v>0</v>
      </c>
      <c r="Z591" s="5">
        <v>0</v>
      </c>
    </row>
    <row r="592" spans="1:26" x14ac:dyDescent="0.3">
      <c r="A592" s="3">
        <v>27</v>
      </c>
      <c r="B592" s="3" t="s">
        <v>1243</v>
      </c>
      <c r="C592" s="3" t="s">
        <v>1268</v>
      </c>
      <c r="D592" s="3" t="s">
        <v>1353</v>
      </c>
      <c r="E592" s="3" t="s">
        <v>458</v>
      </c>
      <c r="F592" s="3" t="s">
        <v>458</v>
      </c>
      <c r="G592" s="3"/>
      <c r="H592" s="3">
        <v>4000</v>
      </c>
      <c r="I592" s="3">
        <v>0</v>
      </c>
      <c r="J592" s="3" t="s">
        <v>1246</v>
      </c>
      <c r="K592" s="3" t="s">
        <v>243</v>
      </c>
      <c r="L592" s="3" t="s">
        <v>1361</v>
      </c>
      <c r="M592" s="3" t="s">
        <v>1361</v>
      </c>
      <c r="N592" s="22">
        <v>0</v>
      </c>
      <c r="O592" s="22"/>
      <c r="P592" s="22"/>
      <c r="Q592" s="22"/>
      <c r="R592" s="22"/>
      <c r="S592" s="22"/>
      <c r="T592" s="22"/>
      <c r="U592" s="22"/>
      <c r="V592" s="22"/>
      <c r="W592" s="3"/>
      <c r="X592" s="5" t="s">
        <v>1271</v>
      </c>
      <c r="Y592" s="28">
        <f t="shared" si="4"/>
        <v>0</v>
      </c>
      <c r="Z592" s="5">
        <v>0</v>
      </c>
    </row>
    <row r="593" spans="1:26" x14ac:dyDescent="0.3">
      <c r="A593" s="3">
        <v>27</v>
      </c>
      <c r="B593" s="3" t="s">
        <v>1243</v>
      </c>
      <c r="C593" s="3" t="s">
        <v>1268</v>
      </c>
      <c r="D593" s="3" t="s">
        <v>1353</v>
      </c>
      <c r="E593" s="3" t="s">
        <v>458</v>
      </c>
      <c r="F593" s="3" t="s">
        <v>458</v>
      </c>
      <c r="G593" s="3"/>
      <c r="H593" s="3">
        <v>4000</v>
      </c>
      <c r="I593" s="3">
        <v>0</v>
      </c>
      <c r="J593" s="3" t="s">
        <v>1246</v>
      </c>
      <c r="K593" s="3" t="s">
        <v>243</v>
      </c>
      <c r="L593" s="3" t="s">
        <v>1362</v>
      </c>
      <c r="M593" s="3" t="s">
        <v>1362</v>
      </c>
      <c r="N593" s="22">
        <v>0</v>
      </c>
      <c r="O593" s="22"/>
      <c r="P593" s="22"/>
      <c r="Q593" s="22"/>
      <c r="R593" s="22"/>
      <c r="S593" s="22"/>
      <c r="T593" s="22"/>
      <c r="U593" s="22"/>
      <c r="V593" s="22"/>
      <c r="W593" s="3"/>
      <c r="X593" s="5" t="s">
        <v>1271</v>
      </c>
      <c r="Y593" s="28">
        <f t="shared" si="4"/>
        <v>0</v>
      </c>
      <c r="Z593" s="5">
        <v>0</v>
      </c>
    </row>
    <row r="594" spans="1:26" x14ac:dyDescent="0.3">
      <c r="A594" s="3">
        <v>27</v>
      </c>
      <c r="B594" s="3" t="s">
        <v>1243</v>
      </c>
      <c r="C594" s="3" t="s">
        <v>1268</v>
      </c>
      <c r="D594" s="3" t="s">
        <v>1353</v>
      </c>
      <c r="E594" s="3" t="s">
        <v>458</v>
      </c>
      <c r="F594" s="3" t="s">
        <v>458</v>
      </c>
      <c r="G594" s="3"/>
      <c r="H594" s="3">
        <v>4000</v>
      </c>
      <c r="I594" s="3">
        <v>0</v>
      </c>
      <c r="J594" s="3" t="s">
        <v>1110</v>
      </c>
      <c r="K594" s="3" t="s">
        <v>243</v>
      </c>
      <c r="L594" s="3" t="s">
        <v>1363</v>
      </c>
      <c r="M594" s="3" t="s">
        <v>1363</v>
      </c>
      <c r="N594" s="22">
        <v>0</v>
      </c>
      <c r="O594" s="22"/>
      <c r="P594" s="22"/>
      <c r="Q594" s="22"/>
      <c r="R594" s="22"/>
      <c r="S594" s="22"/>
      <c r="T594" s="22"/>
      <c r="U594" s="22"/>
      <c r="V594" s="22"/>
      <c r="W594" s="3"/>
      <c r="X594" s="5" t="s">
        <v>1271</v>
      </c>
      <c r="Y594" s="28">
        <f t="shared" si="4"/>
        <v>0</v>
      </c>
      <c r="Z594" s="5">
        <v>0</v>
      </c>
    </row>
    <row r="595" spans="1:26" x14ac:dyDescent="0.3">
      <c r="A595" s="3">
        <v>27</v>
      </c>
      <c r="B595" s="3" t="s">
        <v>1243</v>
      </c>
      <c r="C595" s="3" t="s">
        <v>1268</v>
      </c>
      <c r="D595" s="3" t="s">
        <v>1353</v>
      </c>
      <c r="E595" s="3" t="s">
        <v>458</v>
      </c>
      <c r="F595" s="3" t="s">
        <v>458</v>
      </c>
      <c r="G595" s="3"/>
      <c r="H595" s="3">
        <v>4000</v>
      </c>
      <c r="I595" s="3">
        <v>0</v>
      </c>
      <c r="J595" s="3" t="s">
        <v>1246</v>
      </c>
      <c r="K595" s="3" t="s">
        <v>243</v>
      </c>
      <c r="L595" s="3" t="s">
        <v>1364</v>
      </c>
      <c r="M595" s="3" t="s">
        <v>1364</v>
      </c>
      <c r="N595" s="22">
        <v>0</v>
      </c>
      <c r="O595" s="22"/>
      <c r="P595" s="22"/>
      <c r="Q595" s="22"/>
      <c r="R595" s="22"/>
      <c r="S595" s="22"/>
      <c r="T595" s="22"/>
      <c r="U595" s="22"/>
      <c r="V595" s="22"/>
      <c r="W595" s="3"/>
      <c r="X595" s="5" t="s">
        <v>1271</v>
      </c>
      <c r="Y595" s="28">
        <f t="shared" si="4"/>
        <v>0</v>
      </c>
      <c r="Z595" s="5">
        <v>0</v>
      </c>
    </row>
    <row r="596" spans="1:26" x14ac:dyDescent="0.3">
      <c r="A596" s="3">
        <v>27</v>
      </c>
      <c r="B596" s="3" t="s">
        <v>1243</v>
      </c>
      <c r="C596" s="3" t="s">
        <v>1268</v>
      </c>
      <c r="D596" s="3" t="s">
        <v>1353</v>
      </c>
      <c r="E596" s="3" t="s">
        <v>458</v>
      </c>
      <c r="F596" s="3" t="s">
        <v>458</v>
      </c>
      <c r="G596" s="3"/>
      <c r="H596" s="3">
        <v>4000</v>
      </c>
      <c r="I596" s="3">
        <v>0</v>
      </c>
      <c r="J596" s="3" t="s">
        <v>1246</v>
      </c>
      <c r="K596" s="3" t="s">
        <v>243</v>
      </c>
      <c r="L596" s="3" t="s">
        <v>1416</v>
      </c>
      <c r="M596" s="3" t="s">
        <v>1416</v>
      </c>
      <c r="N596" s="22">
        <v>0</v>
      </c>
      <c r="O596" s="22"/>
      <c r="P596" s="22"/>
      <c r="Q596" s="22"/>
      <c r="R596" s="22"/>
      <c r="S596" s="22"/>
      <c r="T596" s="22"/>
      <c r="U596" s="22"/>
      <c r="V596" s="22"/>
      <c r="W596" s="3"/>
      <c r="X596" s="5" t="s">
        <v>1271</v>
      </c>
      <c r="Y596" s="28">
        <f t="shared" si="4"/>
        <v>0</v>
      </c>
      <c r="Z596" s="5">
        <v>0</v>
      </c>
    </row>
    <row r="597" spans="1:26" x14ac:dyDescent="0.3">
      <c r="A597" s="3">
        <v>27</v>
      </c>
      <c r="B597" s="3" t="s">
        <v>1243</v>
      </c>
      <c r="C597" s="3" t="s">
        <v>1268</v>
      </c>
      <c r="D597" s="3" t="s">
        <v>1353</v>
      </c>
      <c r="E597" s="3" t="s">
        <v>458</v>
      </c>
      <c r="F597" s="3" t="s">
        <v>458</v>
      </c>
      <c r="G597" s="3"/>
      <c r="H597" s="3">
        <v>4000</v>
      </c>
      <c r="I597" s="3">
        <v>0</v>
      </c>
      <c r="J597" s="3" t="s">
        <v>1246</v>
      </c>
      <c r="K597" s="3" t="s">
        <v>243</v>
      </c>
      <c r="L597" s="3" t="s">
        <v>1354</v>
      </c>
      <c r="M597" s="3" t="s">
        <v>1354</v>
      </c>
      <c r="N597" s="22">
        <v>0</v>
      </c>
      <c r="O597" s="22"/>
      <c r="P597" s="22"/>
      <c r="Q597" s="22"/>
      <c r="R597" s="22"/>
      <c r="S597" s="22"/>
      <c r="T597" s="22"/>
      <c r="U597" s="22"/>
      <c r="V597" s="22"/>
      <c r="W597" s="3"/>
      <c r="X597" s="5" t="s">
        <v>1271</v>
      </c>
      <c r="Y597" s="28">
        <f t="shared" si="4"/>
        <v>0</v>
      </c>
      <c r="Z597" s="5">
        <v>0</v>
      </c>
    </row>
    <row r="598" spans="1:26" x14ac:dyDescent="0.3">
      <c r="A598" s="3">
        <v>27</v>
      </c>
      <c r="B598" s="3" t="s">
        <v>1243</v>
      </c>
      <c r="C598" s="3" t="s">
        <v>1268</v>
      </c>
      <c r="D598" s="3" t="s">
        <v>1353</v>
      </c>
      <c r="E598" s="3" t="s">
        <v>458</v>
      </c>
      <c r="F598" s="3" t="s">
        <v>458</v>
      </c>
      <c r="G598" s="3"/>
      <c r="H598" s="3">
        <v>4000</v>
      </c>
      <c r="I598" s="3">
        <v>0</v>
      </c>
      <c r="J598" s="3" t="s">
        <v>1246</v>
      </c>
      <c r="K598" s="3" t="s">
        <v>243</v>
      </c>
      <c r="L598" s="3" t="s">
        <v>1365</v>
      </c>
      <c r="M598" s="3" t="s">
        <v>1365</v>
      </c>
      <c r="N598" s="22">
        <v>0</v>
      </c>
      <c r="O598" s="22"/>
      <c r="P598" s="22"/>
      <c r="Q598" s="22"/>
      <c r="R598" s="22"/>
      <c r="S598" s="22"/>
      <c r="T598" s="22"/>
      <c r="U598" s="22"/>
      <c r="V598" s="22"/>
      <c r="W598" s="3"/>
      <c r="X598" s="5" t="s">
        <v>1271</v>
      </c>
      <c r="Y598" s="28">
        <f t="shared" si="4"/>
        <v>0</v>
      </c>
      <c r="Z598" s="5">
        <v>0</v>
      </c>
    </row>
    <row r="599" spans="1:26" x14ac:dyDescent="0.3">
      <c r="A599" s="3">
        <v>27</v>
      </c>
      <c r="B599" s="3" t="s">
        <v>1243</v>
      </c>
      <c r="C599" s="3" t="s">
        <v>1268</v>
      </c>
      <c r="D599" s="3" t="s">
        <v>1353</v>
      </c>
      <c r="E599" s="3" t="s">
        <v>458</v>
      </c>
      <c r="F599" s="3" t="s">
        <v>458</v>
      </c>
      <c r="G599" s="3"/>
      <c r="H599" s="3">
        <v>4000</v>
      </c>
      <c r="I599" s="3">
        <v>0</v>
      </c>
      <c r="J599" s="3" t="s">
        <v>1246</v>
      </c>
      <c r="K599" s="3" t="s">
        <v>243</v>
      </c>
      <c r="L599" s="3" t="s">
        <v>1367</v>
      </c>
      <c r="M599" s="3" t="s">
        <v>1367</v>
      </c>
      <c r="N599" s="22">
        <v>0</v>
      </c>
      <c r="O599" s="22"/>
      <c r="P599" s="22"/>
      <c r="Q599" s="22"/>
      <c r="R599" s="22"/>
      <c r="S599" s="22"/>
      <c r="T599" s="22"/>
      <c r="U599" s="22"/>
      <c r="V599" s="22"/>
      <c r="W599" s="3"/>
      <c r="X599" s="5" t="s">
        <v>1271</v>
      </c>
      <c r="Y599" s="28">
        <f t="shared" si="4"/>
        <v>0</v>
      </c>
      <c r="Z599" s="5">
        <v>0</v>
      </c>
    </row>
    <row r="600" spans="1:26" x14ac:dyDescent="0.3">
      <c r="A600" s="3">
        <v>27</v>
      </c>
      <c r="B600" s="3" t="s">
        <v>1243</v>
      </c>
      <c r="C600" s="3" t="s">
        <v>1268</v>
      </c>
      <c r="D600" s="3" t="s">
        <v>1353</v>
      </c>
      <c r="E600" s="3" t="s">
        <v>458</v>
      </c>
      <c r="F600" s="3" t="s">
        <v>458</v>
      </c>
      <c r="G600" s="3"/>
      <c r="H600" s="3">
        <v>4000</v>
      </c>
      <c r="I600" s="3">
        <v>0</v>
      </c>
      <c r="J600" s="3" t="s">
        <v>1246</v>
      </c>
      <c r="K600" s="3" t="s">
        <v>243</v>
      </c>
      <c r="L600" s="3" t="s">
        <v>1368</v>
      </c>
      <c r="M600" s="3" t="s">
        <v>1368</v>
      </c>
      <c r="N600" s="22">
        <v>0</v>
      </c>
      <c r="O600" s="22"/>
      <c r="P600" s="22"/>
      <c r="Q600" s="22"/>
      <c r="R600" s="22"/>
      <c r="S600" s="22"/>
      <c r="T600" s="22"/>
      <c r="U600" s="22"/>
      <c r="V600" s="22"/>
      <c r="W600" s="3"/>
      <c r="X600" s="5" t="s">
        <v>1271</v>
      </c>
      <c r="Y600" s="28">
        <f t="shared" si="4"/>
        <v>0</v>
      </c>
      <c r="Z600" s="5">
        <v>0</v>
      </c>
    </row>
    <row r="601" spans="1:26" x14ac:dyDescent="0.3">
      <c r="A601" s="3">
        <v>27</v>
      </c>
      <c r="B601" s="3" t="s">
        <v>1243</v>
      </c>
      <c r="C601" s="3" t="s">
        <v>1268</v>
      </c>
      <c r="D601" s="3" t="s">
        <v>1353</v>
      </c>
      <c r="E601" s="3" t="s">
        <v>458</v>
      </c>
      <c r="F601" s="3" t="s">
        <v>458</v>
      </c>
      <c r="G601" s="3"/>
      <c r="H601" s="3">
        <v>4000</v>
      </c>
      <c r="I601" s="3">
        <v>0</v>
      </c>
      <c r="J601" s="3" t="s">
        <v>1246</v>
      </c>
      <c r="K601" s="3" t="s">
        <v>243</v>
      </c>
      <c r="L601" s="3" t="s">
        <v>1370</v>
      </c>
      <c r="M601" s="3" t="s">
        <v>1370</v>
      </c>
      <c r="N601" s="22">
        <v>0</v>
      </c>
      <c r="O601" s="22"/>
      <c r="P601" s="22"/>
      <c r="Q601" s="22"/>
      <c r="R601" s="22"/>
      <c r="S601" s="22"/>
      <c r="T601" s="22"/>
      <c r="U601" s="22"/>
      <c r="V601" s="22"/>
      <c r="W601" s="3"/>
      <c r="X601" s="5" t="s">
        <v>1271</v>
      </c>
      <c r="Y601" s="28">
        <f t="shared" si="4"/>
        <v>0</v>
      </c>
      <c r="Z601" s="5">
        <v>0</v>
      </c>
    </row>
    <row r="602" spans="1:26" x14ac:dyDescent="0.3">
      <c r="A602" s="3">
        <v>27</v>
      </c>
      <c r="B602" s="3" t="s">
        <v>1243</v>
      </c>
      <c r="C602" s="3" t="s">
        <v>1268</v>
      </c>
      <c r="D602" s="3" t="s">
        <v>1353</v>
      </c>
      <c r="E602" s="3" t="s">
        <v>458</v>
      </c>
      <c r="F602" s="3" t="s">
        <v>458</v>
      </c>
      <c r="G602" s="3"/>
      <c r="H602" s="3">
        <v>4000</v>
      </c>
      <c r="I602" s="3">
        <v>0</v>
      </c>
      <c r="J602" s="3" t="s">
        <v>1246</v>
      </c>
      <c r="K602" s="3" t="s">
        <v>243</v>
      </c>
      <c r="L602" s="3" t="s">
        <v>1385</v>
      </c>
      <c r="M602" s="3" t="s">
        <v>1385</v>
      </c>
      <c r="N602" s="22">
        <v>0</v>
      </c>
      <c r="O602" s="22"/>
      <c r="P602" s="22"/>
      <c r="Q602" s="22"/>
      <c r="R602" s="22"/>
      <c r="S602" s="22"/>
      <c r="T602" s="22"/>
      <c r="U602" s="22"/>
      <c r="V602" s="22"/>
      <c r="W602" s="3"/>
      <c r="X602" s="5" t="s">
        <v>1271</v>
      </c>
      <c r="Y602" s="28">
        <f t="shared" si="4"/>
        <v>0</v>
      </c>
      <c r="Z602" s="5">
        <v>0</v>
      </c>
    </row>
    <row r="603" spans="1:26" x14ac:dyDescent="0.3">
      <c r="A603" s="3">
        <v>27</v>
      </c>
      <c r="B603" s="3" t="s">
        <v>1243</v>
      </c>
      <c r="C603" s="3" t="s">
        <v>1268</v>
      </c>
      <c r="D603" s="3" t="s">
        <v>1353</v>
      </c>
      <c r="E603" s="3" t="s">
        <v>458</v>
      </c>
      <c r="F603" s="3" t="s">
        <v>458</v>
      </c>
      <c r="G603" s="3"/>
      <c r="H603" s="3">
        <v>4000</v>
      </c>
      <c r="I603" s="3">
        <v>0</v>
      </c>
      <c r="J603" s="3" t="s">
        <v>1246</v>
      </c>
      <c r="K603" s="3" t="s">
        <v>243</v>
      </c>
      <c r="L603" s="3" t="s">
        <v>1417</v>
      </c>
      <c r="M603" s="3" t="s">
        <v>1417</v>
      </c>
      <c r="N603" s="22">
        <v>0</v>
      </c>
      <c r="O603" s="22"/>
      <c r="P603" s="22"/>
      <c r="Q603" s="22"/>
      <c r="R603" s="22"/>
      <c r="S603" s="22"/>
      <c r="T603" s="22"/>
      <c r="U603" s="22"/>
      <c r="V603" s="22"/>
      <c r="W603" s="3"/>
      <c r="X603" s="5" t="s">
        <v>1271</v>
      </c>
      <c r="Y603" s="28">
        <f t="shared" si="4"/>
        <v>0</v>
      </c>
      <c r="Z603" s="5">
        <v>0</v>
      </c>
    </row>
    <row r="604" spans="1:26" x14ac:dyDescent="0.3">
      <c r="A604" s="3">
        <v>27</v>
      </c>
      <c r="B604" s="3" t="s">
        <v>1243</v>
      </c>
      <c r="C604" s="3" t="s">
        <v>1268</v>
      </c>
      <c r="D604" s="3" t="s">
        <v>1353</v>
      </c>
      <c r="E604" s="3" t="s">
        <v>458</v>
      </c>
      <c r="F604" s="3" t="s">
        <v>458</v>
      </c>
      <c r="G604" s="3"/>
      <c r="H604" s="3">
        <v>4000</v>
      </c>
      <c r="I604" s="3">
        <v>0</v>
      </c>
      <c r="J604" s="3" t="s">
        <v>1246</v>
      </c>
      <c r="K604" s="3" t="s">
        <v>243</v>
      </c>
      <c r="L604" s="3" t="s">
        <v>1418</v>
      </c>
      <c r="M604" s="3" t="s">
        <v>1418</v>
      </c>
      <c r="N604" s="22">
        <v>0</v>
      </c>
      <c r="O604" s="22"/>
      <c r="P604" s="22"/>
      <c r="Q604" s="22"/>
      <c r="R604" s="22"/>
      <c r="S604" s="22"/>
      <c r="T604" s="22"/>
      <c r="U604" s="22"/>
      <c r="V604" s="22"/>
      <c r="W604" s="3"/>
      <c r="X604" s="5" t="s">
        <v>1271</v>
      </c>
      <c r="Y604" s="28">
        <f t="shared" si="4"/>
        <v>0</v>
      </c>
      <c r="Z604" s="5">
        <v>0</v>
      </c>
    </row>
    <row r="605" spans="1:26" x14ac:dyDescent="0.3">
      <c r="A605" s="3">
        <v>27</v>
      </c>
      <c r="B605" s="3" t="s">
        <v>1243</v>
      </c>
      <c r="C605" s="3" t="s">
        <v>1268</v>
      </c>
      <c r="D605" s="3" t="s">
        <v>1353</v>
      </c>
      <c r="E605" s="3" t="s">
        <v>458</v>
      </c>
      <c r="F605" s="3" t="s">
        <v>458</v>
      </c>
      <c r="G605" s="3"/>
      <c r="H605" s="3">
        <v>4000</v>
      </c>
      <c r="I605" s="3">
        <v>0</v>
      </c>
      <c r="J605" s="3" t="s">
        <v>1246</v>
      </c>
      <c r="K605" s="3" t="s">
        <v>243</v>
      </c>
      <c r="L605" s="3" t="s">
        <v>1419</v>
      </c>
      <c r="M605" s="3" t="s">
        <v>1419</v>
      </c>
      <c r="N605" s="22">
        <v>0</v>
      </c>
      <c r="O605" s="22"/>
      <c r="P605" s="22"/>
      <c r="Q605" s="22"/>
      <c r="R605" s="22"/>
      <c r="S605" s="22"/>
      <c r="T605" s="22"/>
      <c r="U605" s="22"/>
      <c r="V605" s="22"/>
      <c r="W605" s="3"/>
      <c r="X605" s="5" t="s">
        <v>1271</v>
      </c>
      <c r="Y605" s="28">
        <f t="shared" si="4"/>
        <v>0</v>
      </c>
      <c r="Z605" s="5">
        <v>0</v>
      </c>
    </row>
    <row r="606" spans="1:26" x14ac:dyDescent="0.3">
      <c r="A606" s="3">
        <v>27</v>
      </c>
      <c r="B606" s="3" t="s">
        <v>1243</v>
      </c>
      <c r="C606" s="3" t="s">
        <v>1268</v>
      </c>
      <c r="D606" s="3" t="s">
        <v>1353</v>
      </c>
      <c r="E606" s="3" t="s">
        <v>458</v>
      </c>
      <c r="F606" s="3" t="s">
        <v>458</v>
      </c>
      <c r="G606" s="3"/>
      <c r="H606" s="3">
        <v>4000</v>
      </c>
      <c r="I606" s="3">
        <v>0</v>
      </c>
      <c r="J606" s="3" t="s">
        <v>1110</v>
      </c>
      <c r="K606" s="3" t="s">
        <v>243</v>
      </c>
      <c r="L606" s="3" t="s">
        <v>1420</v>
      </c>
      <c r="M606" s="3" t="s">
        <v>1420</v>
      </c>
      <c r="N606" s="22">
        <v>0</v>
      </c>
      <c r="O606" s="22"/>
      <c r="P606" s="22"/>
      <c r="Q606" s="22"/>
      <c r="R606" s="22"/>
      <c r="S606" s="22"/>
      <c r="T606" s="22"/>
      <c r="U606" s="22"/>
      <c r="V606" s="22"/>
      <c r="W606" s="3"/>
      <c r="X606" s="5" t="s">
        <v>1271</v>
      </c>
      <c r="Y606" s="28">
        <f t="shared" si="4"/>
        <v>0</v>
      </c>
      <c r="Z606" s="5">
        <v>0</v>
      </c>
    </row>
    <row r="607" spans="1:26" x14ac:dyDescent="0.3">
      <c r="A607" s="3">
        <v>27</v>
      </c>
      <c r="B607" s="3" t="s">
        <v>1243</v>
      </c>
      <c r="C607" s="3" t="s">
        <v>1268</v>
      </c>
      <c r="D607" s="3" t="s">
        <v>1353</v>
      </c>
      <c r="E607" s="3" t="s">
        <v>458</v>
      </c>
      <c r="F607" s="3" t="s">
        <v>458</v>
      </c>
      <c r="G607" s="3"/>
      <c r="H607" s="3">
        <v>4000</v>
      </c>
      <c r="I607" s="3">
        <v>0</v>
      </c>
      <c r="J607" s="3" t="s">
        <v>1246</v>
      </c>
      <c r="K607" s="3" t="s">
        <v>243</v>
      </c>
      <c r="L607" s="3" t="s">
        <v>1421</v>
      </c>
      <c r="M607" s="3" t="s">
        <v>1421</v>
      </c>
      <c r="N607" s="22">
        <v>0</v>
      </c>
      <c r="O607" s="22"/>
      <c r="P607" s="22"/>
      <c r="Q607" s="22"/>
      <c r="R607" s="22"/>
      <c r="S607" s="22"/>
      <c r="T607" s="22"/>
      <c r="U607" s="22"/>
      <c r="V607" s="22"/>
      <c r="W607" s="3"/>
      <c r="X607" s="5" t="s">
        <v>1271</v>
      </c>
      <c r="Y607" s="28">
        <f t="shared" si="4"/>
        <v>0</v>
      </c>
      <c r="Z607" s="5">
        <v>0</v>
      </c>
    </row>
    <row r="608" spans="1:26" x14ac:dyDescent="0.3">
      <c r="A608" s="3">
        <v>27</v>
      </c>
      <c r="B608" s="3" t="s">
        <v>1243</v>
      </c>
      <c r="C608" s="3" t="s">
        <v>1268</v>
      </c>
      <c r="D608" s="3" t="s">
        <v>1353</v>
      </c>
      <c r="E608" s="3" t="s">
        <v>458</v>
      </c>
      <c r="F608" s="3" t="s">
        <v>458</v>
      </c>
      <c r="G608" s="3"/>
      <c r="H608" s="3">
        <v>4000</v>
      </c>
      <c r="I608" s="3">
        <v>0</v>
      </c>
      <c r="J608" s="3" t="s">
        <v>1246</v>
      </c>
      <c r="K608" s="3" t="s">
        <v>243</v>
      </c>
      <c r="L608" s="3" t="s">
        <v>1422</v>
      </c>
      <c r="M608" s="3" t="s">
        <v>1422</v>
      </c>
      <c r="N608" s="22">
        <v>0</v>
      </c>
      <c r="O608" s="22"/>
      <c r="P608" s="22"/>
      <c r="Q608" s="22"/>
      <c r="R608" s="22"/>
      <c r="S608" s="22"/>
      <c r="T608" s="22"/>
      <c r="U608" s="22"/>
      <c r="V608" s="22"/>
      <c r="W608" s="3"/>
      <c r="X608" s="5" t="s">
        <v>1271</v>
      </c>
      <c r="Y608" s="28">
        <f t="shared" si="4"/>
        <v>0</v>
      </c>
      <c r="Z608" s="5">
        <v>0</v>
      </c>
    </row>
    <row r="609" spans="1:26" x14ac:dyDescent="0.3">
      <c r="A609" s="3">
        <v>27</v>
      </c>
      <c r="B609" s="3" t="s">
        <v>1243</v>
      </c>
      <c r="C609" s="3" t="s">
        <v>1268</v>
      </c>
      <c r="D609" s="3" t="s">
        <v>1353</v>
      </c>
      <c r="E609" s="3" t="s">
        <v>458</v>
      </c>
      <c r="F609" s="3" t="s">
        <v>458</v>
      </c>
      <c r="G609" s="3"/>
      <c r="H609" s="3">
        <v>4000</v>
      </c>
      <c r="I609" s="3">
        <v>0</v>
      </c>
      <c r="J609" s="3" t="s">
        <v>1246</v>
      </c>
      <c r="K609" s="3" t="s">
        <v>243</v>
      </c>
      <c r="L609" s="3" t="s">
        <v>1423</v>
      </c>
      <c r="M609" s="3" t="s">
        <v>1423</v>
      </c>
      <c r="N609" s="22">
        <v>0</v>
      </c>
      <c r="O609" s="22"/>
      <c r="P609" s="22"/>
      <c r="Q609" s="22"/>
      <c r="R609" s="22"/>
      <c r="S609" s="22"/>
      <c r="T609" s="22"/>
      <c r="U609" s="22"/>
      <c r="V609" s="22"/>
      <c r="W609" s="3"/>
      <c r="X609" s="5" t="s">
        <v>1271</v>
      </c>
      <c r="Y609" s="28">
        <f t="shared" si="4"/>
        <v>0</v>
      </c>
      <c r="Z609" s="5">
        <v>0</v>
      </c>
    </row>
    <row r="610" spans="1:26" x14ac:dyDescent="0.3">
      <c r="A610" s="3">
        <v>27</v>
      </c>
      <c r="B610" s="3" t="s">
        <v>1243</v>
      </c>
      <c r="C610" s="3" t="s">
        <v>1268</v>
      </c>
      <c r="D610" s="3" t="s">
        <v>1353</v>
      </c>
      <c r="E610" s="3" t="s">
        <v>458</v>
      </c>
      <c r="F610" s="3" t="s">
        <v>458</v>
      </c>
      <c r="G610" s="3"/>
      <c r="H610" s="3">
        <v>4000</v>
      </c>
      <c r="I610" s="3">
        <v>0</v>
      </c>
      <c r="J610" s="3" t="s">
        <v>1246</v>
      </c>
      <c r="K610" s="3" t="s">
        <v>243</v>
      </c>
      <c r="L610" s="3" t="s">
        <v>1424</v>
      </c>
      <c r="M610" s="3" t="s">
        <v>1424</v>
      </c>
      <c r="N610" s="22">
        <v>0</v>
      </c>
      <c r="O610" s="22"/>
      <c r="P610" s="22"/>
      <c r="Q610" s="22"/>
      <c r="R610" s="22"/>
      <c r="S610" s="22"/>
      <c r="T610" s="22"/>
      <c r="U610" s="22"/>
      <c r="V610" s="22"/>
      <c r="W610" s="3"/>
      <c r="X610" s="5" t="s">
        <v>1271</v>
      </c>
      <c r="Y610" s="28">
        <f t="shared" si="4"/>
        <v>0</v>
      </c>
      <c r="Z610" s="5">
        <v>0</v>
      </c>
    </row>
    <row r="611" spans="1:26" x14ac:dyDescent="0.3">
      <c r="A611" s="3">
        <v>27</v>
      </c>
      <c r="B611" s="3" t="s">
        <v>1243</v>
      </c>
      <c r="C611" s="3" t="s">
        <v>1268</v>
      </c>
      <c r="D611" s="3" t="s">
        <v>1353</v>
      </c>
      <c r="E611" s="3" t="s">
        <v>458</v>
      </c>
      <c r="F611" s="3" t="s">
        <v>458</v>
      </c>
      <c r="G611" s="3"/>
      <c r="H611" s="3">
        <v>4000</v>
      </c>
      <c r="I611" s="3">
        <v>0</v>
      </c>
      <c r="J611" s="3" t="s">
        <v>1246</v>
      </c>
      <c r="K611" s="3" t="s">
        <v>243</v>
      </c>
      <c r="L611" s="3" t="s">
        <v>1425</v>
      </c>
      <c r="M611" s="3" t="s">
        <v>1425</v>
      </c>
      <c r="N611" s="22">
        <v>0</v>
      </c>
      <c r="O611" s="22"/>
      <c r="P611" s="22"/>
      <c r="Q611" s="22"/>
      <c r="R611" s="22"/>
      <c r="S611" s="22"/>
      <c r="T611" s="22"/>
      <c r="U611" s="22"/>
      <c r="V611" s="22"/>
      <c r="W611" s="3"/>
      <c r="X611" s="5" t="s">
        <v>1271</v>
      </c>
      <c r="Y611" s="28">
        <f t="shared" si="4"/>
        <v>0</v>
      </c>
      <c r="Z611" s="5">
        <v>0</v>
      </c>
    </row>
    <row r="612" spans="1:26" x14ac:dyDescent="0.3">
      <c r="A612" s="3">
        <v>27</v>
      </c>
      <c r="B612" s="3" t="s">
        <v>1243</v>
      </c>
      <c r="C612" s="3" t="s">
        <v>1268</v>
      </c>
      <c r="D612" s="3" t="s">
        <v>1353</v>
      </c>
      <c r="E612" s="3" t="s">
        <v>458</v>
      </c>
      <c r="F612" s="3" t="s">
        <v>458</v>
      </c>
      <c r="G612" s="3"/>
      <c r="H612" s="3">
        <v>4000</v>
      </c>
      <c r="I612" s="3">
        <v>0</v>
      </c>
      <c r="J612" s="3" t="s">
        <v>1246</v>
      </c>
      <c r="K612" s="3" t="s">
        <v>243</v>
      </c>
      <c r="L612" s="3" t="s">
        <v>1426</v>
      </c>
      <c r="M612" s="3" t="s">
        <v>1426</v>
      </c>
      <c r="N612" s="22">
        <v>0</v>
      </c>
      <c r="O612" s="22"/>
      <c r="P612" s="22"/>
      <c r="Q612" s="22"/>
      <c r="R612" s="22"/>
      <c r="S612" s="22"/>
      <c r="T612" s="22"/>
      <c r="U612" s="22"/>
      <c r="V612" s="22"/>
      <c r="W612" s="3"/>
      <c r="X612" s="5" t="s">
        <v>1271</v>
      </c>
      <c r="Y612" s="28">
        <f t="shared" si="4"/>
        <v>0</v>
      </c>
      <c r="Z612" s="5">
        <v>0</v>
      </c>
    </row>
    <row r="613" spans="1:26" x14ac:dyDescent="0.3">
      <c r="A613" s="3">
        <v>27</v>
      </c>
      <c r="B613" s="3" t="s">
        <v>1243</v>
      </c>
      <c r="C613" s="3" t="s">
        <v>1268</v>
      </c>
      <c r="D613" s="3" t="s">
        <v>1353</v>
      </c>
      <c r="E613" s="3" t="s">
        <v>458</v>
      </c>
      <c r="F613" s="3" t="s">
        <v>458</v>
      </c>
      <c r="G613" s="3"/>
      <c r="H613" s="3">
        <v>4000</v>
      </c>
      <c r="I613" s="3">
        <v>0</v>
      </c>
      <c r="J613" s="3" t="s">
        <v>1246</v>
      </c>
      <c r="K613" s="3" t="s">
        <v>243</v>
      </c>
      <c r="L613" s="3" t="s">
        <v>1427</v>
      </c>
      <c r="M613" s="3" t="s">
        <v>1427</v>
      </c>
      <c r="N613" s="22">
        <v>0</v>
      </c>
      <c r="O613" s="22"/>
      <c r="P613" s="22"/>
      <c r="Q613" s="22"/>
      <c r="R613" s="22"/>
      <c r="S613" s="22"/>
      <c r="T613" s="22"/>
      <c r="U613" s="22"/>
      <c r="V613" s="22"/>
      <c r="W613" s="3"/>
      <c r="X613" s="5" t="s">
        <v>1271</v>
      </c>
      <c r="Y613" s="28">
        <f t="shared" si="4"/>
        <v>0</v>
      </c>
      <c r="Z613" s="5">
        <v>0</v>
      </c>
    </row>
    <row r="614" spans="1:26" x14ac:dyDescent="0.3">
      <c r="A614" s="3">
        <v>27</v>
      </c>
      <c r="B614" s="3" t="s">
        <v>1243</v>
      </c>
      <c r="C614" s="3" t="s">
        <v>1268</v>
      </c>
      <c r="D614" s="3" t="s">
        <v>1353</v>
      </c>
      <c r="E614" s="3" t="s">
        <v>458</v>
      </c>
      <c r="F614" s="3" t="s">
        <v>458</v>
      </c>
      <c r="G614" s="3"/>
      <c r="H614" s="3">
        <v>4000</v>
      </c>
      <c r="I614" s="3">
        <v>0</v>
      </c>
      <c r="J614" s="3" t="s">
        <v>1246</v>
      </c>
      <c r="K614" s="3" t="s">
        <v>243</v>
      </c>
      <c r="L614" s="3" t="s">
        <v>1428</v>
      </c>
      <c r="M614" s="3" t="s">
        <v>1428</v>
      </c>
      <c r="N614" s="22">
        <v>0</v>
      </c>
      <c r="O614" s="22"/>
      <c r="P614" s="22"/>
      <c r="Q614" s="22"/>
      <c r="R614" s="22"/>
      <c r="S614" s="22"/>
      <c r="T614" s="22"/>
      <c r="U614" s="22"/>
      <c r="V614" s="22"/>
      <c r="W614" s="3"/>
      <c r="X614" s="5" t="s">
        <v>1271</v>
      </c>
      <c r="Y614" s="28">
        <f t="shared" si="4"/>
        <v>0</v>
      </c>
      <c r="Z614" s="5">
        <v>0</v>
      </c>
    </row>
    <row r="615" spans="1:26" x14ac:dyDescent="0.3">
      <c r="A615" s="3">
        <v>27</v>
      </c>
      <c r="B615" s="3" t="s">
        <v>1243</v>
      </c>
      <c r="C615" s="3" t="s">
        <v>1268</v>
      </c>
      <c r="D615" s="3" t="s">
        <v>1353</v>
      </c>
      <c r="E615" s="3" t="s">
        <v>458</v>
      </c>
      <c r="F615" s="3" t="s">
        <v>458</v>
      </c>
      <c r="G615" s="3"/>
      <c r="H615" s="3">
        <v>4000</v>
      </c>
      <c r="I615" s="3">
        <v>0</v>
      </c>
      <c r="J615" s="3" t="s">
        <v>1246</v>
      </c>
      <c r="K615" s="3" t="s">
        <v>243</v>
      </c>
      <c r="L615" s="3" t="s">
        <v>1429</v>
      </c>
      <c r="M615" s="3" t="s">
        <v>1429</v>
      </c>
      <c r="N615" s="22">
        <v>0</v>
      </c>
      <c r="O615" s="22"/>
      <c r="P615" s="22"/>
      <c r="Q615" s="22"/>
      <c r="R615" s="22"/>
      <c r="S615" s="22"/>
      <c r="T615" s="22"/>
      <c r="U615" s="22"/>
      <c r="V615" s="22"/>
      <c r="W615" s="3"/>
      <c r="X615" s="5" t="s">
        <v>1271</v>
      </c>
      <c r="Y615" s="28">
        <f t="shared" si="4"/>
        <v>0</v>
      </c>
      <c r="Z615" s="5">
        <v>0</v>
      </c>
    </row>
    <row r="616" spans="1:26" x14ac:dyDescent="0.3">
      <c r="A616" s="3">
        <v>27</v>
      </c>
      <c r="B616" s="3" t="s">
        <v>1243</v>
      </c>
      <c r="C616" s="3" t="s">
        <v>1268</v>
      </c>
      <c r="D616" s="3" t="s">
        <v>1353</v>
      </c>
      <c r="E616" s="3" t="s">
        <v>458</v>
      </c>
      <c r="F616" s="3" t="s">
        <v>458</v>
      </c>
      <c r="G616" s="3"/>
      <c r="H616" s="3">
        <v>4000</v>
      </c>
      <c r="I616" s="3">
        <v>0</v>
      </c>
      <c r="J616" s="3" t="s">
        <v>1246</v>
      </c>
      <c r="K616" s="3" t="s">
        <v>243</v>
      </c>
      <c r="L616" s="3" t="s">
        <v>1430</v>
      </c>
      <c r="M616" s="3" t="s">
        <v>1430</v>
      </c>
      <c r="N616" s="22">
        <v>0</v>
      </c>
      <c r="O616" s="22"/>
      <c r="P616" s="22"/>
      <c r="Q616" s="22"/>
      <c r="R616" s="22"/>
      <c r="S616" s="22"/>
      <c r="T616" s="22"/>
      <c r="U616" s="22"/>
      <c r="V616" s="22"/>
      <c r="W616" s="3"/>
      <c r="X616" s="5" t="s">
        <v>1271</v>
      </c>
      <c r="Y616" s="28">
        <f t="shared" si="4"/>
        <v>0</v>
      </c>
      <c r="Z616" s="5">
        <v>0</v>
      </c>
    </row>
    <row r="617" spans="1:26" x14ac:dyDescent="0.3">
      <c r="A617" s="3">
        <v>27</v>
      </c>
      <c r="B617" s="3" t="s">
        <v>1243</v>
      </c>
      <c r="C617" s="3" t="s">
        <v>1268</v>
      </c>
      <c r="D617" s="3" t="s">
        <v>1353</v>
      </c>
      <c r="E617" s="3" t="s">
        <v>458</v>
      </c>
      <c r="F617" s="3" t="s">
        <v>458</v>
      </c>
      <c r="G617" s="3"/>
      <c r="H617" s="3">
        <v>4000</v>
      </c>
      <c r="I617" s="3">
        <v>0</v>
      </c>
      <c r="J617" s="3" t="s">
        <v>1246</v>
      </c>
      <c r="K617" s="3" t="s">
        <v>243</v>
      </c>
      <c r="L617" s="3" t="s">
        <v>1431</v>
      </c>
      <c r="M617" s="3" t="s">
        <v>1431</v>
      </c>
      <c r="N617" s="22">
        <v>0</v>
      </c>
      <c r="O617" s="22"/>
      <c r="P617" s="22"/>
      <c r="Q617" s="22"/>
      <c r="R617" s="22"/>
      <c r="S617" s="22"/>
      <c r="T617" s="22"/>
      <c r="U617" s="22"/>
      <c r="V617" s="22"/>
      <c r="W617" s="3"/>
      <c r="X617" s="5" t="s">
        <v>1271</v>
      </c>
      <c r="Y617" s="28">
        <f t="shared" si="4"/>
        <v>0</v>
      </c>
      <c r="Z617" s="5">
        <v>0</v>
      </c>
    </row>
    <row r="618" spans="1:26" x14ac:dyDescent="0.3">
      <c r="A618" s="3">
        <v>27</v>
      </c>
      <c r="B618" s="3" t="s">
        <v>1243</v>
      </c>
      <c r="C618" s="3" t="s">
        <v>1268</v>
      </c>
      <c r="D618" s="3" t="s">
        <v>1353</v>
      </c>
      <c r="E618" s="3" t="s">
        <v>458</v>
      </c>
      <c r="F618" s="3" t="s">
        <v>458</v>
      </c>
      <c r="G618" s="3"/>
      <c r="H618" s="3">
        <v>4000</v>
      </c>
      <c r="I618" s="3">
        <v>0</v>
      </c>
      <c r="J618" s="3" t="s">
        <v>1246</v>
      </c>
      <c r="K618" s="3" t="s">
        <v>243</v>
      </c>
      <c r="L618" s="3" t="s">
        <v>1432</v>
      </c>
      <c r="M618" s="3" t="s">
        <v>1432</v>
      </c>
      <c r="N618" s="22">
        <v>0</v>
      </c>
      <c r="O618" s="22"/>
      <c r="P618" s="22"/>
      <c r="Q618" s="22"/>
      <c r="R618" s="22"/>
      <c r="S618" s="22"/>
      <c r="T618" s="22"/>
      <c r="U618" s="22"/>
      <c r="V618" s="22"/>
      <c r="W618" s="3"/>
      <c r="X618" s="5" t="s">
        <v>1271</v>
      </c>
      <c r="Y618" s="28">
        <f t="shared" ref="Y618:Y681" si="5">N618-Z618</f>
        <v>0</v>
      </c>
      <c r="Z618" s="5">
        <v>0</v>
      </c>
    </row>
    <row r="619" spans="1:26" x14ac:dyDescent="0.3">
      <c r="A619" s="3">
        <v>27</v>
      </c>
      <c r="B619" s="3" t="s">
        <v>1243</v>
      </c>
      <c r="C619" s="3" t="s">
        <v>1268</v>
      </c>
      <c r="D619" s="3" t="s">
        <v>1353</v>
      </c>
      <c r="E619" s="3" t="s">
        <v>458</v>
      </c>
      <c r="F619" s="3" t="s">
        <v>458</v>
      </c>
      <c r="G619" s="3"/>
      <c r="H619" s="3">
        <v>4000</v>
      </c>
      <c r="I619" s="3">
        <v>0</v>
      </c>
      <c r="J619" s="3" t="s">
        <v>1246</v>
      </c>
      <c r="K619" s="3" t="s">
        <v>243</v>
      </c>
      <c r="L619" s="3" t="s">
        <v>1433</v>
      </c>
      <c r="M619" s="3" t="s">
        <v>1433</v>
      </c>
      <c r="N619" s="22">
        <v>0</v>
      </c>
      <c r="O619" s="22"/>
      <c r="P619" s="22"/>
      <c r="Q619" s="22"/>
      <c r="R619" s="22"/>
      <c r="S619" s="22"/>
      <c r="T619" s="22"/>
      <c r="U619" s="22"/>
      <c r="V619" s="22"/>
      <c r="W619" s="3"/>
      <c r="X619" s="5" t="s">
        <v>1271</v>
      </c>
      <c r="Y619" s="28">
        <f t="shared" si="5"/>
        <v>0</v>
      </c>
      <c r="Z619" s="5">
        <v>0</v>
      </c>
    </row>
    <row r="620" spans="1:26" x14ac:dyDescent="0.3">
      <c r="A620" s="3">
        <v>27</v>
      </c>
      <c r="B620" s="3" t="s">
        <v>1243</v>
      </c>
      <c r="C620" s="3" t="s">
        <v>1268</v>
      </c>
      <c r="D620" s="3" t="s">
        <v>1353</v>
      </c>
      <c r="E620" s="3" t="s">
        <v>458</v>
      </c>
      <c r="F620" s="3" t="s">
        <v>458</v>
      </c>
      <c r="G620" s="3"/>
      <c r="H620" s="3">
        <v>4000</v>
      </c>
      <c r="I620" s="3">
        <v>0</v>
      </c>
      <c r="J620" s="3" t="s">
        <v>1246</v>
      </c>
      <c r="K620" s="3" t="s">
        <v>243</v>
      </c>
      <c r="L620" s="3" t="s">
        <v>1434</v>
      </c>
      <c r="M620" s="3" t="s">
        <v>1434</v>
      </c>
      <c r="N620" s="22">
        <v>0</v>
      </c>
      <c r="O620" s="22"/>
      <c r="P620" s="22"/>
      <c r="Q620" s="22"/>
      <c r="R620" s="22"/>
      <c r="S620" s="22"/>
      <c r="T620" s="22"/>
      <c r="U620" s="22"/>
      <c r="V620" s="22"/>
      <c r="W620" s="3"/>
      <c r="X620" s="5" t="s">
        <v>1271</v>
      </c>
      <c r="Y620" s="28">
        <f t="shared" si="5"/>
        <v>0</v>
      </c>
      <c r="Z620" s="5">
        <v>0</v>
      </c>
    </row>
    <row r="621" spans="1:26" x14ac:dyDescent="0.3">
      <c r="A621" s="3">
        <v>27</v>
      </c>
      <c r="B621" s="3" t="s">
        <v>1243</v>
      </c>
      <c r="C621" s="3" t="s">
        <v>1268</v>
      </c>
      <c r="D621" s="3" t="s">
        <v>1353</v>
      </c>
      <c r="E621" s="3" t="s">
        <v>458</v>
      </c>
      <c r="F621" s="3" t="s">
        <v>458</v>
      </c>
      <c r="G621" s="3"/>
      <c r="H621" s="3">
        <v>4000</v>
      </c>
      <c r="I621" s="3">
        <v>0</v>
      </c>
      <c r="J621" s="3" t="s">
        <v>1246</v>
      </c>
      <c r="K621" s="3" t="s">
        <v>243</v>
      </c>
      <c r="L621" s="3" t="s">
        <v>1435</v>
      </c>
      <c r="M621" s="3" t="s">
        <v>1435</v>
      </c>
      <c r="N621" s="22">
        <v>0</v>
      </c>
      <c r="O621" s="22"/>
      <c r="P621" s="22"/>
      <c r="Q621" s="22"/>
      <c r="R621" s="22"/>
      <c r="S621" s="22"/>
      <c r="T621" s="22"/>
      <c r="U621" s="22"/>
      <c r="V621" s="22"/>
      <c r="W621" s="3"/>
      <c r="X621" s="5" t="s">
        <v>1271</v>
      </c>
      <c r="Y621" s="28">
        <f t="shared" si="5"/>
        <v>0</v>
      </c>
      <c r="Z621" s="5">
        <v>0</v>
      </c>
    </row>
    <row r="622" spans="1:26" x14ac:dyDescent="0.3">
      <c r="A622" s="3">
        <v>27</v>
      </c>
      <c r="B622" s="3" t="s">
        <v>1243</v>
      </c>
      <c r="C622" s="3" t="s">
        <v>1268</v>
      </c>
      <c r="D622" s="3" t="s">
        <v>1353</v>
      </c>
      <c r="E622" s="3" t="s">
        <v>458</v>
      </c>
      <c r="F622" s="3" t="s">
        <v>458</v>
      </c>
      <c r="G622" s="3"/>
      <c r="H622" s="3">
        <v>4000</v>
      </c>
      <c r="I622" s="3">
        <v>0</v>
      </c>
      <c r="J622" s="3" t="s">
        <v>1246</v>
      </c>
      <c r="K622" s="3" t="s">
        <v>243</v>
      </c>
      <c r="L622" s="3" t="s">
        <v>1436</v>
      </c>
      <c r="M622" s="3" t="s">
        <v>1436</v>
      </c>
      <c r="N622" s="22">
        <v>0</v>
      </c>
      <c r="O622" s="22"/>
      <c r="P622" s="22"/>
      <c r="Q622" s="22"/>
      <c r="R622" s="22"/>
      <c r="S622" s="22"/>
      <c r="T622" s="22"/>
      <c r="U622" s="22"/>
      <c r="V622" s="22"/>
      <c r="W622" s="3"/>
      <c r="X622" s="5" t="s">
        <v>1271</v>
      </c>
      <c r="Y622" s="28">
        <f t="shared" si="5"/>
        <v>0</v>
      </c>
      <c r="Z622" s="5">
        <v>0</v>
      </c>
    </row>
    <row r="623" spans="1:26" x14ac:dyDescent="0.3">
      <c r="A623" s="3">
        <v>27</v>
      </c>
      <c r="B623" s="3" t="s">
        <v>1243</v>
      </c>
      <c r="C623" s="3" t="s">
        <v>1268</v>
      </c>
      <c r="D623" s="3" t="s">
        <v>1353</v>
      </c>
      <c r="E623" s="3" t="s">
        <v>458</v>
      </c>
      <c r="F623" s="3" t="s">
        <v>458</v>
      </c>
      <c r="G623" s="3"/>
      <c r="H623" s="3">
        <v>4000</v>
      </c>
      <c r="I623" s="3">
        <v>0</v>
      </c>
      <c r="J623" s="3" t="s">
        <v>1246</v>
      </c>
      <c r="K623" s="3" t="s">
        <v>243</v>
      </c>
      <c r="L623" s="3" t="s">
        <v>1414</v>
      </c>
      <c r="M623" s="3" t="s">
        <v>1414</v>
      </c>
      <c r="N623" s="22">
        <v>0</v>
      </c>
      <c r="O623" s="22"/>
      <c r="P623" s="22"/>
      <c r="Q623" s="22"/>
      <c r="R623" s="22"/>
      <c r="S623" s="22"/>
      <c r="T623" s="22"/>
      <c r="U623" s="22"/>
      <c r="V623" s="22"/>
      <c r="W623" s="3"/>
      <c r="X623" s="5" t="s">
        <v>1271</v>
      </c>
      <c r="Y623" s="28">
        <f t="shared" si="5"/>
        <v>0</v>
      </c>
      <c r="Z623" s="5">
        <v>0</v>
      </c>
    </row>
    <row r="624" spans="1:26" x14ac:dyDescent="0.3">
      <c r="A624" s="3">
        <v>27</v>
      </c>
      <c r="B624" s="3" t="s">
        <v>1243</v>
      </c>
      <c r="C624" s="3" t="s">
        <v>1268</v>
      </c>
      <c r="D624" s="3" t="s">
        <v>1353</v>
      </c>
      <c r="E624" s="3" t="s">
        <v>458</v>
      </c>
      <c r="F624" s="3" t="s">
        <v>458</v>
      </c>
      <c r="G624" s="3"/>
      <c r="H624" s="3">
        <v>4000</v>
      </c>
      <c r="I624" s="3">
        <v>0</v>
      </c>
      <c r="J624" s="3" t="s">
        <v>1246</v>
      </c>
      <c r="K624" s="3" t="s">
        <v>243</v>
      </c>
      <c r="L624" s="3" t="s">
        <v>1437</v>
      </c>
      <c r="M624" s="3" t="s">
        <v>1437</v>
      </c>
      <c r="N624" s="22">
        <v>0</v>
      </c>
      <c r="O624" s="22"/>
      <c r="P624" s="22"/>
      <c r="Q624" s="22"/>
      <c r="R624" s="22"/>
      <c r="S624" s="22"/>
      <c r="T624" s="22"/>
      <c r="U624" s="22"/>
      <c r="V624" s="22"/>
      <c r="W624" s="3"/>
      <c r="X624" s="5" t="s">
        <v>1271</v>
      </c>
      <c r="Y624" s="28">
        <f t="shared" si="5"/>
        <v>0</v>
      </c>
      <c r="Z624" s="5">
        <v>0</v>
      </c>
    </row>
    <row r="625" spans="1:26" x14ac:dyDescent="0.3">
      <c r="A625" s="3">
        <v>27</v>
      </c>
      <c r="B625" s="3" t="s">
        <v>1243</v>
      </c>
      <c r="C625" s="3" t="s">
        <v>1268</v>
      </c>
      <c r="D625" s="3" t="s">
        <v>1353</v>
      </c>
      <c r="E625" s="3" t="s">
        <v>458</v>
      </c>
      <c r="F625" s="3" t="s">
        <v>458</v>
      </c>
      <c r="G625" s="3"/>
      <c r="H625" s="3">
        <v>4000</v>
      </c>
      <c r="I625" s="3">
        <v>0</v>
      </c>
      <c r="J625" s="3" t="s">
        <v>1246</v>
      </c>
      <c r="K625" s="3" t="s">
        <v>243</v>
      </c>
      <c r="L625" s="3" t="s">
        <v>1355</v>
      </c>
      <c r="M625" s="3" t="s">
        <v>1355</v>
      </c>
      <c r="N625" s="22">
        <v>0</v>
      </c>
      <c r="O625" s="22"/>
      <c r="P625" s="22"/>
      <c r="Q625" s="22"/>
      <c r="R625" s="22"/>
      <c r="S625" s="22"/>
      <c r="T625" s="22"/>
      <c r="U625" s="22"/>
      <c r="V625" s="22"/>
      <c r="W625" s="3"/>
      <c r="X625" s="5" t="s">
        <v>1271</v>
      </c>
      <c r="Y625" s="28">
        <f t="shared" si="5"/>
        <v>0</v>
      </c>
      <c r="Z625" s="5">
        <v>0</v>
      </c>
    </row>
    <row r="626" spans="1:26" x14ac:dyDescent="0.3">
      <c r="A626" s="3">
        <v>27</v>
      </c>
      <c r="B626" s="3" t="s">
        <v>1243</v>
      </c>
      <c r="C626" s="3" t="s">
        <v>1268</v>
      </c>
      <c r="D626" s="3" t="s">
        <v>1353</v>
      </c>
      <c r="E626" s="3" t="s">
        <v>458</v>
      </c>
      <c r="F626" s="3" t="s">
        <v>458</v>
      </c>
      <c r="G626" s="3"/>
      <c r="H626" s="3">
        <v>4000</v>
      </c>
      <c r="I626" s="3">
        <v>0</v>
      </c>
      <c r="J626" s="3" t="s">
        <v>1246</v>
      </c>
      <c r="K626" s="3" t="s">
        <v>243</v>
      </c>
      <c r="L626" s="3" t="s">
        <v>1415</v>
      </c>
      <c r="M626" s="3" t="s">
        <v>1415</v>
      </c>
      <c r="N626" s="22">
        <v>0</v>
      </c>
      <c r="O626" s="22"/>
      <c r="P626" s="22"/>
      <c r="Q626" s="22"/>
      <c r="R626" s="22"/>
      <c r="S626" s="22"/>
      <c r="T626" s="22"/>
      <c r="U626" s="22"/>
      <c r="V626" s="22"/>
      <c r="W626" s="3"/>
      <c r="X626" s="5" t="s">
        <v>1271</v>
      </c>
      <c r="Y626" s="28">
        <f t="shared" si="5"/>
        <v>0</v>
      </c>
      <c r="Z626" s="5">
        <v>0</v>
      </c>
    </row>
    <row r="627" spans="1:26" x14ac:dyDescent="0.3">
      <c r="A627" s="3">
        <v>27</v>
      </c>
      <c r="B627" s="3" t="s">
        <v>1243</v>
      </c>
      <c r="C627" s="3" t="s">
        <v>1268</v>
      </c>
      <c r="D627" s="3" t="s">
        <v>1353</v>
      </c>
      <c r="E627" s="3" t="s">
        <v>458</v>
      </c>
      <c r="F627" s="3" t="s">
        <v>458</v>
      </c>
      <c r="G627" s="3"/>
      <c r="H627" s="3">
        <v>4000</v>
      </c>
      <c r="I627" s="3">
        <v>0</v>
      </c>
      <c r="J627" s="3" t="s">
        <v>1246</v>
      </c>
      <c r="K627" s="3" t="s">
        <v>243</v>
      </c>
      <c r="L627" s="3" t="s">
        <v>1356</v>
      </c>
      <c r="M627" s="3" t="s">
        <v>1356</v>
      </c>
      <c r="N627" s="22">
        <v>0</v>
      </c>
      <c r="O627" s="22"/>
      <c r="P627" s="22"/>
      <c r="Q627" s="22"/>
      <c r="R627" s="22"/>
      <c r="S627" s="22"/>
      <c r="T627" s="22"/>
      <c r="U627" s="22"/>
      <c r="V627" s="22"/>
      <c r="W627" s="3"/>
      <c r="X627" s="5" t="s">
        <v>1271</v>
      </c>
      <c r="Y627" s="28">
        <f t="shared" si="5"/>
        <v>0</v>
      </c>
      <c r="Z627" s="5">
        <v>0</v>
      </c>
    </row>
    <row r="628" spans="1:26" x14ac:dyDescent="0.3">
      <c r="A628" s="3">
        <v>27</v>
      </c>
      <c r="B628" s="3" t="s">
        <v>1243</v>
      </c>
      <c r="C628" s="3" t="s">
        <v>1268</v>
      </c>
      <c r="D628" s="3" t="s">
        <v>1353</v>
      </c>
      <c r="E628" s="3" t="s">
        <v>458</v>
      </c>
      <c r="F628" s="3" t="s">
        <v>458</v>
      </c>
      <c r="G628" s="3"/>
      <c r="H628" s="3">
        <v>4000</v>
      </c>
      <c r="I628" s="3">
        <v>0</v>
      </c>
      <c r="J628" s="3" t="s">
        <v>1246</v>
      </c>
      <c r="K628" s="3" t="s">
        <v>243</v>
      </c>
      <c r="L628" s="3" t="s">
        <v>1357</v>
      </c>
      <c r="M628" s="3" t="s">
        <v>1357</v>
      </c>
      <c r="N628" s="22">
        <v>0</v>
      </c>
      <c r="O628" s="22"/>
      <c r="P628" s="22"/>
      <c r="Q628" s="22"/>
      <c r="R628" s="22"/>
      <c r="S628" s="22"/>
      <c r="T628" s="22"/>
      <c r="U628" s="22"/>
      <c r="V628" s="22"/>
      <c r="W628" s="3"/>
      <c r="X628" s="5" t="s">
        <v>1271</v>
      </c>
      <c r="Y628" s="28">
        <f t="shared" si="5"/>
        <v>0</v>
      </c>
      <c r="Z628" s="5">
        <v>0</v>
      </c>
    </row>
    <row r="629" spans="1:26" x14ac:dyDescent="0.3">
      <c r="A629" s="3">
        <v>27</v>
      </c>
      <c r="B629" s="3" t="s">
        <v>1243</v>
      </c>
      <c r="C629" s="3" t="s">
        <v>1268</v>
      </c>
      <c r="D629" s="3" t="s">
        <v>1353</v>
      </c>
      <c r="E629" s="3" t="s">
        <v>458</v>
      </c>
      <c r="F629" s="3" t="s">
        <v>458</v>
      </c>
      <c r="G629" s="3"/>
      <c r="H629" s="3">
        <v>4000</v>
      </c>
      <c r="I629" s="3">
        <v>0</v>
      </c>
      <c r="J629" s="3" t="s">
        <v>1246</v>
      </c>
      <c r="K629" s="3" t="s">
        <v>243</v>
      </c>
      <c r="L629" s="3" t="s">
        <v>1358</v>
      </c>
      <c r="M629" s="3" t="s">
        <v>1358</v>
      </c>
      <c r="N629" s="22">
        <v>0</v>
      </c>
      <c r="O629" s="22"/>
      <c r="P629" s="22"/>
      <c r="Q629" s="22"/>
      <c r="R629" s="22"/>
      <c r="S629" s="22"/>
      <c r="T629" s="22"/>
      <c r="U629" s="22"/>
      <c r="V629" s="22"/>
      <c r="W629" s="3"/>
      <c r="X629" s="5" t="s">
        <v>1271</v>
      </c>
      <c r="Y629" s="28">
        <f t="shared" si="5"/>
        <v>0</v>
      </c>
      <c r="Z629" s="5">
        <v>0</v>
      </c>
    </row>
    <row r="630" spans="1:26" x14ac:dyDescent="0.3">
      <c r="A630" s="3">
        <v>27</v>
      </c>
      <c r="B630" s="3" t="s">
        <v>1243</v>
      </c>
      <c r="C630" s="3" t="s">
        <v>1268</v>
      </c>
      <c r="D630" s="3" t="s">
        <v>1353</v>
      </c>
      <c r="E630" s="3" t="s">
        <v>458</v>
      </c>
      <c r="F630" s="3" t="s">
        <v>458</v>
      </c>
      <c r="G630" s="3"/>
      <c r="H630" s="3">
        <v>4000</v>
      </c>
      <c r="I630" s="3">
        <v>0</v>
      </c>
      <c r="J630" s="3" t="s">
        <v>1246</v>
      </c>
      <c r="K630" s="3" t="s">
        <v>243</v>
      </c>
      <c r="L630" s="3" t="s">
        <v>1359</v>
      </c>
      <c r="M630" s="3" t="s">
        <v>1359</v>
      </c>
      <c r="N630" s="22">
        <v>0</v>
      </c>
      <c r="O630" s="22"/>
      <c r="P630" s="22"/>
      <c r="Q630" s="22"/>
      <c r="R630" s="22"/>
      <c r="S630" s="22"/>
      <c r="T630" s="22"/>
      <c r="U630" s="22"/>
      <c r="V630" s="22"/>
      <c r="W630" s="3"/>
      <c r="X630" s="5" t="s">
        <v>1271</v>
      </c>
      <c r="Y630" s="28">
        <f t="shared" si="5"/>
        <v>0</v>
      </c>
      <c r="Z630" s="5">
        <v>0</v>
      </c>
    </row>
    <row r="631" spans="1:26" x14ac:dyDescent="0.3">
      <c r="A631" s="3">
        <v>27</v>
      </c>
      <c r="B631" s="3" t="s">
        <v>1243</v>
      </c>
      <c r="C631" s="3" t="s">
        <v>1268</v>
      </c>
      <c r="D631" s="3" t="s">
        <v>1353</v>
      </c>
      <c r="E631" s="3" t="s">
        <v>458</v>
      </c>
      <c r="F631" s="3" t="s">
        <v>458</v>
      </c>
      <c r="G631" s="3"/>
      <c r="H631" s="3">
        <v>4000</v>
      </c>
      <c r="I631" s="3">
        <v>0</v>
      </c>
      <c r="J631" s="3" t="s">
        <v>1246</v>
      </c>
      <c r="K631" s="3" t="s">
        <v>243</v>
      </c>
      <c r="L631" s="3" t="s">
        <v>1360</v>
      </c>
      <c r="M631" s="3" t="s">
        <v>1360</v>
      </c>
      <c r="N631" s="22">
        <v>0</v>
      </c>
      <c r="O631" s="22"/>
      <c r="P631" s="22"/>
      <c r="Q631" s="22"/>
      <c r="R631" s="22"/>
      <c r="S631" s="22"/>
      <c r="T631" s="22"/>
      <c r="U631" s="22"/>
      <c r="V631" s="22"/>
      <c r="W631" s="3"/>
      <c r="X631" s="5" t="s">
        <v>1271</v>
      </c>
      <c r="Y631" s="28">
        <f t="shared" si="5"/>
        <v>0</v>
      </c>
      <c r="Z631" s="5">
        <v>0</v>
      </c>
    </row>
    <row r="632" spans="1:26" x14ac:dyDescent="0.3">
      <c r="A632" s="3">
        <v>27</v>
      </c>
      <c r="B632" s="3" t="s">
        <v>1243</v>
      </c>
      <c r="C632" s="3" t="s">
        <v>1268</v>
      </c>
      <c r="D632" s="3" t="s">
        <v>1353</v>
      </c>
      <c r="E632" s="3" t="s">
        <v>458</v>
      </c>
      <c r="F632" s="3" t="s">
        <v>458</v>
      </c>
      <c r="G632" s="3"/>
      <c r="H632" s="3">
        <v>4000</v>
      </c>
      <c r="I632" s="3">
        <v>0</v>
      </c>
      <c r="J632" s="3" t="s">
        <v>1246</v>
      </c>
      <c r="K632" s="3" t="s">
        <v>243</v>
      </c>
      <c r="L632" s="3" t="s">
        <v>1361</v>
      </c>
      <c r="M632" s="3" t="s">
        <v>1361</v>
      </c>
      <c r="N632" s="22">
        <v>0</v>
      </c>
      <c r="O632" s="22"/>
      <c r="P632" s="22"/>
      <c r="Q632" s="22"/>
      <c r="R632" s="22"/>
      <c r="S632" s="22"/>
      <c r="T632" s="22"/>
      <c r="U632" s="22"/>
      <c r="V632" s="22"/>
      <c r="W632" s="3"/>
      <c r="X632" s="5" t="s">
        <v>1271</v>
      </c>
      <c r="Y632" s="28">
        <f t="shared" si="5"/>
        <v>0</v>
      </c>
      <c r="Z632" s="5">
        <v>0</v>
      </c>
    </row>
    <row r="633" spans="1:26" x14ac:dyDescent="0.3">
      <c r="A633" s="3">
        <v>27</v>
      </c>
      <c r="B633" s="3" t="s">
        <v>1243</v>
      </c>
      <c r="C633" s="3" t="s">
        <v>1268</v>
      </c>
      <c r="D633" s="3" t="s">
        <v>1353</v>
      </c>
      <c r="E633" s="3" t="s">
        <v>458</v>
      </c>
      <c r="F633" s="3" t="s">
        <v>458</v>
      </c>
      <c r="G633" s="3"/>
      <c r="H633" s="3">
        <v>4000</v>
      </c>
      <c r="I633" s="3">
        <v>0</v>
      </c>
      <c r="J633" s="3" t="s">
        <v>1246</v>
      </c>
      <c r="K633" s="3" t="s">
        <v>243</v>
      </c>
      <c r="L633" s="3" t="s">
        <v>1362</v>
      </c>
      <c r="M633" s="3" t="s">
        <v>1362</v>
      </c>
      <c r="N633" s="22">
        <v>0</v>
      </c>
      <c r="O633" s="22"/>
      <c r="P633" s="22"/>
      <c r="Q633" s="22"/>
      <c r="R633" s="22"/>
      <c r="S633" s="22"/>
      <c r="T633" s="22"/>
      <c r="U633" s="22"/>
      <c r="V633" s="22"/>
      <c r="W633" s="3"/>
      <c r="X633" s="5" t="s">
        <v>1271</v>
      </c>
      <c r="Y633" s="28">
        <f t="shared" si="5"/>
        <v>0</v>
      </c>
      <c r="Z633" s="5">
        <v>0</v>
      </c>
    </row>
    <row r="634" spans="1:26" x14ac:dyDescent="0.3">
      <c r="A634" s="3">
        <v>27</v>
      </c>
      <c r="B634" s="3" t="s">
        <v>1243</v>
      </c>
      <c r="C634" s="3" t="s">
        <v>1268</v>
      </c>
      <c r="D634" s="3" t="s">
        <v>1353</v>
      </c>
      <c r="E634" s="3" t="s">
        <v>458</v>
      </c>
      <c r="F634" s="3" t="s">
        <v>458</v>
      </c>
      <c r="G634" s="3"/>
      <c r="H634" s="3">
        <v>4000</v>
      </c>
      <c r="I634" s="3">
        <v>0</v>
      </c>
      <c r="J634" s="3" t="s">
        <v>1110</v>
      </c>
      <c r="K634" s="3" t="s">
        <v>243</v>
      </c>
      <c r="L634" s="3" t="s">
        <v>1363</v>
      </c>
      <c r="M634" s="3" t="s">
        <v>1363</v>
      </c>
      <c r="N634" s="22">
        <v>0</v>
      </c>
      <c r="O634" s="22"/>
      <c r="P634" s="22"/>
      <c r="Q634" s="22"/>
      <c r="R634" s="22"/>
      <c r="S634" s="22"/>
      <c r="T634" s="22"/>
      <c r="U634" s="22"/>
      <c r="V634" s="22"/>
      <c r="W634" s="3"/>
      <c r="X634" s="5" t="s">
        <v>1271</v>
      </c>
      <c r="Y634" s="28">
        <f t="shared" si="5"/>
        <v>0</v>
      </c>
      <c r="Z634" s="5">
        <v>0</v>
      </c>
    </row>
    <row r="635" spans="1:26" x14ac:dyDescent="0.3">
      <c r="A635" s="3">
        <v>27</v>
      </c>
      <c r="B635" s="3" t="s">
        <v>1243</v>
      </c>
      <c r="C635" s="3" t="s">
        <v>1268</v>
      </c>
      <c r="D635" s="3" t="s">
        <v>1353</v>
      </c>
      <c r="E635" s="3" t="s">
        <v>458</v>
      </c>
      <c r="F635" s="3" t="s">
        <v>458</v>
      </c>
      <c r="G635" s="3"/>
      <c r="H635" s="3">
        <v>4000</v>
      </c>
      <c r="I635" s="3">
        <v>0</v>
      </c>
      <c r="J635" s="3" t="s">
        <v>1246</v>
      </c>
      <c r="K635" s="3" t="s">
        <v>243</v>
      </c>
      <c r="L635" s="3" t="s">
        <v>1364</v>
      </c>
      <c r="M635" s="3" t="s">
        <v>1364</v>
      </c>
      <c r="N635" s="22">
        <v>0</v>
      </c>
      <c r="O635" s="22"/>
      <c r="P635" s="22"/>
      <c r="Q635" s="22"/>
      <c r="R635" s="22"/>
      <c r="S635" s="22"/>
      <c r="T635" s="22"/>
      <c r="U635" s="22"/>
      <c r="V635" s="22"/>
      <c r="W635" s="3"/>
      <c r="X635" s="5" t="s">
        <v>1271</v>
      </c>
      <c r="Y635" s="28">
        <f t="shared" si="5"/>
        <v>0</v>
      </c>
      <c r="Z635" s="5">
        <v>0</v>
      </c>
    </row>
    <row r="636" spans="1:26" x14ac:dyDescent="0.3">
      <c r="A636" s="3">
        <v>27</v>
      </c>
      <c r="B636" s="3" t="s">
        <v>1243</v>
      </c>
      <c r="C636" s="3" t="s">
        <v>1268</v>
      </c>
      <c r="D636" s="3" t="s">
        <v>1353</v>
      </c>
      <c r="E636" s="3" t="s">
        <v>458</v>
      </c>
      <c r="F636" s="3" t="s">
        <v>458</v>
      </c>
      <c r="G636" s="3"/>
      <c r="H636" s="3">
        <v>4000</v>
      </c>
      <c r="I636" s="3">
        <v>0</v>
      </c>
      <c r="J636" s="3" t="s">
        <v>1246</v>
      </c>
      <c r="K636" s="3" t="s">
        <v>243</v>
      </c>
      <c r="L636" s="3" t="s">
        <v>1438</v>
      </c>
      <c r="M636" s="3" t="s">
        <v>1438</v>
      </c>
      <c r="N636" s="22">
        <v>0</v>
      </c>
      <c r="O636" s="22"/>
      <c r="P636" s="22"/>
      <c r="Q636" s="22"/>
      <c r="R636" s="22"/>
      <c r="S636" s="22"/>
      <c r="T636" s="22"/>
      <c r="U636" s="22"/>
      <c r="V636" s="22"/>
      <c r="W636" s="3"/>
      <c r="X636" s="5" t="s">
        <v>1271</v>
      </c>
      <c r="Y636" s="28">
        <f t="shared" si="5"/>
        <v>0</v>
      </c>
      <c r="Z636" s="5">
        <v>0</v>
      </c>
    </row>
    <row r="637" spans="1:26" x14ac:dyDescent="0.3">
      <c r="A637" s="3">
        <v>27</v>
      </c>
      <c r="B637" s="3" t="s">
        <v>1243</v>
      </c>
      <c r="C637" s="3" t="s">
        <v>1268</v>
      </c>
      <c r="D637" s="3" t="s">
        <v>1353</v>
      </c>
      <c r="E637" s="3" t="s">
        <v>458</v>
      </c>
      <c r="F637" s="3" t="s">
        <v>458</v>
      </c>
      <c r="G637" s="3"/>
      <c r="H637" s="3">
        <v>4000</v>
      </c>
      <c r="I637" s="3">
        <v>0</v>
      </c>
      <c r="J637" s="3" t="s">
        <v>1246</v>
      </c>
      <c r="K637" s="3" t="s">
        <v>243</v>
      </c>
      <c r="L637" s="3" t="s">
        <v>1439</v>
      </c>
      <c r="M637" s="3" t="s">
        <v>1439</v>
      </c>
      <c r="N637" s="22">
        <v>0</v>
      </c>
      <c r="O637" s="22"/>
      <c r="P637" s="22"/>
      <c r="Q637" s="22"/>
      <c r="R637" s="22"/>
      <c r="S637" s="22"/>
      <c r="T637" s="22"/>
      <c r="U637" s="22"/>
      <c r="V637" s="22"/>
      <c r="W637" s="3"/>
      <c r="X637" s="5" t="s">
        <v>1271</v>
      </c>
      <c r="Y637" s="28">
        <f t="shared" si="5"/>
        <v>0</v>
      </c>
      <c r="Z637" s="5">
        <v>0</v>
      </c>
    </row>
    <row r="638" spans="1:26" x14ac:dyDescent="0.3">
      <c r="A638" s="3">
        <v>27</v>
      </c>
      <c r="B638" s="3" t="s">
        <v>1243</v>
      </c>
      <c r="C638" s="3" t="s">
        <v>1268</v>
      </c>
      <c r="D638" s="3" t="s">
        <v>1353</v>
      </c>
      <c r="E638" s="3" t="s">
        <v>458</v>
      </c>
      <c r="F638" s="3" t="s">
        <v>458</v>
      </c>
      <c r="G638" s="3"/>
      <c r="H638" s="3">
        <v>4000</v>
      </c>
      <c r="I638" s="3">
        <v>0</v>
      </c>
      <c r="J638" s="3" t="s">
        <v>1246</v>
      </c>
      <c r="K638" s="3" t="s">
        <v>243</v>
      </c>
      <c r="L638" s="3" t="s">
        <v>1365</v>
      </c>
      <c r="M638" s="3" t="s">
        <v>1365</v>
      </c>
      <c r="N638" s="22">
        <v>0</v>
      </c>
      <c r="O638" s="22"/>
      <c r="P638" s="22"/>
      <c r="Q638" s="22"/>
      <c r="R638" s="22"/>
      <c r="S638" s="22"/>
      <c r="T638" s="22"/>
      <c r="U638" s="22"/>
      <c r="V638" s="22"/>
      <c r="W638" s="3"/>
      <c r="X638" s="5" t="s">
        <v>1271</v>
      </c>
      <c r="Y638" s="28">
        <f t="shared" si="5"/>
        <v>0</v>
      </c>
      <c r="Z638" s="5">
        <v>0</v>
      </c>
    </row>
    <row r="639" spans="1:26" x14ac:dyDescent="0.3">
      <c r="A639" s="3">
        <v>27</v>
      </c>
      <c r="B639" s="3" t="s">
        <v>1243</v>
      </c>
      <c r="C639" s="3" t="s">
        <v>1268</v>
      </c>
      <c r="D639" s="3" t="s">
        <v>1353</v>
      </c>
      <c r="E639" s="3" t="s">
        <v>458</v>
      </c>
      <c r="F639" s="3" t="s">
        <v>458</v>
      </c>
      <c r="G639" s="3"/>
      <c r="H639" s="3">
        <v>4000</v>
      </c>
      <c r="I639" s="3">
        <v>0</v>
      </c>
      <c r="J639" s="3" t="s">
        <v>1246</v>
      </c>
      <c r="K639" s="3" t="s">
        <v>243</v>
      </c>
      <c r="L639" s="3" t="s">
        <v>1440</v>
      </c>
      <c r="M639" s="3" t="s">
        <v>1440</v>
      </c>
      <c r="N639" s="22">
        <v>0</v>
      </c>
      <c r="O639" s="22"/>
      <c r="P639" s="22"/>
      <c r="Q639" s="22"/>
      <c r="R639" s="22"/>
      <c r="S639" s="22"/>
      <c r="T639" s="22"/>
      <c r="U639" s="22"/>
      <c r="V639" s="22"/>
      <c r="W639" s="3"/>
      <c r="X639" s="5" t="s">
        <v>1271</v>
      </c>
      <c r="Y639" s="28">
        <f t="shared" si="5"/>
        <v>0</v>
      </c>
      <c r="Z639" s="5">
        <v>0</v>
      </c>
    </row>
    <row r="640" spans="1:26" x14ac:dyDescent="0.3">
      <c r="A640" s="3">
        <v>27</v>
      </c>
      <c r="B640" s="3" t="s">
        <v>1243</v>
      </c>
      <c r="C640" s="3" t="s">
        <v>1268</v>
      </c>
      <c r="D640" s="3" t="s">
        <v>1353</v>
      </c>
      <c r="E640" s="3" t="s">
        <v>458</v>
      </c>
      <c r="F640" s="3" t="s">
        <v>458</v>
      </c>
      <c r="G640" s="3"/>
      <c r="H640" s="3">
        <v>4000</v>
      </c>
      <c r="I640" s="3">
        <v>0</v>
      </c>
      <c r="J640" s="3" t="s">
        <v>1246</v>
      </c>
      <c r="K640" s="3" t="s">
        <v>243</v>
      </c>
      <c r="L640" s="3" t="s">
        <v>1441</v>
      </c>
      <c r="M640" s="3" t="s">
        <v>1441</v>
      </c>
      <c r="N640" s="22">
        <v>0</v>
      </c>
      <c r="O640" s="22"/>
      <c r="P640" s="22"/>
      <c r="Q640" s="22"/>
      <c r="R640" s="22"/>
      <c r="S640" s="22"/>
      <c r="T640" s="22"/>
      <c r="U640" s="22"/>
      <c r="V640" s="22"/>
      <c r="W640" s="3"/>
      <c r="X640" s="5" t="s">
        <v>1271</v>
      </c>
      <c r="Y640" s="28">
        <f t="shared" si="5"/>
        <v>0</v>
      </c>
      <c r="Z640" s="5">
        <v>0</v>
      </c>
    </row>
    <row r="641" spans="1:26" x14ac:dyDescent="0.3">
      <c r="A641" s="3">
        <v>27</v>
      </c>
      <c r="B641" s="3" t="s">
        <v>1243</v>
      </c>
      <c r="C641" s="3" t="s">
        <v>1268</v>
      </c>
      <c r="D641" s="3" t="s">
        <v>1353</v>
      </c>
      <c r="E641" s="3" t="s">
        <v>458</v>
      </c>
      <c r="F641" s="3" t="s">
        <v>458</v>
      </c>
      <c r="G641" s="3"/>
      <c r="H641" s="3">
        <v>4000</v>
      </c>
      <c r="I641" s="3">
        <v>0</v>
      </c>
      <c r="J641" s="3" t="s">
        <v>1246</v>
      </c>
      <c r="K641" s="3" t="s">
        <v>243</v>
      </c>
      <c r="L641" s="3" t="s">
        <v>1366</v>
      </c>
      <c r="M641" s="3" t="s">
        <v>1366</v>
      </c>
      <c r="N641" s="22">
        <v>0</v>
      </c>
      <c r="O641" s="22"/>
      <c r="P641" s="22"/>
      <c r="Q641" s="22"/>
      <c r="R641" s="22"/>
      <c r="S641" s="22"/>
      <c r="T641" s="22"/>
      <c r="U641" s="22"/>
      <c r="V641" s="22"/>
      <c r="W641" s="3"/>
      <c r="X641" s="5" t="s">
        <v>1271</v>
      </c>
      <c r="Y641" s="28">
        <f t="shared" si="5"/>
        <v>0</v>
      </c>
      <c r="Z641" s="5">
        <v>0</v>
      </c>
    </row>
    <row r="642" spans="1:26" x14ac:dyDescent="0.3">
      <c r="A642" s="3">
        <v>27</v>
      </c>
      <c r="B642" s="3" t="s">
        <v>1243</v>
      </c>
      <c r="C642" s="3" t="s">
        <v>1268</v>
      </c>
      <c r="D642" s="3" t="s">
        <v>1353</v>
      </c>
      <c r="E642" s="3" t="s">
        <v>458</v>
      </c>
      <c r="F642" s="3" t="s">
        <v>458</v>
      </c>
      <c r="G642" s="3"/>
      <c r="H642" s="3">
        <v>4000</v>
      </c>
      <c r="I642" s="3">
        <v>0</v>
      </c>
      <c r="J642" s="3" t="s">
        <v>1246</v>
      </c>
      <c r="K642" s="3" t="s">
        <v>243</v>
      </c>
      <c r="L642" s="3" t="s">
        <v>1367</v>
      </c>
      <c r="M642" s="3" t="s">
        <v>1367</v>
      </c>
      <c r="N642" s="22">
        <v>0</v>
      </c>
      <c r="O642" s="22"/>
      <c r="P642" s="22"/>
      <c r="Q642" s="22"/>
      <c r="R642" s="22"/>
      <c r="S642" s="22"/>
      <c r="T642" s="22"/>
      <c r="U642" s="22"/>
      <c r="V642" s="22"/>
      <c r="W642" s="3"/>
      <c r="X642" s="5" t="s">
        <v>1271</v>
      </c>
      <c r="Y642" s="28">
        <f t="shared" si="5"/>
        <v>0</v>
      </c>
      <c r="Z642" s="5">
        <v>0</v>
      </c>
    </row>
    <row r="643" spans="1:26" x14ac:dyDescent="0.3">
      <c r="A643" s="3">
        <v>27</v>
      </c>
      <c r="B643" s="3" t="s">
        <v>1243</v>
      </c>
      <c r="C643" s="3" t="s">
        <v>1268</v>
      </c>
      <c r="D643" s="3" t="s">
        <v>1353</v>
      </c>
      <c r="E643" s="3" t="s">
        <v>458</v>
      </c>
      <c r="F643" s="3" t="s">
        <v>458</v>
      </c>
      <c r="G643" s="3"/>
      <c r="H643" s="3">
        <v>4000</v>
      </c>
      <c r="I643" s="3">
        <v>0</v>
      </c>
      <c r="J643" s="3" t="s">
        <v>1246</v>
      </c>
      <c r="K643" s="3" t="s">
        <v>243</v>
      </c>
      <c r="L643" s="3" t="s">
        <v>1368</v>
      </c>
      <c r="M643" s="3" t="s">
        <v>1368</v>
      </c>
      <c r="N643" s="22">
        <v>0</v>
      </c>
      <c r="O643" s="22"/>
      <c r="P643" s="22"/>
      <c r="Q643" s="22"/>
      <c r="R643" s="22"/>
      <c r="S643" s="22"/>
      <c r="T643" s="22"/>
      <c r="U643" s="22"/>
      <c r="V643" s="22"/>
      <c r="W643" s="3"/>
      <c r="X643" s="5" t="s">
        <v>1271</v>
      </c>
      <c r="Y643" s="28">
        <f t="shared" si="5"/>
        <v>0</v>
      </c>
      <c r="Z643" s="5">
        <v>0</v>
      </c>
    </row>
    <row r="644" spans="1:26" x14ac:dyDescent="0.3">
      <c r="A644" s="3">
        <v>27</v>
      </c>
      <c r="B644" s="3" t="s">
        <v>1243</v>
      </c>
      <c r="C644" s="3" t="s">
        <v>1268</v>
      </c>
      <c r="D644" s="3" t="s">
        <v>1353</v>
      </c>
      <c r="E644" s="3" t="s">
        <v>458</v>
      </c>
      <c r="F644" s="3" t="s">
        <v>458</v>
      </c>
      <c r="G644" s="3"/>
      <c r="H644" s="3">
        <v>4000</v>
      </c>
      <c r="I644" s="3">
        <v>0</v>
      </c>
      <c r="J644" s="3" t="s">
        <v>1246</v>
      </c>
      <c r="K644" s="3" t="s">
        <v>243</v>
      </c>
      <c r="L644" s="3" t="s">
        <v>1369</v>
      </c>
      <c r="M644" s="3" t="s">
        <v>1369</v>
      </c>
      <c r="N644" s="22">
        <v>0</v>
      </c>
      <c r="O644" s="22"/>
      <c r="P644" s="22"/>
      <c r="Q644" s="22"/>
      <c r="R644" s="22"/>
      <c r="S644" s="22"/>
      <c r="T644" s="22"/>
      <c r="U644" s="22"/>
      <c r="V644" s="22"/>
      <c r="W644" s="3"/>
      <c r="X644" s="5" t="s">
        <v>1271</v>
      </c>
      <c r="Y644" s="28">
        <f t="shared" si="5"/>
        <v>0</v>
      </c>
      <c r="Z644" s="5">
        <v>0</v>
      </c>
    </row>
    <row r="645" spans="1:26" x14ac:dyDescent="0.3">
      <c r="A645" s="3">
        <v>27</v>
      </c>
      <c r="B645" s="3" t="s">
        <v>1243</v>
      </c>
      <c r="C645" s="3" t="s">
        <v>1268</v>
      </c>
      <c r="D645" s="3" t="s">
        <v>1353</v>
      </c>
      <c r="E645" s="3" t="s">
        <v>458</v>
      </c>
      <c r="F645" s="3" t="s">
        <v>458</v>
      </c>
      <c r="G645" s="3"/>
      <c r="H645" s="3">
        <v>4000</v>
      </c>
      <c r="I645" s="3">
        <v>0</v>
      </c>
      <c r="J645" s="3" t="s">
        <v>1246</v>
      </c>
      <c r="K645" s="3" t="s">
        <v>243</v>
      </c>
      <c r="L645" s="3" t="s">
        <v>1370</v>
      </c>
      <c r="M645" s="3" t="s">
        <v>1370</v>
      </c>
      <c r="N645" s="22">
        <v>0</v>
      </c>
      <c r="O645" s="22"/>
      <c r="P645" s="22"/>
      <c r="Q645" s="22"/>
      <c r="R645" s="22"/>
      <c r="S645" s="22"/>
      <c r="T645" s="22"/>
      <c r="U645" s="22"/>
      <c r="V645" s="22"/>
      <c r="W645" s="3"/>
      <c r="X645" s="5" t="s">
        <v>1271</v>
      </c>
      <c r="Y645" s="28">
        <f t="shared" si="5"/>
        <v>0</v>
      </c>
      <c r="Z645" s="5">
        <v>0</v>
      </c>
    </row>
    <row r="646" spans="1:26" x14ac:dyDescent="0.3">
      <c r="A646" s="3">
        <v>27</v>
      </c>
      <c r="B646" s="3" t="s">
        <v>1243</v>
      </c>
      <c r="C646" s="3" t="s">
        <v>1268</v>
      </c>
      <c r="D646" s="3" t="s">
        <v>1353</v>
      </c>
      <c r="E646" s="3" t="s">
        <v>458</v>
      </c>
      <c r="F646" s="3" t="s">
        <v>458</v>
      </c>
      <c r="G646" s="3"/>
      <c r="H646" s="3">
        <v>4000</v>
      </c>
      <c r="I646" s="3">
        <v>0</v>
      </c>
      <c r="J646" s="3" t="s">
        <v>1246</v>
      </c>
      <c r="K646" s="3" t="s">
        <v>243</v>
      </c>
      <c r="L646" s="3" t="s">
        <v>1377</v>
      </c>
      <c r="M646" s="3" t="s">
        <v>1377</v>
      </c>
      <c r="N646" s="22">
        <v>0</v>
      </c>
      <c r="O646" s="22"/>
      <c r="P646" s="22"/>
      <c r="Q646" s="22"/>
      <c r="R646" s="22"/>
      <c r="S646" s="22"/>
      <c r="T646" s="22"/>
      <c r="U646" s="22"/>
      <c r="V646" s="22"/>
      <c r="W646" s="3"/>
      <c r="X646" s="5" t="s">
        <v>1271</v>
      </c>
      <c r="Y646" s="28">
        <f t="shared" si="5"/>
        <v>0</v>
      </c>
      <c r="Z646" s="5">
        <v>0</v>
      </c>
    </row>
    <row r="647" spans="1:26" x14ac:dyDescent="0.3">
      <c r="A647" s="3">
        <v>27</v>
      </c>
      <c r="B647" s="3" t="s">
        <v>1243</v>
      </c>
      <c r="C647" s="3" t="s">
        <v>1268</v>
      </c>
      <c r="D647" s="3" t="s">
        <v>1353</v>
      </c>
      <c r="E647" s="3" t="s">
        <v>458</v>
      </c>
      <c r="F647" s="3" t="s">
        <v>458</v>
      </c>
      <c r="G647" s="3"/>
      <c r="H647" s="3">
        <v>4000</v>
      </c>
      <c r="I647" s="3">
        <v>0</v>
      </c>
      <c r="J647" s="3" t="s">
        <v>1246</v>
      </c>
      <c r="K647" s="3" t="s">
        <v>243</v>
      </c>
      <c r="L647" s="3" t="s">
        <v>1442</v>
      </c>
      <c r="M647" s="3" t="s">
        <v>1442</v>
      </c>
      <c r="N647" s="22">
        <v>0</v>
      </c>
      <c r="O647" s="22"/>
      <c r="P647" s="22"/>
      <c r="Q647" s="22"/>
      <c r="R647" s="22"/>
      <c r="S647" s="22"/>
      <c r="T647" s="22"/>
      <c r="U647" s="22"/>
      <c r="V647" s="22"/>
      <c r="W647" s="3"/>
      <c r="X647" s="5" t="s">
        <v>1271</v>
      </c>
      <c r="Y647" s="28">
        <f t="shared" si="5"/>
        <v>0</v>
      </c>
      <c r="Z647" s="5">
        <v>0</v>
      </c>
    </row>
    <row r="648" spans="1:26" x14ac:dyDescent="0.3">
      <c r="A648" s="3">
        <v>27</v>
      </c>
      <c r="B648" s="3" t="s">
        <v>1243</v>
      </c>
      <c r="C648" s="3" t="s">
        <v>1268</v>
      </c>
      <c r="D648" s="3" t="s">
        <v>1353</v>
      </c>
      <c r="E648" s="3" t="s">
        <v>458</v>
      </c>
      <c r="F648" s="3" t="s">
        <v>458</v>
      </c>
      <c r="G648" s="3"/>
      <c r="H648" s="3">
        <v>4000</v>
      </c>
      <c r="I648" s="3">
        <v>0</v>
      </c>
      <c r="J648" s="3" t="s">
        <v>1246</v>
      </c>
      <c r="K648" s="3" t="s">
        <v>243</v>
      </c>
      <c r="L648" s="3" t="s">
        <v>1443</v>
      </c>
      <c r="M648" s="3" t="s">
        <v>1443</v>
      </c>
      <c r="N648" s="22">
        <v>0</v>
      </c>
      <c r="O648" s="22"/>
      <c r="P648" s="22"/>
      <c r="Q648" s="22"/>
      <c r="R648" s="22"/>
      <c r="S648" s="22"/>
      <c r="T648" s="22"/>
      <c r="U648" s="22"/>
      <c r="V648" s="22"/>
      <c r="W648" s="3"/>
      <c r="X648" s="5" t="s">
        <v>1271</v>
      </c>
      <c r="Y648" s="28">
        <f t="shared" si="5"/>
        <v>0</v>
      </c>
      <c r="Z648" s="5">
        <v>0</v>
      </c>
    </row>
    <row r="649" spans="1:26" x14ac:dyDescent="0.3">
      <c r="A649" s="3">
        <v>27</v>
      </c>
      <c r="B649" s="3" t="s">
        <v>1243</v>
      </c>
      <c r="C649" s="3" t="s">
        <v>1268</v>
      </c>
      <c r="D649" s="3" t="s">
        <v>1353</v>
      </c>
      <c r="E649" s="3" t="s">
        <v>458</v>
      </c>
      <c r="F649" s="3" t="s">
        <v>458</v>
      </c>
      <c r="G649" s="3"/>
      <c r="H649" s="3">
        <v>4000</v>
      </c>
      <c r="I649" s="3">
        <v>0</v>
      </c>
      <c r="J649" s="3" t="s">
        <v>1246</v>
      </c>
      <c r="K649" s="3" t="s">
        <v>243</v>
      </c>
      <c r="L649" s="3" t="s">
        <v>1444</v>
      </c>
      <c r="M649" s="3" t="s">
        <v>1444</v>
      </c>
      <c r="N649" s="22">
        <v>0</v>
      </c>
      <c r="O649" s="22"/>
      <c r="P649" s="22"/>
      <c r="Q649" s="22"/>
      <c r="R649" s="22"/>
      <c r="S649" s="22"/>
      <c r="T649" s="22"/>
      <c r="U649" s="22"/>
      <c r="V649" s="22"/>
      <c r="W649" s="3"/>
      <c r="X649" s="5" t="s">
        <v>1271</v>
      </c>
      <c r="Y649" s="28">
        <f t="shared" si="5"/>
        <v>0</v>
      </c>
      <c r="Z649" s="5">
        <v>0</v>
      </c>
    </row>
    <row r="650" spans="1:26" x14ac:dyDescent="0.3">
      <c r="A650" s="3">
        <v>27</v>
      </c>
      <c r="B650" s="3" t="s">
        <v>1243</v>
      </c>
      <c r="C650" s="3" t="s">
        <v>1268</v>
      </c>
      <c r="D650" s="3" t="s">
        <v>1353</v>
      </c>
      <c r="E650" s="3" t="s">
        <v>458</v>
      </c>
      <c r="F650" s="3" t="s">
        <v>458</v>
      </c>
      <c r="G650" s="3"/>
      <c r="H650" s="3">
        <v>4000</v>
      </c>
      <c r="I650" s="3">
        <v>0</v>
      </c>
      <c r="J650" s="3" t="s">
        <v>1246</v>
      </c>
      <c r="K650" s="3" t="s">
        <v>243</v>
      </c>
      <c r="L650" s="3" t="s">
        <v>1384</v>
      </c>
      <c r="M650" s="3" t="s">
        <v>1384</v>
      </c>
      <c r="N650" s="22">
        <v>0</v>
      </c>
      <c r="O650" s="22"/>
      <c r="P650" s="22"/>
      <c r="Q650" s="22"/>
      <c r="R650" s="22"/>
      <c r="S650" s="22"/>
      <c r="T650" s="22"/>
      <c r="U650" s="22"/>
      <c r="V650" s="22"/>
      <c r="W650" s="3"/>
      <c r="X650" s="5" t="s">
        <v>1271</v>
      </c>
      <c r="Y650" s="28">
        <f t="shared" si="5"/>
        <v>0</v>
      </c>
      <c r="Z650" s="5">
        <v>0</v>
      </c>
    </row>
    <row r="651" spans="1:26" x14ac:dyDescent="0.3">
      <c r="A651" s="3">
        <v>27</v>
      </c>
      <c r="B651" s="3" t="s">
        <v>1243</v>
      </c>
      <c r="C651" s="3" t="s">
        <v>1268</v>
      </c>
      <c r="D651" s="3" t="s">
        <v>1353</v>
      </c>
      <c r="E651" s="3" t="s">
        <v>458</v>
      </c>
      <c r="F651" s="3" t="s">
        <v>458</v>
      </c>
      <c r="G651" s="3"/>
      <c r="H651" s="3">
        <v>4000</v>
      </c>
      <c r="I651" s="3">
        <v>0</v>
      </c>
      <c r="J651" s="3" t="s">
        <v>1246</v>
      </c>
      <c r="K651" s="3" t="s">
        <v>243</v>
      </c>
      <c r="L651" s="3" t="s">
        <v>1385</v>
      </c>
      <c r="M651" s="3" t="s">
        <v>1385</v>
      </c>
      <c r="N651" s="22">
        <v>0</v>
      </c>
      <c r="O651" s="22"/>
      <c r="P651" s="22"/>
      <c r="Q651" s="22"/>
      <c r="R651" s="22"/>
      <c r="S651" s="22"/>
      <c r="T651" s="22"/>
      <c r="U651" s="22"/>
      <c r="V651" s="22"/>
      <c r="W651" s="3"/>
      <c r="X651" s="5" t="s">
        <v>1271</v>
      </c>
      <c r="Y651" s="28">
        <f t="shared" si="5"/>
        <v>0</v>
      </c>
      <c r="Z651" s="5">
        <v>0</v>
      </c>
    </row>
    <row r="652" spans="1:26" x14ac:dyDescent="0.3">
      <c r="A652" s="3">
        <v>27</v>
      </c>
      <c r="B652" s="3" t="s">
        <v>1243</v>
      </c>
      <c r="C652" s="3" t="s">
        <v>1268</v>
      </c>
      <c r="D652" s="3" t="s">
        <v>1353</v>
      </c>
      <c r="E652" s="3" t="s">
        <v>458</v>
      </c>
      <c r="F652" s="3" t="s">
        <v>458</v>
      </c>
      <c r="G652" s="3"/>
      <c r="H652" s="3">
        <v>4000</v>
      </c>
      <c r="I652" s="3">
        <v>0</v>
      </c>
      <c r="J652" s="3" t="s">
        <v>1246</v>
      </c>
      <c r="K652" s="3" t="s">
        <v>243</v>
      </c>
      <c r="L652" s="3" t="s">
        <v>1389</v>
      </c>
      <c r="M652" s="3" t="s">
        <v>1389</v>
      </c>
      <c r="N652" s="22">
        <v>0</v>
      </c>
      <c r="O652" s="22"/>
      <c r="P652" s="22"/>
      <c r="Q652" s="22"/>
      <c r="R652" s="22"/>
      <c r="S652" s="22"/>
      <c r="T652" s="22"/>
      <c r="U652" s="22"/>
      <c r="V652" s="22"/>
      <c r="W652" s="3"/>
      <c r="X652" s="5" t="s">
        <v>1271</v>
      </c>
      <c r="Y652" s="28">
        <f t="shared" si="5"/>
        <v>0</v>
      </c>
      <c r="Z652" s="5">
        <v>0</v>
      </c>
    </row>
    <row r="653" spans="1:26" x14ac:dyDescent="0.3">
      <c r="A653" s="3">
        <v>27</v>
      </c>
      <c r="B653" s="3" t="s">
        <v>1243</v>
      </c>
      <c r="C653" s="3" t="s">
        <v>1268</v>
      </c>
      <c r="D653" s="3" t="s">
        <v>1353</v>
      </c>
      <c r="E653" s="3" t="s">
        <v>458</v>
      </c>
      <c r="F653" s="3" t="s">
        <v>458</v>
      </c>
      <c r="G653" s="3"/>
      <c r="H653" s="3">
        <v>4000</v>
      </c>
      <c r="I653" s="3">
        <v>0</v>
      </c>
      <c r="J653" s="3" t="s">
        <v>1246</v>
      </c>
      <c r="K653" s="3" t="s">
        <v>243</v>
      </c>
      <c r="L653" s="3" t="s">
        <v>1393</v>
      </c>
      <c r="M653" s="3" t="s">
        <v>1393</v>
      </c>
      <c r="N653" s="22">
        <v>0</v>
      </c>
      <c r="O653" s="22"/>
      <c r="P653" s="22"/>
      <c r="Q653" s="22"/>
      <c r="R653" s="22"/>
      <c r="S653" s="22"/>
      <c r="T653" s="22"/>
      <c r="U653" s="22"/>
      <c r="V653" s="22"/>
      <c r="W653" s="3"/>
      <c r="X653" s="5" t="s">
        <v>1271</v>
      </c>
      <c r="Y653" s="28">
        <f t="shared" si="5"/>
        <v>0</v>
      </c>
      <c r="Z653" s="5">
        <v>0</v>
      </c>
    </row>
    <row r="654" spans="1:26" x14ac:dyDescent="0.3">
      <c r="A654" s="3">
        <v>27</v>
      </c>
      <c r="B654" s="3" t="s">
        <v>1243</v>
      </c>
      <c r="C654" s="3" t="s">
        <v>1268</v>
      </c>
      <c r="D654" s="3" t="s">
        <v>1353</v>
      </c>
      <c r="E654" s="3" t="s">
        <v>458</v>
      </c>
      <c r="F654" s="3" t="s">
        <v>458</v>
      </c>
      <c r="G654" s="3"/>
      <c r="H654" s="3">
        <v>4000</v>
      </c>
      <c r="I654" s="3">
        <v>0</v>
      </c>
      <c r="J654" s="3" t="s">
        <v>1246</v>
      </c>
      <c r="K654" s="3" t="s">
        <v>243</v>
      </c>
      <c r="L654" s="3" t="s">
        <v>1256</v>
      </c>
      <c r="M654" s="3" t="s">
        <v>1256</v>
      </c>
      <c r="N654" s="22">
        <v>0</v>
      </c>
      <c r="O654" s="22"/>
      <c r="P654" s="22"/>
      <c r="Q654" s="22"/>
      <c r="R654" s="22"/>
      <c r="S654" s="22"/>
      <c r="T654" s="22"/>
      <c r="U654" s="22"/>
      <c r="V654" s="22"/>
      <c r="W654" s="3"/>
      <c r="X654" s="5" t="s">
        <v>1271</v>
      </c>
      <c r="Y654" s="28">
        <f t="shared" si="5"/>
        <v>0</v>
      </c>
      <c r="Z654" s="5">
        <v>0</v>
      </c>
    </row>
    <row r="655" spans="1:26" x14ac:dyDescent="0.3">
      <c r="A655" s="3">
        <v>27</v>
      </c>
      <c r="B655" s="3" t="s">
        <v>1243</v>
      </c>
      <c r="C655" s="3" t="s">
        <v>1268</v>
      </c>
      <c r="D655" s="3" t="s">
        <v>1353</v>
      </c>
      <c r="E655" s="3" t="s">
        <v>458</v>
      </c>
      <c r="F655" s="3" t="s">
        <v>458</v>
      </c>
      <c r="G655" s="3"/>
      <c r="H655" s="3">
        <v>4000</v>
      </c>
      <c r="I655" s="3">
        <v>0</v>
      </c>
      <c r="J655" s="3" t="s">
        <v>1246</v>
      </c>
      <c r="K655" s="3" t="s">
        <v>243</v>
      </c>
      <c r="L655" s="3" t="s">
        <v>1257</v>
      </c>
      <c r="M655" s="3" t="s">
        <v>1257</v>
      </c>
      <c r="N655" s="22">
        <v>0</v>
      </c>
      <c r="O655" s="22"/>
      <c r="P655" s="22"/>
      <c r="Q655" s="22"/>
      <c r="R655" s="22"/>
      <c r="S655" s="22"/>
      <c r="T655" s="22"/>
      <c r="U655" s="22"/>
      <c r="V655" s="22"/>
      <c r="W655" s="3"/>
      <c r="X655" s="5" t="s">
        <v>1271</v>
      </c>
      <c r="Y655" s="28">
        <f t="shared" si="5"/>
        <v>0</v>
      </c>
      <c r="Z655" s="5">
        <v>0</v>
      </c>
    </row>
    <row r="656" spans="1:26" x14ac:dyDescent="0.3">
      <c r="A656" s="3">
        <v>27</v>
      </c>
      <c r="B656" s="3" t="s">
        <v>1243</v>
      </c>
      <c r="C656" s="3" t="s">
        <v>1268</v>
      </c>
      <c r="D656" s="3" t="s">
        <v>1353</v>
      </c>
      <c r="E656" s="3" t="s">
        <v>458</v>
      </c>
      <c r="F656" s="3" t="s">
        <v>458</v>
      </c>
      <c r="G656" s="3"/>
      <c r="H656" s="3">
        <v>4000</v>
      </c>
      <c r="I656" s="3">
        <v>0</v>
      </c>
      <c r="J656" s="3" t="s">
        <v>1246</v>
      </c>
      <c r="K656" s="3" t="s">
        <v>243</v>
      </c>
      <c r="L656" s="3" t="s">
        <v>1404</v>
      </c>
      <c r="M656" s="3" t="s">
        <v>1404</v>
      </c>
      <c r="N656" s="22">
        <v>0</v>
      </c>
      <c r="O656" s="22"/>
      <c r="P656" s="22"/>
      <c r="Q656" s="22"/>
      <c r="R656" s="22"/>
      <c r="S656" s="22"/>
      <c r="T656" s="22"/>
      <c r="U656" s="22"/>
      <c r="V656" s="22"/>
      <c r="W656" s="3"/>
      <c r="X656" s="5" t="s">
        <v>1271</v>
      </c>
      <c r="Y656" s="28">
        <f t="shared" si="5"/>
        <v>0</v>
      </c>
      <c r="Z656" s="5">
        <v>0</v>
      </c>
    </row>
    <row r="657" spans="1:26" x14ac:dyDescent="0.3">
      <c r="A657" s="3">
        <v>27</v>
      </c>
      <c r="B657" s="3" t="s">
        <v>1243</v>
      </c>
      <c r="C657" s="3" t="s">
        <v>1268</v>
      </c>
      <c r="D657" s="3" t="s">
        <v>1353</v>
      </c>
      <c r="E657" s="3" t="s">
        <v>458</v>
      </c>
      <c r="F657" s="3" t="s">
        <v>458</v>
      </c>
      <c r="G657" s="3"/>
      <c r="H657" s="3">
        <v>4000</v>
      </c>
      <c r="I657" s="3">
        <v>0</v>
      </c>
      <c r="J657" s="3" t="s">
        <v>1246</v>
      </c>
      <c r="K657" s="3" t="s">
        <v>243</v>
      </c>
      <c r="L657" s="3" t="s">
        <v>1406</v>
      </c>
      <c r="M657" s="3" t="s">
        <v>1406</v>
      </c>
      <c r="N657" s="22">
        <v>0</v>
      </c>
      <c r="O657" s="22"/>
      <c r="P657" s="22"/>
      <c r="Q657" s="22"/>
      <c r="R657" s="22"/>
      <c r="S657" s="22"/>
      <c r="T657" s="22"/>
      <c r="U657" s="22"/>
      <c r="V657" s="22"/>
      <c r="W657" s="3"/>
      <c r="X657" s="5" t="s">
        <v>1271</v>
      </c>
      <c r="Y657" s="28">
        <f t="shared" si="5"/>
        <v>0</v>
      </c>
      <c r="Z657" s="5">
        <v>0</v>
      </c>
    </row>
    <row r="658" spans="1:26" x14ac:dyDescent="0.3">
      <c r="A658" s="3">
        <v>27</v>
      </c>
      <c r="B658" s="3" t="s">
        <v>1243</v>
      </c>
      <c r="C658" s="3" t="s">
        <v>1268</v>
      </c>
      <c r="D658" s="3" t="s">
        <v>1353</v>
      </c>
      <c r="E658" s="3" t="s">
        <v>458</v>
      </c>
      <c r="F658" s="3" t="s">
        <v>458</v>
      </c>
      <c r="G658" s="3"/>
      <c r="H658" s="3">
        <v>4000</v>
      </c>
      <c r="I658" s="3">
        <v>0</v>
      </c>
      <c r="J658" s="3" t="s">
        <v>1246</v>
      </c>
      <c r="K658" s="3" t="s">
        <v>243</v>
      </c>
      <c r="L658" s="3" t="s">
        <v>1407</v>
      </c>
      <c r="M658" s="3" t="s">
        <v>1407</v>
      </c>
      <c r="N658" s="22">
        <v>0</v>
      </c>
      <c r="O658" s="22"/>
      <c r="P658" s="22"/>
      <c r="Q658" s="22"/>
      <c r="R658" s="22"/>
      <c r="S658" s="22"/>
      <c r="T658" s="22"/>
      <c r="U658" s="22"/>
      <c r="V658" s="22"/>
      <c r="W658" s="3"/>
      <c r="X658" s="5" t="s">
        <v>1271</v>
      </c>
      <c r="Y658" s="28">
        <f t="shared" si="5"/>
        <v>0</v>
      </c>
      <c r="Z658" s="5">
        <v>0</v>
      </c>
    </row>
    <row r="659" spans="1:26" x14ac:dyDescent="0.3">
      <c r="A659" s="3">
        <v>27</v>
      </c>
      <c r="B659" s="3" t="s">
        <v>1243</v>
      </c>
      <c r="C659" s="3" t="s">
        <v>1268</v>
      </c>
      <c r="D659" s="3" t="s">
        <v>1353</v>
      </c>
      <c r="E659" s="3" t="s">
        <v>458</v>
      </c>
      <c r="F659" s="3" t="s">
        <v>458</v>
      </c>
      <c r="G659" s="3"/>
      <c r="H659" s="3">
        <v>4000</v>
      </c>
      <c r="I659" s="3">
        <v>0</v>
      </c>
      <c r="J659" s="3" t="s">
        <v>1246</v>
      </c>
      <c r="K659" s="3" t="s">
        <v>243</v>
      </c>
      <c r="L659" s="3" t="s">
        <v>1445</v>
      </c>
      <c r="M659" s="3" t="s">
        <v>1445</v>
      </c>
      <c r="N659" s="22">
        <v>0</v>
      </c>
      <c r="O659" s="22"/>
      <c r="P659" s="22"/>
      <c r="Q659" s="22"/>
      <c r="R659" s="22"/>
      <c r="S659" s="22"/>
      <c r="T659" s="22"/>
      <c r="U659" s="22"/>
      <c r="V659" s="22"/>
      <c r="W659" s="3"/>
      <c r="X659" s="5" t="s">
        <v>1271</v>
      </c>
      <c r="Y659" s="28">
        <f t="shared" si="5"/>
        <v>0</v>
      </c>
      <c r="Z659" s="5">
        <v>0</v>
      </c>
    </row>
    <row r="660" spans="1:26" x14ac:dyDescent="0.3">
      <c r="A660" s="3">
        <v>27</v>
      </c>
      <c r="B660" s="3" t="s">
        <v>1243</v>
      </c>
      <c r="C660" s="3" t="s">
        <v>1268</v>
      </c>
      <c r="D660" s="3" t="s">
        <v>1353</v>
      </c>
      <c r="E660" s="3" t="s">
        <v>458</v>
      </c>
      <c r="F660" s="3" t="s">
        <v>458</v>
      </c>
      <c r="G660" s="3"/>
      <c r="H660" s="3">
        <v>4000</v>
      </c>
      <c r="I660" s="3">
        <v>0</v>
      </c>
      <c r="J660" s="3" t="s">
        <v>1246</v>
      </c>
      <c r="K660" s="3" t="s">
        <v>243</v>
      </c>
      <c r="L660" s="3" t="s">
        <v>1411</v>
      </c>
      <c r="M660" s="3" t="s">
        <v>1411</v>
      </c>
      <c r="N660" s="22">
        <v>0</v>
      </c>
      <c r="O660" s="22"/>
      <c r="P660" s="22"/>
      <c r="Q660" s="22"/>
      <c r="R660" s="22"/>
      <c r="S660" s="22"/>
      <c r="T660" s="22"/>
      <c r="U660" s="22"/>
      <c r="V660" s="22"/>
      <c r="W660" s="3"/>
      <c r="X660" s="5" t="s">
        <v>1271</v>
      </c>
      <c r="Y660" s="28">
        <f t="shared" si="5"/>
        <v>0</v>
      </c>
      <c r="Z660" s="5">
        <v>0</v>
      </c>
    </row>
    <row r="661" spans="1:26" x14ac:dyDescent="0.3">
      <c r="A661" s="26">
        <v>27</v>
      </c>
      <c r="B661" s="26" t="s">
        <v>1243</v>
      </c>
      <c r="C661" s="26" t="s">
        <v>1268</v>
      </c>
      <c r="D661" s="26" t="s">
        <v>1353</v>
      </c>
      <c r="E661" s="26" t="s">
        <v>458</v>
      </c>
      <c r="F661" s="26" t="s">
        <v>458</v>
      </c>
      <c r="G661" s="26"/>
      <c r="H661" s="26">
        <v>4000</v>
      </c>
      <c r="I661" s="26">
        <v>0</v>
      </c>
      <c r="J661" s="26" t="s">
        <v>1246</v>
      </c>
      <c r="K661" s="3" t="s">
        <v>243</v>
      </c>
      <c r="L661" s="26" t="s">
        <v>1446</v>
      </c>
      <c r="M661" s="26" t="s">
        <v>1446</v>
      </c>
      <c r="N661" s="106"/>
      <c r="O661" s="22"/>
      <c r="P661" s="109"/>
      <c r="Q661" s="22"/>
      <c r="R661" s="22"/>
      <c r="S661" s="22"/>
      <c r="T661" s="22"/>
      <c r="U661" s="22"/>
      <c r="V661" s="22"/>
      <c r="W661" s="6" t="s">
        <v>1447</v>
      </c>
      <c r="X661" s="5" t="s">
        <v>1271</v>
      </c>
      <c r="Y661" s="28">
        <f t="shared" si="5"/>
        <v>0</v>
      </c>
      <c r="Z661" s="29"/>
    </row>
    <row r="662" spans="1:26" x14ac:dyDescent="0.3">
      <c r="A662" s="3">
        <v>27</v>
      </c>
      <c r="B662" s="3" t="s">
        <v>1243</v>
      </c>
      <c r="C662" s="3" t="s">
        <v>1268</v>
      </c>
      <c r="D662" s="3" t="s">
        <v>1353</v>
      </c>
      <c r="E662" s="3" t="s">
        <v>458</v>
      </c>
      <c r="F662" s="3" t="s">
        <v>458</v>
      </c>
      <c r="G662" s="3"/>
      <c r="H662" s="3">
        <v>4000</v>
      </c>
      <c r="I662" s="3">
        <v>0</v>
      </c>
      <c r="J662" s="3" t="s">
        <v>1246</v>
      </c>
      <c r="K662" s="3" t="s">
        <v>243</v>
      </c>
      <c r="L662" s="3" t="s">
        <v>1412</v>
      </c>
      <c r="M662" s="3" t="s">
        <v>1412</v>
      </c>
      <c r="N662" s="22">
        <v>0</v>
      </c>
      <c r="O662" s="22"/>
      <c r="P662" s="22"/>
      <c r="Q662" s="22"/>
      <c r="R662" s="22"/>
      <c r="S662" s="22"/>
      <c r="T662" s="22"/>
      <c r="U662" s="22"/>
      <c r="V662" s="22"/>
      <c r="W662" s="3"/>
      <c r="X662" s="5" t="s">
        <v>1271</v>
      </c>
      <c r="Y662" s="28">
        <f t="shared" si="5"/>
        <v>0</v>
      </c>
      <c r="Z662" s="5">
        <v>0</v>
      </c>
    </row>
    <row r="663" spans="1:26" x14ac:dyDescent="0.3">
      <c r="A663" s="3">
        <v>27</v>
      </c>
      <c r="B663" s="3" t="s">
        <v>1243</v>
      </c>
      <c r="C663" s="3" t="s">
        <v>1268</v>
      </c>
      <c r="D663" s="3" t="s">
        <v>1353</v>
      </c>
      <c r="E663" s="3" t="s">
        <v>458</v>
      </c>
      <c r="F663" s="3" t="s">
        <v>458</v>
      </c>
      <c r="G663" s="3"/>
      <c r="H663" s="3">
        <v>4000</v>
      </c>
      <c r="I663" s="3">
        <v>0</v>
      </c>
      <c r="J663" s="3" t="s">
        <v>1246</v>
      </c>
      <c r="K663" s="3" t="s">
        <v>243</v>
      </c>
      <c r="L663" s="3" t="s">
        <v>1413</v>
      </c>
      <c r="M663" s="3" t="s">
        <v>1413</v>
      </c>
      <c r="N663" s="22">
        <v>0</v>
      </c>
      <c r="O663" s="22"/>
      <c r="P663" s="22"/>
      <c r="Q663" s="22"/>
      <c r="R663" s="22"/>
      <c r="S663" s="22"/>
      <c r="T663" s="22"/>
      <c r="U663" s="22"/>
      <c r="V663" s="22"/>
      <c r="W663" s="3"/>
      <c r="X663" s="5" t="s">
        <v>1271</v>
      </c>
      <c r="Y663" s="28">
        <f t="shared" si="5"/>
        <v>0</v>
      </c>
      <c r="Z663" s="5">
        <v>0</v>
      </c>
    </row>
    <row r="664" spans="1:26" x14ac:dyDescent="0.3">
      <c r="A664" s="3">
        <v>27</v>
      </c>
      <c r="B664" s="3" t="s">
        <v>1243</v>
      </c>
      <c r="C664" s="3" t="s">
        <v>1268</v>
      </c>
      <c r="D664" s="3" t="s">
        <v>1353</v>
      </c>
      <c r="E664" s="3" t="s">
        <v>458</v>
      </c>
      <c r="F664" s="3" t="s">
        <v>458</v>
      </c>
      <c r="G664" s="3"/>
      <c r="H664" s="3">
        <v>4000</v>
      </c>
      <c r="I664" s="3">
        <v>0</v>
      </c>
      <c r="J664" s="3" t="s">
        <v>1246</v>
      </c>
      <c r="K664" s="3" t="s">
        <v>243</v>
      </c>
      <c r="L664" s="3" t="s">
        <v>1414</v>
      </c>
      <c r="M664" s="3" t="s">
        <v>1414</v>
      </c>
      <c r="N664" s="22">
        <v>0</v>
      </c>
      <c r="O664" s="22"/>
      <c r="P664" s="22"/>
      <c r="Q664" s="22"/>
      <c r="R664" s="22"/>
      <c r="S664" s="22"/>
      <c r="T664" s="22"/>
      <c r="U664" s="22"/>
      <c r="V664" s="22"/>
      <c r="W664" s="3"/>
      <c r="X664" s="5" t="s">
        <v>1271</v>
      </c>
      <c r="Y664" s="28">
        <f t="shared" si="5"/>
        <v>0</v>
      </c>
      <c r="Z664" s="5">
        <v>0</v>
      </c>
    </row>
    <row r="665" spans="1:26" x14ac:dyDescent="0.3">
      <c r="A665" s="3">
        <v>27</v>
      </c>
      <c r="B665" s="3" t="s">
        <v>1243</v>
      </c>
      <c r="C665" s="3" t="s">
        <v>1268</v>
      </c>
      <c r="D665" s="3" t="s">
        <v>1353</v>
      </c>
      <c r="E665" s="3" t="s">
        <v>458</v>
      </c>
      <c r="F665" s="3" t="s">
        <v>458</v>
      </c>
      <c r="G665" s="3"/>
      <c r="H665" s="3">
        <v>4000</v>
      </c>
      <c r="I665" s="3">
        <v>0</v>
      </c>
      <c r="J665" s="3" t="s">
        <v>1110</v>
      </c>
      <c r="K665" s="3" t="s">
        <v>243</v>
      </c>
      <c r="L665" s="3" t="s">
        <v>1448</v>
      </c>
      <c r="M665" s="3" t="s">
        <v>1448</v>
      </c>
      <c r="N665" s="22">
        <v>160</v>
      </c>
      <c r="O665" s="22"/>
      <c r="P665" s="22"/>
      <c r="Q665" s="22"/>
      <c r="R665" s="22"/>
      <c r="S665" s="22"/>
      <c r="T665" s="22"/>
      <c r="U665" s="22"/>
      <c r="V665" s="22"/>
      <c r="W665" s="3"/>
      <c r="X665" s="5" t="s">
        <v>1271</v>
      </c>
      <c r="Y665" s="28">
        <f t="shared" si="5"/>
        <v>0</v>
      </c>
      <c r="Z665" s="5">
        <v>160</v>
      </c>
    </row>
    <row r="666" spans="1:26" x14ac:dyDescent="0.3">
      <c r="A666" s="3">
        <v>27</v>
      </c>
      <c r="B666" s="3" t="s">
        <v>1243</v>
      </c>
      <c r="C666" s="3" t="s">
        <v>1268</v>
      </c>
      <c r="D666" s="3" t="s">
        <v>1353</v>
      </c>
      <c r="E666" s="3" t="s">
        <v>458</v>
      </c>
      <c r="F666" s="3" t="s">
        <v>458</v>
      </c>
      <c r="G666" s="3"/>
      <c r="H666" s="3">
        <v>4000</v>
      </c>
      <c r="I666" s="3">
        <v>0</v>
      </c>
      <c r="J666" s="3" t="s">
        <v>1110</v>
      </c>
      <c r="K666" s="3" t="s">
        <v>243</v>
      </c>
      <c r="L666" s="3" t="s">
        <v>1449</v>
      </c>
      <c r="M666" s="3" t="s">
        <v>1449</v>
      </c>
      <c r="N666" s="22">
        <v>7</v>
      </c>
      <c r="O666" s="22"/>
      <c r="P666" s="22"/>
      <c r="Q666" s="22"/>
      <c r="R666" s="22"/>
      <c r="S666" s="22"/>
      <c r="T666" s="22"/>
      <c r="U666" s="22"/>
      <c r="V666" s="22"/>
      <c r="W666" s="3"/>
      <c r="X666" s="5" t="s">
        <v>1271</v>
      </c>
      <c r="Y666" s="28">
        <f t="shared" si="5"/>
        <v>0</v>
      </c>
      <c r="Z666" s="5">
        <v>7</v>
      </c>
    </row>
    <row r="667" spans="1:26" x14ac:dyDescent="0.3">
      <c r="A667" s="3">
        <v>27</v>
      </c>
      <c r="B667" s="3" t="s">
        <v>1243</v>
      </c>
      <c r="C667" s="3" t="s">
        <v>1268</v>
      </c>
      <c r="D667" s="3" t="s">
        <v>1353</v>
      </c>
      <c r="E667" s="3" t="s">
        <v>458</v>
      </c>
      <c r="F667" s="3" t="s">
        <v>458</v>
      </c>
      <c r="G667" s="3"/>
      <c r="H667" s="3">
        <v>4000</v>
      </c>
      <c r="I667" s="3">
        <v>0</v>
      </c>
      <c r="J667" s="3" t="s">
        <v>1110</v>
      </c>
      <c r="K667" s="3" t="s">
        <v>243</v>
      </c>
      <c r="L667" s="3" t="s">
        <v>1450</v>
      </c>
      <c r="M667" s="3" t="s">
        <v>1450</v>
      </c>
      <c r="N667" s="22">
        <v>5</v>
      </c>
      <c r="O667" s="22"/>
      <c r="P667" s="22"/>
      <c r="Q667" s="22"/>
      <c r="R667" s="22"/>
      <c r="S667" s="22"/>
      <c r="T667" s="22"/>
      <c r="U667" s="22"/>
      <c r="V667" s="22"/>
      <c r="W667" s="3"/>
      <c r="X667" s="5" t="s">
        <v>1271</v>
      </c>
      <c r="Y667" s="28">
        <f t="shared" si="5"/>
        <v>0</v>
      </c>
      <c r="Z667" s="5">
        <v>5</v>
      </c>
    </row>
    <row r="668" spans="1:26" x14ac:dyDescent="0.3">
      <c r="A668" s="3">
        <v>27</v>
      </c>
      <c r="B668" s="3" t="s">
        <v>1243</v>
      </c>
      <c r="C668" s="3" t="s">
        <v>1268</v>
      </c>
      <c r="D668" s="3" t="s">
        <v>1353</v>
      </c>
      <c r="E668" s="3" t="s">
        <v>458</v>
      </c>
      <c r="F668" s="3" t="s">
        <v>458</v>
      </c>
      <c r="G668" s="3"/>
      <c r="H668" s="3">
        <v>4000</v>
      </c>
      <c r="I668" s="3">
        <v>0</v>
      </c>
      <c r="J668" s="3" t="s">
        <v>1110</v>
      </c>
      <c r="K668" s="3" t="s">
        <v>243</v>
      </c>
      <c r="L668" s="3" t="s">
        <v>1451</v>
      </c>
      <c r="M668" s="3" t="s">
        <v>1451</v>
      </c>
      <c r="N668" s="22">
        <v>16</v>
      </c>
      <c r="O668" s="22"/>
      <c r="P668" s="22"/>
      <c r="Q668" s="22"/>
      <c r="R668" s="22"/>
      <c r="S668" s="22"/>
      <c r="T668" s="22"/>
      <c r="U668" s="22"/>
      <c r="V668" s="22"/>
      <c r="W668" s="3"/>
      <c r="X668" s="5" t="s">
        <v>1271</v>
      </c>
      <c r="Y668" s="28">
        <f t="shared" si="5"/>
        <v>0</v>
      </c>
      <c r="Z668" s="5">
        <v>16</v>
      </c>
    </row>
    <row r="669" spans="1:26" x14ac:dyDescent="0.3">
      <c r="A669" s="3">
        <v>27</v>
      </c>
      <c r="B669" s="3" t="s">
        <v>1243</v>
      </c>
      <c r="C669" s="3" t="s">
        <v>1268</v>
      </c>
      <c r="D669" s="3" t="s">
        <v>1353</v>
      </c>
      <c r="E669" s="3" t="s">
        <v>458</v>
      </c>
      <c r="F669" s="3" t="s">
        <v>458</v>
      </c>
      <c r="G669" s="3"/>
      <c r="H669" s="3">
        <v>4000</v>
      </c>
      <c r="I669" s="3">
        <v>0</v>
      </c>
      <c r="J669" s="3" t="s">
        <v>1110</v>
      </c>
      <c r="K669" s="3" t="s">
        <v>243</v>
      </c>
      <c r="L669" s="3" t="s">
        <v>1452</v>
      </c>
      <c r="M669" s="3" t="s">
        <v>1452</v>
      </c>
      <c r="N669" s="22">
        <v>50</v>
      </c>
      <c r="O669" s="22"/>
      <c r="P669" s="22"/>
      <c r="Q669" s="22"/>
      <c r="R669" s="22"/>
      <c r="S669" s="22"/>
      <c r="T669" s="22"/>
      <c r="U669" s="22"/>
      <c r="V669" s="22"/>
      <c r="W669" s="3"/>
      <c r="X669" s="5" t="s">
        <v>1271</v>
      </c>
      <c r="Y669" s="28">
        <f t="shared" si="5"/>
        <v>0</v>
      </c>
      <c r="Z669" s="5">
        <v>50</v>
      </c>
    </row>
    <row r="670" spans="1:26" x14ac:dyDescent="0.3">
      <c r="A670" s="3">
        <v>27</v>
      </c>
      <c r="B670" s="3" t="s">
        <v>1243</v>
      </c>
      <c r="C670" s="3" t="s">
        <v>1268</v>
      </c>
      <c r="D670" s="3" t="s">
        <v>1353</v>
      </c>
      <c r="E670" s="3" t="s">
        <v>458</v>
      </c>
      <c r="F670" s="3" t="s">
        <v>458</v>
      </c>
      <c r="G670" s="3"/>
      <c r="H670" s="3">
        <v>4000</v>
      </c>
      <c r="I670" s="3">
        <v>0</v>
      </c>
      <c r="J670" s="3" t="s">
        <v>1110</v>
      </c>
      <c r="K670" s="3" t="s">
        <v>243</v>
      </c>
      <c r="L670" s="3" t="s">
        <v>1453</v>
      </c>
      <c r="M670" s="3" t="s">
        <v>1453</v>
      </c>
      <c r="N670" s="22">
        <v>24</v>
      </c>
      <c r="O670" s="22"/>
      <c r="P670" s="22"/>
      <c r="Q670" s="22"/>
      <c r="R670" s="22"/>
      <c r="S670" s="22"/>
      <c r="T670" s="22"/>
      <c r="U670" s="22"/>
      <c r="V670" s="22"/>
      <c r="W670" s="3"/>
      <c r="X670" s="5" t="s">
        <v>1271</v>
      </c>
      <c r="Y670" s="28">
        <f t="shared" si="5"/>
        <v>0</v>
      </c>
      <c r="Z670" s="5">
        <v>24</v>
      </c>
    </row>
    <row r="671" spans="1:26" x14ac:dyDescent="0.3">
      <c r="A671" s="26">
        <v>27</v>
      </c>
      <c r="B671" s="26" t="s">
        <v>1243</v>
      </c>
      <c r="C671" s="26" t="s">
        <v>1268</v>
      </c>
      <c r="D671" s="26" t="s">
        <v>1269</v>
      </c>
      <c r="E671" s="26" t="s">
        <v>458</v>
      </c>
      <c r="F671" s="26" t="s">
        <v>458</v>
      </c>
      <c r="G671" s="26"/>
      <c r="H671" s="26">
        <v>6060</v>
      </c>
      <c r="I671" s="26">
        <v>0</v>
      </c>
      <c r="J671" s="26" t="s">
        <v>1110</v>
      </c>
      <c r="K671" s="3" t="s">
        <v>243</v>
      </c>
      <c r="L671" s="26" t="s">
        <v>1454</v>
      </c>
      <c r="M671" s="26" t="s">
        <v>1454</v>
      </c>
      <c r="N671" s="127">
        <v>7774</v>
      </c>
      <c r="O671" s="106"/>
      <c r="P671" s="106"/>
      <c r="Q671" s="106"/>
      <c r="R671" s="106"/>
      <c r="S671" s="106"/>
      <c r="T671" s="106"/>
      <c r="U671" s="106"/>
      <c r="V671" s="106"/>
      <c r="W671" s="26"/>
      <c r="X671" s="29" t="s">
        <v>1271</v>
      </c>
      <c r="Y671" s="28">
        <f t="shared" si="5"/>
        <v>0.3999999999996362</v>
      </c>
      <c r="Z671" s="29">
        <v>7773.6</v>
      </c>
    </row>
    <row r="672" spans="1:26" x14ac:dyDescent="0.3">
      <c r="A672" s="3">
        <v>27</v>
      </c>
      <c r="B672" s="3" t="s">
        <v>1243</v>
      </c>
      <c r="C672" s="3" t="s">
        <v>1268</v>
      </c>
      <c r="D672" s="3" t="s">
        <v>1269</v>
      </c>
      <c r="E672" s="3" t="s">
        <v>458</v>
      </c>
      <c r="F672" s="3" t="s">
        <v>458</v>
      </c>
      <c r="G672" s="3"/>
      <c r="H672" s="3">
        <v>6060</v>
      </c>
      <c r="I672" s="3">
        <v>0</v>
      </c>
      <c r="J672" s="3" t="s">
        <v>1110</v>
      </c>
      <c r="K672" s="3" t="s">
        <v>243</v>
      </c>
      <c r="L672" s="3" t="s">
        <v>1455</v>
      </c>
      <c r="M672" s="3" t="s">
        <v>1455</v>
      </c>
      <c r="N672" s="22">
        <v>2460</v>
      </c>
      <c r="O672" s="22"/>
      <c r="P672" s="22"/>
      <c r="Q672" s="22"/>
      <c r="R672" s="22"/>
      <c r="S672" s="22"/>
      <c r="T672" s="22"/>
      <c r="U672" s="22"/>
      <c r="V672" s="22"/>
      <c r="W672" s="3"/>
      <c r="X672" s="5" t="s">
        <v>1271</v>
      </c>
      <c r="Y672" s="28">
        <f t="shared" si="5"/>
        <v>0</v>
      </c>
      <c r="Z672" s="5">
        <v>2460</v>
      </c>
    </row>
    <row r="673" spans="1:26" x14ac:dyDescent="0.3">
      <c r="A673" s="26">
        <v>27</v>
      </c>
      <c r="B673" s="26" t="s">
        <v>1243</v>
      </c>
      <c r="C673" s="26" t="s">
        <v>1268</v>
      </c>
      <c r="D673" s="26" t="s">
        <v>1269</v>
      </c>
      <c r="E673" s="26" t="s">
        <v>458</v>
      </c>
      <c r="F673" s="26" t="s">
        <v>458</v>
      </c>
      <c r="G673" s="26"/>
      <c r="H673" s="26">
        <v>6060</v>
      </c>
      <c r="I673" s="26">
        <v>0</v>
      </c>
      <c r="J673" s="26" t="s">
        <v>1110</v>
      </c>
      <c r="K673" s="3" t="s">
        <v>243</v>
      </c>
      <c r="L673" s="26" t="s">
        <v>1456</v>
      </c>
      <c r="M673" s="26" t="s">
        <v>1456</v>
      </c>
      <c r="N673" s="106">
        <v>8000</v>
      </c>
      <c r="O673" s="106"/>
      <c r="P673" s="106"/>
      <c r="Q673" s="106"/>
      <c r="R673" s="106"/>
      <c r="S673" s="106"/>
      <c r="T673" s="106"/>
      <c r="U673" s="106"/>
      <c r="V673" s="106"/>
      <c r="W673" s="26"/>
      <c r="X673" s="29" t="s">
        <v>1271</v>
      </c>
      <c r="Y673" s="28">
        <f t="shared" si="5"/>
        <v>0</v>
      </c>
      <c r="Z673" s="29">
        <v>8000</v>
      </c>
    </row>
    <row r="674" spans="1:26" x14ac:dyDescent="0.3">
      <c r="A674" s="3">
        <v>27</v>
      </c>
      <c r="B674" s="3" t="s">
        <v>1243</v>
      </c>
      <c r="C674" s="3" t="s">
        <v>1268</v>
      </c>
      <c r="D674" s="3" t="s">
        <v>1269</v>
      </c>
      <c r="E674" s="3" t="s">
        <v>458</v>
      </c>
      <c r="F674" s="3" t="s">
        <v>458</v>
      </c>
      <c r="G674" s="3"/>
      <c r="H674" s="3">
        <v>6060</v>
      </c>
      <c r="I674" s="3">
        <v>0</v>
      </c>
      <c r="J674" s="3" t="s">
        <v>1110</v>
      </c>
      <c r="K674" s="3" t="s">
        <v>243</v>
      </c>
      <c r="L674" s="3" t="s">
        <v>1457</v>
      </c>
      <c r="M674" s="3" t="s">
        <v>1457</v>
      </c>
      <c r="N674" s="22">
        <v>0</v>
      </c>
      <c r="O674" s="22"/>
      <c r="P674" s="22"/>
      <c r="Q674" s="22"/>
      <c r="R674" s="22"/>
      <c r="S674" s="22"/>
      <c r="T674" s="22"/>
      <c r="U674" s="22"/>
      <c r="V674" s="22"/>
      <c r="W674" s="3"/>
      <c r="X674" s="5" t="s">
        <v>1271</v>
      </c>
      <c r="Y674" s="28">
        <f t="shared" si="5"/>
        <v>0</v>
      </c>
    </row>
    <row r="675" spans="1:26" x14ac:dyDescent="0.3">
      <c r="A675" s="3">
        <v>27</v>
      </c>
      <c r="B675" s="3" t="s">
        <v>1243</v>
      </c>
      <c r="C675" s="3" t="s">
        <v>1268</v>
      </c>
      <c r="D675" s="3" t="s">
        <v>1269</v>
      </c>
      <c r="E675" s="3" t="s">
        <v>458</v>
      </c>
      <c r="F675" s="3" t="s">
        <v>458</v>
      </c>
      <c r="G675" s="3"/>
      <c r="H675" s="3">
        <v>6060</v>
      </c>
      <c r="I675" s="3">
        <v>0</v>
      </c>
      <c r="J675" s="3" t="s">
        <v>1110</v>
      </c>
      <c r="K675" s="3" t="s">
        <v>243</v>
      </c>
      <c r="L675" s="3" t="s">
        <v>1458</v>
      </c>
      <c r="M675" s="3" t="s">
        <v>1458</v>
      </c>
      <c r="N675" s="22"/>
      <c r="O675" s="22"/>
      <c r="P675" s="22"/>
      <c r="Q675" s="22"/>
      <c r="R675" s="22"/>
      <c r="S675" s="22"/>
      <c r="T675" s="22"/>
      <c r="U675" s="22"/>
      <c r="V675" s="22"/>
      <c r="W675" s="3"/>
      <c r="X675" s="5" t="s">
        <v>1271</v>
      </c>
      <c r="Y675" s="28">
        <f t="shared" si="5"/>
        <v>0</v>
      </c>
    </row>
    <row r="676" spans="1:26" x14ac:dyDescent="0.3">
      <c r="A676" s="26">
        <v>27</v>
      </c>
      <c r="B676" s="26" t="s">
        <v>1243</v>
      </c>
      <c r="C676" s="26" t="s">
        <v>1268</v>
      </c>
      <c r="D676" s="26" t="s">
        <v>1269</v>
      </c>
      <c r="E676" s="26" t="s">
        <v>458</v>
      </c>
      <c r="F676" s="26" t="s">
        <v>458</v>
      </c>
      <c r="G676" s="26"/>
      <c r="H676" s="26">
        <v>6060</v>
      </c>
      <c r="I676" s="26">
        <v>0</v>
      </c>
      <c r="J676" s="26" t="s">
        <v>1110</v>
      </c>
      <c r="K676" s="3" t="s">
        <v>243</v>
      </c>
      <c r="L676" s="26" t="s">
        <v>1459</v>
      </c>
      <c r="M676" s="26" t="s">
        <v>1459</v>
      </c>
      <c r="N676" s="106"/>
      <c r="O676" s="22"/>
      <c r="P676" s="22"/>
      <c r="Q676" s="22"/>
      <c r="R676" s="22"/>
      <c r="S676" s="22"/>
      <c r="T676" s="22"/>
      <c r="U676" s="22"/>
      <c r="V676" s="22"/>
      <c r="W676" s="3"/>
      <c r="X676" s="5" t="s">
        <v>1271</v>
      </c>
      <c r="Y676" s="28">
        <f t="shared" si="5"/>
        <v>0</v>
      </c>
      <c r="Z676" s="29"/>
    </row>
    <row r="677" spans="1:26" x14ac:dyDescent="0.3">
      <c r="A677" s="26">
        <v>27</v>
      </c>
      <c r="B677" s="26" t="s">
        <v>1243</v>
      </c>
      <c r="C677" s="26" t="s">
        <v>1268</v>
      </c>
      <c r="D677" s="26" t="s">
        <v>1269</v>
      </c>
      <c r="E677" s="26" t="s">
        <v>458</v>
      </c>
      <c r="F677" s="26" t="s">
        <v>458</v>
      </c>
      <c r="G677" s="26"/>
      <c r="H677" s="26">
        <v>6060</v>
      </c>
      <c r="I677" s="26">
        <v>0</v>
      </c>
      <c r="J677" s="26" t="s">
        <v>1110</v>
      </c>
      <c r="K677" s="3" t="s">
        <v>243</v>
      </c>
      <c r="L677" s="26" t="s">
        <v>1460</v>
      </c>
      <c r="M677" s="26" t="s">
        <v>1460</v>
      </c>
      <c r="N677" s="106">
        <v>600</v>
      </c>
      <c r="O677" s="22"/>
      <c r="P677" s="22"/>
      <c r="Q677" s="22"/>
      <c r="R677" s="22"/>
      <c r="S677" s="22"/>
      <c r="T677" s="22"/>
      <c r="U677" s="22"/>
      <c r="V677" s="22"/>
      <c r="W677" s="3"/>
      <c r="X677" s="5" t="s">
        <v>1271</v>
      </c>
      <c r="Y677" s="28">
        <f t="shared" si="5"/>
        <v>0</v>
      </c>
      <c r="Z677" s="29">
        <v>600</v>
      </c>
    </row>
    <row r="678" spans="1:26" x14ac:dyDescent="0.3">
      <c r="A678" s="26">
        <v>27</v>
      </c>
      <c r="B678" s="26" t="s">
        <v>1243</v>
      </c>
      <c r="C678" s="26" t="s">
        <v>1268</v>
      </c>
      <c r="D678" s="26" t="s">
        <v>1269</v>
      </c>
      <c r="E678" s="26" t="s">
        <v>458</v>
      </c>
      <c r="F678" s="26" t="s">
        <v>458</v>
      </c>
      <c r="G678" s="26"/>
      <c r="H678" s="26">
        <v>6060</v>
      </c>
      <c r="I678" s="26">
        <v>0</v>
      </c>
      <c r="J678" s="26" t="s">
        <v>1110</v>
      </c>
      <c r="K678" s="3" t="s">
        <v>243</v>
      </c>
      <c r="L678" s="26" t="s">
        <v>1461</v>
      </c>
      <c r="M678" s="26" t="s">
        <v>1461</v>
      </c>
      <c r="N678" s="106">
        <v>20000</v>
      </c>
      <c r="O678" s="109"/>
      <c r="P678" s="109"/>
      <c r="Q678" s="22"/>
      <c r="R678" s="22"/>
      <c r="S678" s="22"/>
      <c r="T678" s="22"/>
      <c r="U678" s="22"/>
      <c r="V678" s="22"/>
      <c r="W678" s="3"/>
      <c r="X678" s="5" t="s">
        <v>1271</v>
      </c>
      <c r="Y678" s="28">
        <f t="shared" si="5"/>
        <v>0</v>
      </c>
      <c r="Z678" s="29">
        <v>20000</v>
      </c>
    </row>
    <row r="679" spans="1:26" x14ac:dyDescent="0.3">
      <c r="A679" s="3">
        <v>27</v>
      </c>
      <c r="B679" s="3" t="s">
        <v>1243</v>
      </c>
      <c r="C679" s="3" t="s">
        <v>1268</v>
      </c>
      <c r="D679" s="3" t="s">
        <v>1353</v>
      </c>
      <c r="E679" s="3" t="s">
        <v>458</v>
      </c>
      <c r="F679" s="3" t="s">
        <v>458</v>
      </c>
      <c r="G679" s="3"/>
      <c r="H679" s="3">
        <v>6060</v>
      </c>
      <c r="I679" s="3">
        <v>0</v>
      </c>
      <c r="J679" s="3" t="s">
        <v>1110</v>
      </c>
      <c r="K679" s="3" t="s">
        <v>243</v>
      </c>
      <c r="L679" s="3" t="s">
        <v>1462</v>
      </c>
      <c r="M679" s="3" t="s">
        <v>1462</v>
      </c>
      <c r="N679" s="22">
        <v>9829</v>
      </c>
      <c r="O679" s="22"/>
      <c r="P679" s="22"/>
      <c r="Q679" s="22"/>
      <c r="R679" s="22"/>
      <c r="S679" s="22"/>
      <c r="T679" s="22"/>
      <c r="U679" s="22"/>
      <c r="V679" s="22"/>
      <c r="W679" s="3"/>
      <c r="X679" s="5" t="s">
        <v>1271</v>
      </c>
      <c r="Y679" s="28">
        <f t="shared" si="5"/>
        <v>0</v>
      </c>
      <c r="Z679" s="5">
        <v>9829</v>
      </c>
    </row>
    <row r="680" spans="1:26" x14ac:dyDescent="0.3">
      <c r="A680" s="3">
        <v>27</v>
      </c>
      <c r="B680" s="3" t="s">
        <v>1243</v>
      </c>
      <c r="C680" s="3" t="s">
        <v>1268</v>
      </c>
      <c r="D680" s="3" t="s">
        <v>1269</v>
      </c>
      <c r="E680" s="3" t="s">
        <v>458</v>
      </c>
      <c r="F680" s="3" t="s">
        <v>458</v>
      </c>
      <c r="G680" s="3"/>
      <c r="H680" s="3">
        <v>6060</v>
      </c>
      <c r="I680" s="3">
        <v>0</v>
      </c>
      <c r="J680" s="3" t="s">
        <v>1246</v>
      </c>
      <c r="K680" s="3" t="s">
        <v>243</v>
      </c>
      <c r="L680" s="3" t="s">
        <v>1463</v>
      </c>
      <c r="M680" s="3" t="s">
        <v>1463</v>
      </c>
      <c r="N680" s="22">
        <v>22632</v>
      </c>
      <c r="O680" s="22"/>
      <c r="P680" s="22"/>
      <c r="Q680" s="22"/>
      <c r="R680" s="22"/>
      <c r="S680" s="22"/>
      <c r="T680" s="22"/>
      <c r="U680" s="22"/>
      <c r="V680" s="22"/>
      <c r="W680" s="3"/>
      <c r="X680" s="5" t="s">
        <v>1271</v>
      </c>
      <c r="Y680" s="28">
        <f t="shared" si="5"/>
        <v>0</v>
      </c>
      <c r="Z680" s="5">
        <v>22632</v>
      </c>
    </row>
    <row r="681" spans="1:26" x14ac:dyDescent="0.3">
      <c r="A681" s="3">
        <v>27</v>
      </c>
      <c r="B681" s="3" t="s">
        <v>1243</v>
      </c>
      <c r="C681" s="3" t="s">
        <v>1268</v>
      </c>
      <c r="D681" s="3" t="s">
        <v>1269</v>
      </c>
      <c r="E681" s="3" t="s">
        <v>458</v>
      </c>
      <c r="F681" s="3" t="s">
        <v>458</v>
      </c>
      <c r="G681" s="3"/>
      <c r="H681" s="3">
        <v>6060</v>
      </c>
      <c r="I681" s="3">
        <v>0</v>
      </c>
      <c r="J681" s="3" t="s">
        <v>1110</v>
      </c>
      <c r="K681" s="3" t="s">
        <v>243</v>
      </c>
      <c r="L681" s="3" t="s">
        <v>1464</v>
      </c>
      <c r="M681" s="3" t="s">
        <v>1464</v>
      </c>
      <c r="N681" s="22">
        <v>18245</v>
      </c>
      <c r="O681" s="22"/>
      <c r="P681" s="22"/>
      <c r="Q681" s="22"/>
      <c r="R681" s="22"/>
      <c r="S681" s="22"/>
      <c r="T681" s="22"/>
      <c r="U681" s="22"/>
      <c r="V681" s="22"/>
      <c r="W681" s="3"/>
      <c r="X681" s="5" t="s">
        <v>1271</v>
      </c>
      <c r="Y681" s="28">
        <f t="shared" si="5"/>
        <v>0</v>
      </c>
      <c r="Z681" s="5">
        <v>18245</v>
      </c>
    </row>
    <row r="682" spans="1:26" x14ac:dyDescent="0.3">
      <c r="A682" s="3">
        <v>27</v>
      </c>
      <c r="B682" s="3" t="s">
        <v>1243</v>
      </c>
      <c r="C682" s="3" t="s">
        <v>1268</v>
      </c>
      <c r="D682" s="3" t="s">
        <v>1269</v>
      </c>
      <c r="E682" s="3" t="s">
        <v>458</v>
      </c>
      <c r="F682" s="3" t="s">
        <v>458</v>
      </c>
      <c r="G682" s="3"/>
      <c r="H682" s="3">
        <v>6060</v>
      </c>
      <c r="I682" s="3">
        <v>0</v>
      </c>
      <c r="J682" s="3" t="s">
        <v>1110</v>
      </c>
      <c r="K682" s="3" t="s">
        <v>243</v>
      </c>
      <c r="L682" s="3" t="s">
        <v>1465</v>
      </c>
      <c r="M682" s="3" t="s">
        <v>1465</v>
      </c>
      <c r="N682" s="22">
        <v>1693</v>
      </c>
      <c r="O682" s="22"/>
      <c r="P682" s="22"/>
      <c r="Q682" s="22"/>
      <c r="R682" s="22"/>
      <c r="S682" s="22"/>
      <c r="T682" s="22"/>
      <c r="U682" s="22"/>
      <c r="V682" s="22"/>
      <c r="W682" s="3"/>
      <c r="X682" s="5" t="s">
        <v>1271</v>
      </c>
      <c r="Y682" s="28">
        <f t="shared" ref="Y682:Y745" si="6">N682-Z682</f>
        <v>0</v>
      </c>
      <c r="Z682" s="5">
        <v>1693</v>
      </c>
    </row>
    <row r="683" spans="1:26" x14ac:dyDescent="0.3">
      <c r="A683" s="3">
        <v>27</v>
      </c>
      <c r="B683" s="3" t="s">
        <v>1243</v>
      </c>
      <c r="C683" s="3" t="s">
        <v>1268</v>
      </c>
      <c r="D683" s="3" t="s">
        <v>1269</v>
      </c>
      <c r="E683" s="3" t="s">
        <v>458</v>
      </c>
      <c r="F683" s="3" t="s">
        <v>458</v>
      </c>
      <c r="G683" s="3"/>
      <c r="H683" s="3">
        <v>6060</v>
      </c>
      <c r="I683" s="3">
        <v>0</v>
      </c>
      <c r="J683" s="3" t="s">
        <v>1110</v>
      </c>
      <c r="K683" s="3" t="s">
        <v>243</v>
      </c>
      <c r="L683" s="3" t="s">
        <v>1466</v>
      </c>
      <c r="M683" s="3" t="s">
        <v>1466</v>
      </c>
      <c r="N683" s="22">
        <v>7084</v>
      </c>
      <c r="O683" s="22"/>
      <c r="P683" s="22"/>
      <c r="Q683" s="22"/>
      <c r="R683" s="22"/>
      <c r="S683" s="22"/>
      <c r="T683" s="22"/>
      <c r="U683" s="22"/>
      <c r="V683" s="22"/>
      <c r="W683" s="3"/>
      <c r="X683" s="5" t="s">
        <v>1271</v>
      </c>
      <c r="Y683" s="28">
        <f t="shared" si="6"/>
        <v>0</v>
      </c>
      <c r="Z683" s="5">
        <v>7084</v>
      </c>
    </row>
    <row r="684" spans="1:26" x14ac:dyDescent="0.3">
      <c r="A684" s="26">
        <v>27</v>
      </c>
      <c r="B684" s="26" t="s">
        <v>1243</v>
      </c>
      <c r="C684" s="26" t="s">
        <v>1268</v>
      </c>
      <c r="D684" s="26" t="s">
        <v>1269</v>
      </c>
      <c r="E684" s="26" t="s">
        <v>458</v>
      </c>
      <c r="F684" s="26" t="s">
        <v>458</v>
      </c>
      <c r="G684" s="26"/>
      <c r="H684" s="26">
        <v>6060</v>
      </c>
      <c r="I684" s="26">
        <v>0</v>
      </c>
      <c r="J684" s="26" t="s">
        <v>1246</v>
      </c>
      <c r="K684" s="3" t="s">
        <v>243</v>
      </c>
      <c r="L684" s="26" t="s">
        <v>1467</v>
      </c>
      <c r="M684" s="26" t="s">
        <v>1467</v>
      </c>
      <c r="N684" s="106">
        <v>10000</v>
      </c>
      <c r="O684" s="126"/>
      <c r="P684" s="126"/>
      <c r="Q684" s="22"/>
      <c r="R684" s="22"/>
      <c r="S684" s="22"/>
      <c r="T684" s="22"/>
      <c r="U684" s="22"/>
      <c r="V684" s="22"/>
      <c r="W684" s="3"/>
      <c r="X684" s="5" t="s">
        <v>1271</v>
      </c>
      <c r="Y684" s="28">
        <f t="shared" si="6"/>
        <v>0</v>
      </c>
      <c r="Z684" s="29">
        <v>10000</v>
      </c>
    </row>
    <row r="685" spans="1:26" x14ac:dyDescent="0.3">
      <c r="A685" s="3">
        <v>27</v>
      </c>
      <c r="B685" s="3" t="s">
        <v>1243</v>
      </c>
      <c r="C685" s="3" t="s">
        <v>1268</v>
      </c>
      <c r="D685" s="3" t="s">
        <v>1269</v>
      </c>
      <c r="E685" s="3" t="s">
        <v>458</v>
      </c>
      <c r="F685" s="3" t="s">
        <v>458</v>
      </c>
      <c r="G685" s="3"/>
      <c r="H685" s="3">
        <v>6060</v>
      </c>
      <c r="I685" s="3">
        <v>0</v>
      </c>
      <c r="J685" s="3" t="s">
        <v>1246</v>
      </c>
      <c r="K685" s="3" t="s">
        <v>243</v>
      </c>
      <c r="L685" s="3" t="s">
        <v>1468</v>
      </c>
      <c r="M685" s="3" t="s">
        <v>1468</v>
      </c>
      <c r="N685" s="22">
        <v>14250</v>
      </c>
      <c r="O685" s="22"/>
      <c r="P685" s="22"/>
      <c r="Q685" s="22"/>
      <c r="R685" s="22"/>
      <c r="S685" s="22"/>
      <c r="T685" s="22"/>
      <c r="U685" s="22"/>
      <c r="V685" s="22"/>
      <c r="W685" s="3"/>
      <c r="X685" s="5" t="s">
        <v>1271</v>
      </c>
      <c r="Y685" s="28">
        <f t="shared" si="6"/>
        <v>0</v>
      </c>
      <c r="Z685" s="5">
        <v>14250</v>
      </c>
    </row>
    <row r="686" spans="1:26" x14ac:dyDescent="0.3">
      <c r="A686" s="3">
        <v>27</v>
      </c>
      <c r="B686" s="3" t="s">
        <v>1243</v>
      </c>
      <c r="C686" s="3" t="s">
        <v>1268</v>
      </c>
      <c r="D686" s="3" t="s">
        <v>1353</v>
      </c>
      <c r="E686" s="3" t="s">
        <v>458</v>
      </c>
      <c r="F686" s="3" t="s">
        <v>458</v>
      </c>
      <c r="G686" s="3"/>
      <c r="H686" s="3">
        <v>6060</v>
      </c>
      <c r="I686" s="3">
        <v>0</v>
      </c>
      <c r="J686" s="3" t="s">
        <v>1110</v>
      </c>
      <c r="K686" s="3" t="s">
        <v>243</v>
      </c>
      <c r="L686" s="3" t="s">
        <v>1469</v>
      </c>
      <c r="M686" s="3" t="s">
        <v>1469</v>
      </c>
      <c r="N686" s="22">
        <v>20000</v>
      </c>
      <c r="O686" s="22"/>
      <c r="P686" s="22"/>
      <c r="Q686" s="22"/>
      <c r="R686" s="22"/>
      <c r="S686" s="22"/>
      <c r="T686" s="22"/>
      <c r="U686" s="22"/>
      <c r="V686" s="22"/>
      <c r="W686" s="3"/>
      <c r="X686" s="5" t="s">
        <v>1271</v>
      </c>
      <c r="Y686" s="28">
        <f t="shared" si="6"/>
        <v>0</v>
      </c>
      <c r="Z686" s="5">
        <v>20000</v>
      </c>
    </row>
    <row r="687" spans="1:26" x14ac:dyDescent="0.3">
      <c r="A687" s="3">
        <v>27</v>
      </c>
      <c r="B687" s="3" t="s">
        <v>1243</v>
      </c>
      <c r="C687" s="3" t="s">
        <v>1268</v>
      </c>
      <c r="D687" s="3" t="s">
        <v>1353</v>
      </c>
      <c r="E687" s="3" t="s">
        <v>458</v>
      </c>
      <c r="F687" s="3" t="s">
        <v>458</v>
      </c>
      <c r="G687" s="3"/>
      <c r="H687" s="3">
        <v>6060</v>
      </c>
      <c r="I687" s="3">
        <v>0</v>
      </c>
      <c r="J687" s="3" t="s">
        <v>1110</v>
      </c>
      <c r="K687" s="3" t="s">
        <v>243</v>
      </c>
      <c r="L687" s="3" t="s">
        <v>1470</v>
      </c>
      <c r="M687" s="3" t="s">
        <v>1470</v>
      </c>
      <c r="N687" s="22">
        <v>12400</v>
      </c>
      <c r="O687" s="22"/>
      <c r="P687" s="22"/>
      <c r="Q687" s="22"/>
      <c r="R687" s="22"/>
      <c r="S687" s="22"/>
      <c r="T687" s="22"/>
      <c r="U687" s="22"/>
      <c r="V687" s="22"/>
      <c r="W687" s="3"/>
      <c r="X687" s="5" t="s">
        <v>1271</v>
      </c>
      <c r="Y687" s="28">
        <f t="shared" si="6"/>
        <v>0</v>
      </c>
      <c r="Z687" s="5">
        <v>12400</v>
      </c>
    </row>
    <row r="688" spans="1:26" x14ac:dyDescent="0.3">
      <c r="A688" s="3">
        <v>27</v>
      </c>
      <c r="B688" s="3" t="s">
        <v>1243</v>
      </c>
      <c r="C688" s="3" t="s">
        <v>1268</v>
      </c>
      <c r="D688" s="3" t="s">
        <v>1353</v>
      </c>
      <c r="E688" s="3" t="s">
        <v>458</v>
      </c>
      <c r="F688" s="3" t="s">
        <v>458</v>
      </c>
      <c r="G688" s="3"/>
      <c r="H688" s="3">
        <v>6060</v>
      </c>
      <c r="I688" s="3">
        <v>0</v>
      </c>
      <c r="J688" s="3" t="s">
        <v>1110</v>
      </c>
      <c r="K688" s="3" t="s">
        <v>243</v>
      </c>
      <c r="L688" s="3" t="s">
        <v>1471</v>
      </c>
      <c r="M688" s="3" t="s">
        <v>1471</v>
      </c>
      <c r="N688" s="22">
        <v>10213</v>
      </c>
      <c r="O688" s="22"/>
      <c r="P688" s="22"/>
      <c r="Q688" s="22"/>
      <c r="R688" s="22"/>
      <c r="S688" s="22"/>
      <c r="T688" s="22"/>
      <c r="U688" s="22"/>
      <c r="V688" s="22"/>
      <c r="W688" s="3"/>
      <c r="X688" s="5" t="s">
        <v>1271</v>
      </c>
      <c r="Y688" s="28">
        <f t="shared" si="6"/>
        <v>0</v>
      </c>
      <c r="Z688" s="5">
        <v>10213</v>
      </c>
    </row>
    <row r="689" spans="1:26" x14ac:dyDescent="0.3">
      <c r="A689" s="3">
        <v>27</v>
      </c>
      <c r="B689" s="3" t="s">
        <v>1243</v>
      </c>
      <c r="C689" s="3" t="s">
        <v>1268</v>
      </c>
      <c r="D689" s="3" t="s">
        <v>1353</v>
      </c>
      <c r="E689" s="3" t="s">
        <v>458</v>
      </c>
      <c r="F689" s="3" t="s">
        <v>458</v>
      </c>
      <c r="G689" s="3"/>
      <c r="H689" s="3">
        <v>6060</v>
      </c>
      <c r="I689" s="3">
        <v>0</v>
      </c>
      <c r="J689" s="3" t="s">
        <v>1110</v>
      </c>
      <c r="K689" s="3" t="s">
        <v>243</v>
      </c>
      <c r="L689" s="3" t="s">
        <v>1472</v>
      </c>
      <c r="M689" s="3" t="s">
        <v>1472</v>
      </c>
      <c r="N689" s="22">
        <v>5000</v>
      </c>
      <c r="O689" s="22"/>
      <c r="P689" s="22"/>
      <c r="Q689" s="22"/>
      <c r="R689" s="22"/>
      <c r="S689" s="22"/>
      <c r="T689" s="22"/>
      <c r="U689" s="22"/>
      <c r="V689" s="22"/>
      <c r="W689" s="3"/>
      <c r="X689" s="5" t="s">
        <v>1271</v>
      </c>
      <c r="Y689" s="28">
        <f t="shared" si="6"/>
        <v>0</v>
      </c>
      <c r="Z689" s="5">
        <v>5000</v>
      </c>
    </row>
    <row r="690" spans="1:26" x14ac:dyDescent="0.3">
      <c r="A690" s="3">
        <v>27</v>
      </c>
      <c r="B690" s="3" t="s">
        <v>1243</v>
      </c>
      <c r="C690" s="3" t="s">
        <v>1268</v>
      </c>
      <c r="D690" s="3" t="s">
        <v>1353</v>
      </c>
      <c r="E690" s="3" t="s">
        <v>458</v>
      </c>
      <c r="F690" s="3" t="s">
        <v>458</v>
      </c>
      <c r="G690" s="3"/>
      <c r="H690" s="3">
        <v>6060</v>
      </c>
      <c r="I690" s="3">
        <v>0</v>
      </c>
      <c r="J690" s="3" t="s">
        <v>1110</v>
      </c>
      <c r="K690" s="3" t="s">
        <v>243</v>
      </c>
      <c r="L690" s="3" t="s">
        <v>1473</v>
      </c>
      <c r="M690" s="3" t="s">
        <v>1473</v>
      </c>
      <c r="N690" s="22">
        <v>2500</v>
      </c>
      <c r="O690" s="22"/>
      <c r="P690" s="22"/>
      <c r="Q690" s="22"/>
      <c r="R690" s="22"/>
      <c r="S690" s="22"/>
      <c r="T690" s="22"/>
      <c r="U690" s="22"/>
      <c r="V690" s="22"/>
      <c r="W690" s="3"/>
      <c r="X690" s="5" t="s">
        <v>1271</v>
      </c>
      <c r="Y690" s="28">
        <f t="shared" si="6"/>
        <v>0</v>
      </c>
      <c r="Z690" s="5">
        <v>2500</v>
      </c>
    </row>
    <row r="691" spans="1:26" x14ac:dyDescent="0.3">
      <c r="A691" s="3">
        <v>27</v>
      </c>
      <c r="B691" s="3" t="s">
        <v>1243</v>
      </c>
      <c r="C691" s="3" t="s">
        <v>1268</v>
      </c>
      <c r="D691" s="3" t="s">
        <v>1353</v>
      </c>
      <c r="E691" s="3" t="s">
        <v>458</v>
      </c>
      <c r="F691" s="3" t="s">
        <v>458</v>
      </c>
      <c r="G691" s="3"/>
      <c r="H691" s="3">
        <v>6060</v>
      </c>
      <c r="I691" s="3">
        <v>0</v>
      </c>
      <c r="J691" s="3" t="s">
        <v>1110</v>
      </c>
      <c r="K691" s="3" t="s">
        <v>243</v>
      </c>
      <c r="L691" s="3" t="s">
        <v>1474</v>
      </c>
      <c r="M691" s="3" t="s">
        <v>1474</v>
      </c>
      <c r="N691" s="22">
        <v>0</v>
      </c>
      <c r="O691" s="22"/>
      <c r="P691" s="22"/>
      <c r="Q691" s="22"/>
      <c r="R691" s="22"/>
      <c r="S691" s="22"/>
      <c r="T691" s="22"/>
      <c r="U691" s="22"/>
      <c r="V691" s="22"/>
      <c r="W691" s="3"/>
      <c r="X691" s="5" t="s">
        <v>1271</v>
      </c>
      <c r="Y691" s="28">
        <f t="shared" si="6"/>
        <v>0</v>
      </c>
      <c r="Z691" s="5">
        <v>0</v>
      </c>
    </row>
    <row r="692" spans="1:26" x14ac:dyDescent="0.3">
      <c r="A692" s="3">
        <v>27</v>
      </c>
      <c r="B692" s="3" t="s">
        <v>1243</v>
      </c>
      <c r="C692" s="3" t="s">
        <v>1268</v>
      </c>
      <c r="D692" s="3" t="s">
        <v>1353</v>
      </c>
      <c r="E692" s="3" t="s">
        <v>458</v>
      </c>
      <c r="F692" s="3" t="s">
        <v>458</v>
      </c>
      <c r="G692" s="3"/>
      <c r="H692" s="3">
        <v>6060</v>
      </c>
      <c r="I692" s="3">
        <v>0</v>
      </c>
      <c r="J692" s="3" t="s">
        <v>1110</v>
      </c>
      <c r="K692" s="3" t="s">
        <v>243</v>
      </c>
      <c r="L692" s="3" t="s">
        <v>1475</v>
      </c>
      <c r="M692" s="3" t="s">
        <v>1475</v>
      </c>
      <c r="N692" s="22">
        <v>0</v>
      </c>
      <c r="O692" s="22"/>
      <c r="P692" s="22"/>
      <c r="Q692" s="22"/>
      <c r="R692" s="22"/>
      <c r="S692" s="22"/>
      <c r="T692" s="22"/>
      <c r="U692" s="22"/>
      <c r="V692" s="22"/>
      <c r="W692" s="3"/>
      <c r="X692" s="5" t="s">
        <v>1271</v>
      </c>
      <c r="Y692" s="28">
        <f t="shared" si="6"/>
        <v>0</v>
      </c>
      <c r="Z692" s="5">
        <v>0</v>
      </c>
    </row>
    <row r="693" spans="1:26" x14ac:dyDescent="0.3">
      <c r="A693" s="3">
        <v>27</v>
      </c>
      <c r="B693" s="3" t="s">
        <v>1243</v>
      </c>
      <c r="C693" s="3" t="s">
        <v>1268</v>
      </c>
      <c r="D693" s="3" t="s">
        <v>1353</v>
      </c>
      <c r="E693" s="3" t="s">
        <v>458</v>
      </c>
      <c r="F693" s="3" t="s">
        <v>458</v>
      </c>
      <c r="G693" s="3"/>
      <c r="H693" s="3">
        <v>6060</v>
      </c>
      <c r="I693" s="3">
        <v>0</v>
      </c>
      <c r="J693" s="3" t="s">
        <v>1110</v>
      </c>
      <c r="K693" s="3" t="s">
        <v>243</v>
      </c>
      <c r="L693" s="3" t="s">
        <v>1476</v>
      </c>
      <c r="M693" s="3" t="s">
        <v>1476</v>
      </c>
      <c r="N693" s="22">
        <v>0</v>
      </c>
      <c r="O693" s="22"/>
      <c r="P693" s="22"/>
      <c r="Q693" s="22"/>
      <c r="R693" s="22"/>
      <c r="S693" s="22"/>
      <c r="T693" s="22"/>
      <c r="U693" s="22"/>
      <c r="V693" s="22"/>
      <c r="W693" s="3"/>
      <c r="X693" s="5" t="s">
        <v>1271</v>
      </c>
      <c r="Y693" s="28">
        <f t="shared" si="6"/>
        <v>0</v>
      </c>
      <c r="Z693" s="5">
        <v>0</v>
      </c>
    </row>
    <row r="694" spans="1:26" x14ac:dyDescent="0.3">
      <c r="A694" s="3">
        <v>27</v>
      </c>
      <c r="B694" s="3" t="s">
        <v>1243</v>
      </c>
      <c r="C694" s="3" t="s">
        <v>1268</v>
      </c>
      <c r="D694" s="3" t="s">
        <v>1269</v>
      </c>
      <c r="E694" s="3" t="s">
        <v>458</v>
      </c>
      <c r="F694" s="3" t="s">
        <v>458</v>
      </c>
      <c r="G694" s="3"/>
      <c r="H694" s="3">
        <v>6060</v>
      </c>
      <c r="I694" s="3">
        <v>0</v>
      </c>
      <c r="J694" s="3" t="s">
        <v>1246</v>
      </c>
      <c r="K694" s="3" t="s">
        <v>243</v>
      </c>
      <c r="L694" s="3" t="s">
        <v>1477</v>
      </c>
      <c r="M694" s="3" t="s">
        <v>1477</v>
      </c>
      <c r="N694" s="22">
        <v>16000</v>
      </c>
      <c r="O694" s="22"/>
      <c r="P694" s="22"/>
      <c r="Q694" s="22"/>
      <c r="R694" s="22"/>
      <c r="S694" s="22"/>
      <c r="T694" s="22"/>
      <c r="U694" s="22"/>
      <c r="V694" s="22"/>
      <c r="W694" s="3"/>
      <c r="X694" s="5" t="s">
        <v>1271</v>
      </c>
      <c r="Y694" s="28">
        <f t="shared" si="6"/>
        <v>0</v>
      </c>
      <c r="Z694" s="5">
        <v>16000</v>
      </c>
    </row>
    <row r="695" spans="1:26" x14ac:dyDescent="0.3">
      <c r="A695" s="3">
        <v>27</v>
      </c>
      <c r="B695" s="3" t="s">
        <v>1243</v>
      </c>
      <c r="C695" s="3" t="s">
        <v>1268</v>
      </c>
      <c r="D695" s="3" t="s">
        <v>1353</v>
      </c>
      <c r="E695" s="3" t="s">
        <v>458</v>
      </c>
      <c r="F695" s="3" t="s">
        <v>458</v>
      </c>
      <c r="G695" s="3"/>
      <c r="H695" s="3">
        <v>6060</v>
      </c>
      <c r="I695" s="3">
        <v>0</v>
      </c>
      <c r="J695" s="3" t="s">
        <v>1246</v>
      </c>
      <c r="K695" s="3" t="s">
        <v>243</v>
      </c>
      <c r="L695" s="3" t="s">
        <v>1478</v>
      </c>
      <c r="M695" s="3" t="s">
        <v>1478</v>
      </c>
      <c r="N695" s="22">
        <v>43944</v>
      </c>
      <c r="O695" s="22"/>
      <c r="P695" s="22"/>
      <c r="Q695" s="22"/>
      <c r="R695" s="22"/>
      <c r="S695" s="22"/>
      <c r="T695" s="22"/>
      <c r="U695" s="22"/>
      <c r="V695" s="22"/>
      <c r="W695" s="3"/>
      <c r="X695" s="5" t="s">
        <v>1271</v>
      </c>
      <c r="Y695" s="28">
        <f t="shared" si="6"/>
        <v>0</v>
      </c>
      <c r="Z695" s="5">
        <v>43944</v>
      </c>
    </row>
    <row r="696" spans="1:26" x14ac:dyDescent="0.3">
      <c r="A696" s="3">
        <v>27</v>
      </c>
      <c r="B696" s="3" t="s">
        <v>1243</v>
      </c>
      <c r="C696" s="3" t="s">
        <v>1268</v>
      </c>
      <c r="D696" s="3" t="s">
        <v>1353</v>
      </c>
      <c r="E696" s="3" t="s">
        <v>458</v>
      </c>
      <c r="F696" s="3" t="s">
        <v>458</v>
      </c>
      <c r="G696" s="3"/>
      <c r="H696" s="3">
        <v>6060</v>
      </c>
      <c r="I696" s="3">
        <v>0</v>
      </c>
      <c r="J696" s="3" t="s">
        <v>1246</v>
      </c>
      <c r="K696" s="3" t="s">
        <v>243</v>
      </c>
      <c r="L696" s="3" t="s">
        <v>1479</v>
      </c>
      <c r="M696" s="3" t="s">
        <v>1479</v>
      </c>
      <c r="N696" s="22">
        <v>0</v>
      </c>
      <c r="O696" s="22"/>
      <c r="P696" s="22"/>
      <c r="Q696" s="22"/>
      <c r="R696" s="22"/>
      <c r="S696" s="22"/>
      <c r="T696" s="22"/>
      <c r="U696" s="22"/>
      <c r="V696" s="22"/>
      <c r="W696" s="3"/>
      <c r="X696" s="5" t="s">
        <v>1271</v>
      </c>
      <c r="Y696" s="28">
        <f t="shared" si="6"/>
        <v>0</v>
      </c>
      <c r="Z696" s="5">
        <v>0</v>
      </c>
    </row>
    <row r="697" spans="1:26" x14ac:dyDescent="0.3">
      <c r="A697" s="3">
        <v>27</v>
      </c>
      <c r="B697" s="3" t="s">
        <v>1243</v>
      </c>
      <c r="C697" s="3" t="s">
        <v>1268</v>
      </c>
      <c r="D697" s="3" t="s">
        <v>1269</v>
      </c>
      <c r="E697" s="3" t="s">
        <v>458</v>
      </c>
      <c r="F697" s="3" t="s">
        <v>458</v>
      </c>
      <c r="G697" s="3"/>
      <c r="H697" s="3">
        <v>6060</v>
      </c>
      <c r="I697" s="3">
        <v>0</v>
      </c>
      <c r="J697" s="3" t="s">
        <v>1246</v>
      </c>
      <c r="K697" s="3" t="s">
        <v>243</v>
      </c>
      <c r="L697" s="3" t="s">
        <v>1480</v>
      </c>
      <c r="M697" s="3" t="s">
        <v>1480</v>
      </c>
      <c r="N697" s="22">
        <v>7583</v>
      </c>
      <c r="O697" s="22"/>
      <c r="P697" s="22"/>
      <c r="Q697" s="22"/>
      <c r="R697" s="22"/>
      <c r="S697" s="22"/>
      <c r="T697" s="22"/>
      <c r="U697" s="22"/>
      <c r="V697" s="22"/>
      <c r="W697" s="3"/>
      <c r="X697" s="5" t="s">
        <v>1271</v>
      </c>
      <c r="Y697" s="28">
        <f t="shared" si="6"/>
        <v>0</v>
      </c>
      <c r="Z697" s="5">
        <v>7583</v>
      </c>
    </row>
    <row r="698" spans="1:26" x14ac:dyDescent="0.3">
      <c r="A698" s="3">
        <v>27</v>
      </c>
      <c r="B698" s="3" t="s">
        <v>1243</v>
      </c>
      <c r="C698" s="3" t="s">
        <v>1268</v>
      </c>
      <c r="D698" s="3" t="s">
        <v>1353</v>
      </c>
      <c r="E698" s="3" t="s">
        <v>458</v>
      </c>
      <c r="F698" s="3" t="s">
        <v>458</v>
      </c>
      <c r="G698" s="3"/>
      <c r="H698" s="3">
        <v>6060</v>
      </c>
      <c r="I698" s="3">
        <v>0</v>
      </c>
      <c r="J698" s="3" t="s">
        <v>1246</v>
      </c>
      <c r="K698" s="3" t="s">
        <v>243</v>
      </c>
      <c r="L698" s="3" t="s">
        <v>1481</v>
      </c>
      <c r="M698" s="3" t="s">
        <v>1481</v>
      </c>
      <c r="N698" s="22">
        <v>0</v>
      </c>
      <c r="O698" s="22"/>
      <c r="P698" s="22"/>
      <c r="Q698" s="22"/>
      <c r="R698" s="22"/>
      <c r="S698" s="22"/>
      <c r="T698" s="22"/>
      <c r="U698" s="22"/>
      <c r="V698" s="22"/>
      <c r="W698" s="3"/>
      <c r="X698" s="5" t="s">
        <v>1271</v>
      </c>
      <c r="Y698" s="28">
        <f t="shared" si="6"/>
        <v>0</v>
      </c>
      <c r="Z698" s="5">
        <v>0</v>
      </c>
    </row>
    <row r="699" spans="1:26" x14ac:dyDescent="0.3">
      <c r="A699" s="3">
        <v>27</v>
      </c>
      <c r="B699" s="3" t="s">
        <v>1243</v>
      </c>
      <c r="C699" s="3" t="s">
        <v>1268</v>
      </c>
      <c r="D699" s="3" t="s">
        <v>1353</v>
      </c>
      <c r="E699" s="3" t="s">
        <v>458</v>
      </c>
      <c r="F699" s="3" t="s">
        <v>458</v>
      </c>
      <c r="G699" s="3"/>
      <c r="H699" s="3">
        <v>6060</v>
      </c>
      <c r="I699" s="3">
        <v>0</v>
      </c>
      <c r="J699" s="3" t="s">
        <v>1246</v>
      </c>
      <c r="K699" s="3" t="s">
        <v>243</v>
      </c>
      <c r="L699" s="3" t="s">
        <v>1482</v>
      </c>
      <c r="M699" s="3" t="s">
        <v>1482</v>
      </c>
      <c r="N699" s="22">
        <v>0</v>
      </c>
      <c r="O699" s="22"/>
      <c r="P699" s="22"/>
      <c r="Q699" s="22"/>
      <c r="R699" s="22"/>
      <c r="S699" s="22"/>
      <c r="T699" s="22"/>
      <c r="U699" s="22"/>
      <c r="V699" s="22"/>
      <c r="W699" s="3"/>
      <c r="X699" s="5" t="s">
        <v>1271</v>
      </c>
      <c r="Y699" s="28">
        <f t="shared" si="6"/>
        <v>0</v>
      </c>
      <c r="Z699" s="5">
        <v>0</v>
      </c>
    </row>
    <row r="700" spans="1:26" x14ac:dyDescent="0.3">
      <c r="A700" s="3">
        <v>27</v>
      </c>
      <c r="B700" s="3" t="s">
        <v>1243</v>
      </c>
      <c r="C700" s="3" t="s">
        <v>1268</v>
      </c>
      <c r="D700" s="3" t="s">
        <v>1353</v>
      </c>
      <c r="E700" s="3" t="s">
        <v>458</v>
      </c>
      <c r="F700" s="3" t="s">
        <v>458</v>
      </c>
      <c r="G700" s="3"/>
      <c r="H700" s="3">
        <v>6060</v>
      </c>
      <c r="I700" s="3">
        <v>0</v>
      </c>
      <c r="J700" s="3" t="s">
        <v>1246</v>
      </c>
      <c r="K700" s="3" t="s">
        <v>243</v>
      </c>
      <c r="L700" s="3" t="s">
        <v>1483</v>
      </c>
      <c r="M700" s="3" t="s">
        <v>1483</v>
      </c>
      <c r="N700" s="22">
        <v>0</v>
      </c>
      <c r="O700" s="22"/>
      <c r="P700" s="22"/>
      <c r="Q700" s="22"/>
      <c r="R700" s="22"/>
      <c r="S700" s="22"/>
      <c r="T700" s="22"/>
      <c r="U700" s="22"/>
      <c r="V700" s="22"/>
      <c r="W700" s="3"/>
      <c r="X700" s="5" t="s">
        <v>1271</v>
      </c>
      <c r="Y700" s="28">
        <f t="shared" si="6"/>
        <v>0</v>
      </c>
      <c r="Z700" s="5">
        <v>0</v>
      </c>
    </row>
    <row r="701" spans="1:26" x14ac:dyDescent="0.3">
      <c r="A701" s="3">
        <v>27</v>
      </c>
      <c r="B701" s="3" t="s">
        <v>1243</v>
      </c>
      <c r="C701" s="3" t="s">
        <v>1268</v>
      </c>
      <c r="D701" s="3" t="s">
        <v>1353</v>
      </c>
      <c r="E701" s="3" t="s">
        <v>458</v>
      </c>
      <c r="F701" s="3" t="s">
        <v>458</v>
      </c>
      <c r="G701" s="3"/>
      <c r="H701" s="3">
        <v>6060</v>
      </c>
      <c r="I701" s="3">
        <v>0</v>
      </c>
      <c r="J701" s="3" t="s">
        <v>1246</v>
      </c>
      <c r="K701" s="3" t="s">
        <v>243</v>
      </c>
      <c r="L701" s="3" t="s">
        <v>1484</v>
      </c>
      <c r="M701" s="3" t="s">
        <v>1484</v>
      </c>
      <c r="N701" s="22">
        <v>1750</v>
      </c>
      <c r="O701" s="22"/>
      <c r="P701" s="22"/>
      <c r="Q701" s="22"/>
      <c r="R701" s="22"/>
      <c r="S701" s="22"/>
      <c r="T701" s="22"/>
      <c r="U701" s="22"/>
      <c r="V701" s="22"/>
      <c r="W701" s="3"/>
      <c r="X701" s="5" t="s">
        <v>1271</v>
      </c>
      <c r="Y701" s="28">
        <f t="shared" si="6"/>
        <v>0</v>
      </c>
      <c r="Z701" s="5">
        <v>1750</v>
      </c>
    </row>
    <row r="702" spans="1:26" x14ac:dyDescent="0.3">
      <c r="A702" s="3">
        <v>27</v>
      </c>
      <c r="B702" s="3" t="s">
        <v>1243</v>
      </c>
      <c r="C702" s="3" t="s">
        <v>1268</v>
      </c>
      <c r="D702" s="3" t="s">
        <v>1353</v>
      </c>
      <c r="E702" s="3" t="s">
        <v>458</v>
      </c>
      <c r="F702" s="3" t="s">
        <v>458</v>
      </c>
      <c r="G702" s="3"/>
      <c r="H702" s="3">
        <v>6060</v>
      </c>
      <c r="I702" s="3">
        <v>0</v>
      </c>
      <c r="J702" s="3" t="s">
        <v>1246</v>
      </c>
      <c r="K702" s="3" t="s">
        <v>243</v>
      </c>
      <c r="L702" s="3" t="s">
        <v>1485</v>
      </c>
      <c r="M702" s="3" t="s">
        <v>1485</v>
      </c>
      <c r="N702" s="22">
        <v>10194</v>
      </c>
      <c r="O702" s="22"/>
      <c r="P702" s="22"/>
      <c r="Q702" s="22"/>
      <c r="R702" s="22"/>
      <c r="S702" s="22"/>
      <c r="T702" s="22"/>
      <c r="U702" s="22"/>
      <c r="V702" s="22"/>
      <c r="W702" s="3"/>
      <c r="X702" s="5" t="s">
        <v>1271</v>
      </c>
      <c r="Y702" s="28">
        <f t="shared" si="6"/>
        <v>0</v>
      </c>
      <c r="Z702" s="5">
        <v>10194</v>
      </c>
    </row>
    <row r="703" spans="1:26" x14ac:dyDescent="0.3">
      <c r="A703" s="26">
        <v>27</v>
      </c>
      <c r="B703" s="26" t="s">
        <v>1243</v>
      </c>
      <c r="C703" s="26" t="s">
        <v>1268</v>
      </c>
      <c r="D703" s="26" t="s">
        <v>1353</v>
      </c>
      <c r="E703" s="26" t="s">
        <v>458</v>
      </c>
      <c r="F703" s="26" t="s">
        <v>458</v>
      </c>
      <c r="G703" s="26"/>
      <c r="H703" s="26">
        <v>6060</v>
      </c>
      <c r="I703" s="26">
        <v>0</v>
      </c>
      <c r="J703" s="26" t="s">
        <v>1246</v>
      </c>
      <c r="K703" s="3" t="s">
        <v>243</v>
      </c>
      <c r="L703" s="26" t="s">
        <v>1486</v>
      </c>
      <c r="M703" s="26" t="s">
        <v>1486</v>
      </c>
      <c r="N703" s="106"/>
      <c r="O703" s="22"/>
      <c r="P703" s="22"/>
      <c r="Q703" s="22"/>
      <c r="R703" s="22"/>
      <c r="S703" s="22"/>
      <c r="T703" s="22"/>
      <c r="U703" s="22"/>
      <c r="V703" s="22"/>
      <c r="W703" s="3"/>
      <c r="X703" s="5" t="s">
        <v>1271</v>
      </c>
      <c r="Y703" s="28">
        <f t="shared" si="6"/>
        <v>0</v>
      </c>
      <c r="Z703" s="29"/>
    </row>
    <row r="704" spans="1:26" x14ac:dyDescent="0.3">
      <c r="A704" s="3">
        <v>27</v>
      </c>
      <c r="B704" s="3" t="s">
        <v>1243</v>
      </c>
      <c r="C704" s="3" t="s">
        <v>1268</v>
      </c>
      <c r="D704" s="3" t="s">
        <v>1353</v>
      </c>
      <c r="E704" s="3" t="s">
        <v>458</v>
      </c>
      <c r="F704" s="3" t="s">
        <v>458</v>
      </c>
      <c r="G704" s="3"/>
      <c r="H704" s="3">
        <v>6060</v>
      </c>
      <c r="I704" s="3">
        <v>0</v>
      </c>
      <c r="J704" s="3" t="s">
        <v>1246</v>
      </c>
      <c r="K704" s="3" t="s">
        <v>243</v>
      </c>
      <c r="L704" s="3" t="s">
        <v>1487</v>
      </c>
      <c r="M704" s="3" t="s">
        <v>1487</v>
      </c>
      <c r="N704" s="22">
        <v>194</v>
      </c>
      <c r="O704" s="22"/>
      <c r="P704" s="22"/>
      <c r="Q704" s="22"/>
      <c r="R704" s="22"/>
      <c r="S704" s="22"/>
      <c r="T704" s="22"/>
      <c r="U704" s="22"/>
      <c r="V704" s="22"/>
      <c r="W704" s="3"/>
      <c r="X704" s="5" t="s">
        <v>1271</v>
      </c>
      <c r="Y704" s="28">
        <f t="shared" si="6"/>
        <v>0</v>
      </c>
      <c r="Z704" s="5">
        <v>194</v>
      </c>
    </row>
    <row r="705" spans="1:26" x14ac:dyDescent="0.3">
      <c r="A705" s="3">
        <v>27</v>
      </c>
      <c r="B705" s="3" t="s">
        <v>1243</v>
      </c>
      <c r="C705" s="3" t="s">
        <v>1268</v>
      </c>
      <c r="D705" s="3" t="s">
        <v>1353</v>
      </c>
      <c r="E705" s="3" t="s">
        <v>458</v>
      </c>
      <c r="F705" s="3" t="s">
        <v>458</v>
      </c>
      <c r="G705" s="3"/>
      <c r="H705" s="3">
        <v>6060</v>
      </c>
      <c r="I705" s="3">
        <v>0</v>
      </c>
      <c r="J705" s="3" t="s">
        <v>1246</v>
      </c>
      <c r="K705" s="3" t="s">
        <v>243</v>
      </c>
      <c r="L705" s="3" t="s">
        <v>1488</v>
      </c>
      <c r="M705" s="3" t="s">
        <v>1488</v>
      </c>
      <c r="N705" s="22">
        <v>83</v>
      </c>
      <c r="O705" s="22"/>
      <c r="P705" s="22"/>
      <c r="Q705" s="22"/>
      <c r="R705" s="22"/>
      <c r="S705" s="22"/>
      <c r="T705" s="22"/>
      <c r="U705" s="22"/>
      <c r="V705" s="22"/>
      <c r="W705" s="3"/>
      <c r="X705" s="5" t="s">
        <v>1271</v>
      </c>
      <c r="Y705" s="28">
        <f t="shared" si="6"/>
        <v>0</v>
      </c>
      <c r="Z705" s="5">
        <v>83</v>
      </c>
    </row>
    <row r="706" spans="1:26" x14ac:dyDescent="0.3">
      <c r="A706" s="3">
        <v>27</v>
      </c>
      <c r="B706" s="3" t="s">
        <v>1243</v>
      </c>
      <c r="C706" s="3" t="s">
        <v>1268</v>
      </c>
      <c r="D706" s="3" t="s">
        <v>1353</v>
      </c>
      <c r="E706" s="3" t="s">
        <v>458</v>
      </c>
      <c r="F706" s="3" t="s">
        <v>458</v>
      </c>
      <c r="G706" s="3"/>
      <c r="H706" s="3">
        <v>6060</v>
      </c>
      <c r="I706" s="3">
        <v>0</v>
      </c>
      <c r="J706" s="3" t="s">
        <v>1246</v>
      </c>
      <c r="K706" s="3" t="s">
        <v>243</v>
      </c>
      <c r="L706" s="3" t="s">
        <v>1489</v>
      </c>
      <c r="M706" s="3" t="s">
        <v>1489</v>
      </c>
      <c r="N706" s="22">
        <v>2654</v>
      </c>
      <c r="O706" s="22"/>
      <c r="P706" s="22"/>
      <c r="Q706" s="22"/>
      <c r="R706" s="22"/>
      <c r="S706" s="22"/>
      <c r="T706" s="22"/>
      <c r="U706" s="22"/>
      <c r="V706" s="22"/>
      <c r="W706" s="3"/>
      <c r="X706" s="5" t="s">
        <v>1271</v>
      </c>
      <c r="Y706" s="28">
        <f t="shared" si="6"/>
        <v>0</v>
      </c>
      <c r="Z706" s="5">
        <v>2654</v>
      </c>
    </row>
    <row r="707" spans="1:26" x14ac:dyDescent="0.3">
      <c r="A707" s="3">
        <v>27</v>
      </c>
      <c r="B707" s="3" t="s">
        <v>1243</v>
      </c>
      <c r="C707" s="3" t="s">
        <v>1268</v>
      </c>
      <c r="D707" s="3" t="s">
        <v>1353</v>
      </c>
      <c r="E707" s="3" t="s">
        <v>458</v>
      </c>
      <c r="F707" s="3" t="s">
        <v>458</v>
      </c>
      <c r="G707" s="3"/>
      <c r="H707" s="3">
        <v>6060</v>
      </c>
      <c r="I707" s="3">
        <v>0</v>
      </c>
      <c r="J707" s="3" t="s">
        <v>1246</v>
      </c>
      <c r="K707" s="3" t="s">
        <v>243</v>
      </c>
      <c r="L707" s="3" t="s">
        <v>1490</v>
      </c>
      <c r="M707" s="3" t="s">
        <v>1490</v>
      </c>
      <c r="N707" s="22">
        <v>0</v>
      </c>
      <c r="O707" s="22"/>
      <c r="P707" s="22"/>
      <c r="Q707" s="22"/>
      <c r="R707" s="22"/>
      <c r="S707" s="22"/>
      <c r="T707" s="22"/>
      <c r="U707" s="22"/>
      <c r="V707" s="22"/>
      <c r="W707" s="3"/>
      <c r="X707" s="5" t="s">
        <v>1271</v>
      </c>
      <c r="Y707" s="28">
        <f t="shared" si="6"/>
        <v>0</v>
      </c>
      <c r="Z707" s="5">
        <v>0</v>
      </c>
    </row>
    <row r="708" spans="1:26" x14ac:dyDescent="0.3">
      <c r="A708" s="3">
        <v>27</v>
      </c>
      <c r="B708" s="3" t="s">
        <v>1243</v>
      </c>
      <c r="C708" s="3" t="s">
        <v>1268</v>
      </c>
      <c r="D708" s="3" t="s">
        <v>1353</v>
      </c>
      <c r="E708" s="3" t="s">
        <v>458</v>
      </c>
      <c r="F708" s="3" t="s">
        <v>458</v>
      </c>
      <c r="G708" s="3"/>
      <c r="H708" s="3">
        <v>6060</v>
      </c>
      <c r="I708" s="3">
        <v>0</v>
      </c>
      <c r="J708" s="3" t="s">
        <v>1246</v>
      </c>
      <c r="K708" s="3" t="s">
        <v>243</v>
      </c>
      <c r="L708" s="3" t="s">
        <v>1491</v>
      </c>
      <c r="M708" s="3" t="s">
        <v>1491</v>
      </c>
      <c r="N708" s="22">
        <v>0</v>
      </c>
      <c r="O708" s="22"/>
      <c r="P708" s="22"/>
      <c r="Q708" s="22"/>
      <c r="R708" s="22"/>
      <c r="S708" s="22"/>
      <c r="T708" s="22"/>
      <c r="U708" s="22"/>
      <c r="V708" s="22"/>
      <c r="W708" s="3"/>
      <c r="X708" s="5" t="s">
        <v>1271</v>
      </c>
      <c r="Y708" s="28">
        <f t="shared" si="6"/>
        <v>0</v>
      </c>
      <c r="Z708" s="5">
        <v>0</v>
      </c>
    </row>
    <row r="709" spans="1:26" x14ac:dyDescent="0.3">
      <c r="A709" s="3">
        <v>27</v>
      </c>
      <c r="B709" s="3" t="s">
        <v>1243</v>
      </c>
      <c r="C709" s="3" t="s">
        <v>1268</v>
      </c>
      <c r="D709" s="3" t="s">
        <v>1353</v>
      </c>
      <c r="E709" s="3" t="s">
        <v>458</v>
      </c>
      <c r="F709" s="3" t="s">
        <v>458</v>
      </c>
      <c r="G709" s="3"/>
      <c r="H709" s="3">
        <v>6060</v>
      </c>
      <c r="I709" s="3">
        <v>0</v>
      </c>
      <c r="J709" s="3" t="s">
        <v>1246</v>
      </c>
      <c r="K709" s="3" t="s">
        <v>243</v>
      </c>
      <c r="L709" s="3" t="s">
        <v>1492</v>
      </c>
      <c r="M709" s="3" t="s">
        <v>1492</v>
      </c>
      <c r="N709" s="22">
        <v>0</v>
      </c>
      <c r="O709" s="22"/>
      <c r="P709" s="22"/>
      <c r="Q709" s="22"/>
      <c r="R709" s="22"/>
      <c r="S709" s="22"/>
      <c r="T709" s="22"/>
      <c r="U709" s="22"/>
      <c r="V709" s="22"/>
      <c r="W709" s="3"/>
      <c r="X709" s="5" t="s">
        <v>1271</v>
      </c>
      <c r="Y709" s="28">
        <f t="shared" si="6"/>
        <v>0</v>
      </c>
      <c r="Z709" s="5">
        <v>0</v>
      </c>
    </row>
    <row r="710" spans="1:26" x14ac:dyDescent="0.3">
      <c r="A710" s="3">
        <v>27</v>
      </c>
      <c r="B710" s="3" t="s">
        <v>1243</v>
      </c>
      <c r="C710" s="3" t="s">
        <v>1268</v>
      </c>
      <c r="D710" s="3" t="s">
        <v>1353</v>
      </c>
      <c r="E710" s="3" t="s">
        <v>458</v>
      </c>
      <c r="F710" s="3" t="s">
        <v>458</v>
      </c>
      <c r="G710" s="3"/>
      <c r="H710" s="3">
        <v>6060</v>
      </c>
      <c r="I710" s="3">
        <v>0</v>
      </c>
      <c r="J710" s="3" t="s">
        <v>1246</v>
      </c>
      <c r="K710" s="3" t="s">
        <v>243</v>
      </c>
      <c r="L710" s="3" t="s">
        <v>1493</v>
      </c>
      <c r="M710" s="3" t="s">
        <v>1493</v>
      </c>
      <c r="N710" s="22">
        <v>0</v>
      </c>
      <c r="O710" s="22"/>
      <c r="P710" s="22"/>
      <c r="Q710" s="22"/>
      <c r="R710" s="22"/>
      <c r="S710" s="22"/>
      <c r="T710" s="22"/>
      <c r="U710" s="22"/>
      <c r="V710" s="22"/>
      <c r="W710" s="3"/>
      <c r="X710" s="5" t="s">
        <v>1271</v>
      </c>
      <c r="Y710" s="28">
        <f t="shared" si="6"/>
        <v>0</v>
      </c>
      <c r="Z710" s="5">
        <v>0</v>
      </c>
    </row>
    <row r="711" spans="1:26" x14ac:dyDescent="0.3">
      <c r="A711" s="3">
        <v>27</v>
      </c>
      <c r="B711" s="3" t="s">
        <v>1243</v>
      </c>
      <c r="C711" s="3" t="s">
        <v>1268</v>
      </c>
      <c r="D711" s="3" t="s">
        <v>1353</v>
      </c>
      <c r="E711" s="3" t="s">
        <v>458</v>
      </c>
      <c r="F711" s="3" t="s">
        <v>458</v>
      </c>
      <c r="G711" s="3"/>
      <c r="H711" s="3">
        <v>6060</v>
      </c>
      <c r="I711" s="3">
        <v>0</v>
      </c>
      <c r="J711" s="3" t="s">
        <v>1246</v>
      </c>
      <c r="K711" s="3" t="s">
        <v>243</v>
      </c>
      <c r="L711" s="3" t="s">
        <v>1494</v>
      </c>
      <c r="M711" s="3" t="s">
        <v>1494</v>
      </c>
      <c r="N711" s="22">
        <v>153</v>
      </c>
      <c r="O711" s="22"/>
      <c r="P711" s="22"/>
      <c r="Q711" s="22"/>
      <c r="R711" s="22"/>
      <c r="S711" s="22"/>
      <c r="T711" s="22"/>
      <c r="U711" s="22"/>
      <c r="V711" s="22"/>
      <c r="W711" s="3"/>
      <c r="X711" s="5" t="s">
        <v>1271</v>
      </c>
      <c r="Y711" s="28">
        <f t="shared" si="6"/>
        <v>0</v>
      </c>
      <c r="Z711" s="5">
        <v>153</v>
      </c>
    </row>
    <row r="712" spans="1:26" x14ac:dyDescent="0.3">
      <c r="A712" s="3">
        <v>27</v>
      </c>
      <c r="B712" s="3" t="s">
        <v>1243</v>
      </c>
      <c r="C712" s="3" t="s">
        <v>1268</v>
      </c>
      <c r="D712" s="3" t="s">
        <v>1353</v>
      </c>
      <c r="E712" s="3" t="s">
        <v>458</v>
      </c>
      <c r="F712" s="3" t="s">
        <v>458</v>
      </c>
      <c r="G712" s="3"/>
      <c r="H712" s="3">
        <v>6060</v>
      </c>
      <c r="I712" s="3">
        <v>0</v>
      </c>
      <c r="J712" s="3" t="s">
        <v>1246</v>
      </c>
      <c r="K712" s="3" t="s">
        <v>243</v>
      </c>
      <c r="L712" s="3" t="s">
        <v>1495</v>
      </c>
      <c r="M712" s="3" t="s">
        <v>1495</v>
      </c>
      <c r="N712" s="22">
        <v>0</v>
      </c>
      <c r="O712" s="22"/>
      <c r="P712" s="22"/>
      <c r="Q712" s="22"/>
      <c r="R712" s="22"/>
      <c r="S712" s="22"/>
      <c r="T712" s="22"/>
      <c r="U712" s="22"/>
      <c r="V712" s="22"/>
      <c r="W712" s="3"/>
      <c r="X712" s="5" t="s">
        <v>1271</v>
      </c>
      <c r="Y712" s="28">
        <f t="shared" si="6"/>
        <v>0</v>
      </c>
      <c r="Z712" s="5">
        <v>0</v>
      </c>
    </row>
    <row r="713" spans="1:26" x14ac:dyDescent="0.3">
      <c r="A713" s="3">
        <v>27</v>
      </c>
      <c r="B713" s="3" t="s">
        <v>1243</v>
      </c>
      <c r="C713" s="3" t="s">
        <v>1268</v>
      </c>
      <c r="D713" s="3" t="s">
        <v>1353</v>
      </c>
      <c r="E713" s="3" t="s">
        <v>458</v>
      </c>
      <c r="F713" s="3" t="s">
        <v>458</v>
      </c>
      <c r="G713" s="3"/>
      <c r="H713" s="3">
        <v>6060</v>
      </c>
      <c r="I713" s="3">
        <v>0</v>
      </c>
      <c r="J713" s="3" t="s">
        <v>1110</v>
      </c>
      <c r="K713" s="3" t="s">
        <v>243</v>
      </c>
      <c r="L713" s="3" t="s">
        <v>1496</v>
      </c>
      <c r="M713" s="3" t="s">
        <v>1496</v>
      </c>
      <c r="N713" s="22">
        <v>0</v>
      </c>
      <c r="O713" s="22"/>
      <c r="P713" s="22"/>
      <c r="Q713" s="22"/>
      <c r="R713" s="22"/>
      <c r="S713" s="22"/>
      <c r="T713" s="22"/>
      <c r="U713" s="22"/>
      <c r="V713" s="22"/>
      <c r="W713" s="3"/>
      <c r="X713" s="5" t="s">
        <v>1271</v>
      </c>
      <c r="Y713" s="28">
        <f t="shared" si="6"/>
        <v>0</v>
      </c>
      <c r="Z713" s="5">
        <v>0</v>
      </c>
    </row>
    <row r="714" spans="1:26" x14ac:dyDescent="0.3">
      <c r="A714" s="3">
        <v>27</v>
      </c>
      <c r="B714" s="3" t="s">
        <v>1243</v>
      </c>
      <c r="C714" s="3" t="s">
        <v>1268</v>
      </c>
      <c r="D714" s="3" t="s">
        <v>1353</v>
      </c>
      <c r="E714" s="3" t="s">
        <v>458</v>
      </c>
      <c r="F714" s="3" t="s">
        <v>458</v>
      </c>
      <c r="G714" s="3"/>
      <c r="H714" s="3">
        <v>6060</v>
      </c>
      <c r="I714" s="3">
        <v>0</v>
      </c>
      <c r="J714" s="3" t="s">
        <v>1246</v>
      </c>
      <c r="K714" s="3" t="s">
        <v>243</v>
      </c>
      <c r="L714" s="3" t="s">
        <v>1497</v>
      </c>
      <c r="M714" s="3" t="s">
        <v>1497</v>
      </c>
      <c r="N714" s="22">
        <v>0</v>
      </c>
      <c r="O714" s="22"/>
      <c r="P714" s="22"/>
      <c r="Q714" s="22"/>
      <c r="R714" s="22"/>
      <c r="S714" s="22"/>
      <c r="T714" s="22"/>
      <c r="U714" s="22"/>
      <c r="V714" s="22"/>
      <c r="W714" s="3"/>
      <c r="X714" s="5" t="s">
        <v>1271</v>
      </c>
      <c r="Y714" s="28">
        <f t="shared" si="6"/>
        <v>0</v>
      </c>
      <c r="Z714" s="5">
        <v>0</v>
      </c>
    </row>
    <row r="715" spans="1:26" x14ac:dyDescent="0.3">
      <c r="A715" s="3">
        <v>27</v>
      </c>
      <c r="B715" s="3" t="s">
        <v>1243</v>
      </c>
      <c r="C715" s="3" t="s">
        <v>1268</v>
      </c>
      <c r="D715" s="3" t="s">
        <v>1353</v>
      </c>
      <c r="E715" s="3" t="s">
        <v>458</v>
      </c>
      <c r="F715" s="3" t="s">
        <v>458</v>
      </c>
      <c r="G715" s="3"/>
      <c r="H715" s="3">
        <v>6060</v>
      </c>
      <c r="I715" s="3">
        <v>0</v>
      </c>
      <c r="J715" s="3" t="s">
        <v>1246</v>
      </c>
      <c r="K715" s="3" t="s">
        <v>243</v>
      </c>
      <c r="L715" s="3" t="s">
        <v>1498</v>
      </c>
      <c r="M715" s="3" t="s">
        <v>1498</v>
      </c>
      <c r="N715" s="22">
        <v>0</v>
      </c>
      <c r="O715" s="22"/>
      <c r="P715" s="22"/>
      <c r="Q715" s="22"/>
      <c r="R715" s="22"/>
      <c r="S715" s="22"/>
      <c r="T715" s="22"/>
      <c r="U715" s="22"/>
      <c r="V715" s="22"/>
      <c r="W715" s="3"/>
      <c r="X715" s="5" t="s">
        <v>1271</v>
      </c>
      <c r="Y715" s="28">
        <f t="shared" si="6"/>
        <v>0</v>
      </c>
      <c r="Z715" s="5">
        <v>0</v>
      </c>
    </row>
    <row r="716" spans="1:26" x14ac:dyDescent="0.3">
      <c r="A716" s="3">
        <v>27</v>
      </c>
      <c r="B716" s="3" t="s">
        <v>1243</v>
      </c>
      <c r="C716" s="3" t="s">
        <v>1268</v>
      </c>
      <c r="D716" s="3" t="s">
        <v>1353</v>
      </c>
      <c r="E716" s="3" t="s">
        <v>458</v>
      </c>
      <c r="F716" s="3" t="s">
        <v>458</v>
      </c>
      <c r="G716" s="3"/>
      <c r="H716" s="3">
        <v>6060</v>
      </c>
      <c r="I716" s="3">
        <v>0</v>
      </c>
      <c r="J716" s="3" t="s">
        <v>1246</v>
      </c>
      <c r="K716" s="3" t="s">
        <v>243</v>
      </c>
      <c r="L716" s="3" t="s">
        <v>1499</v>
      </c>
      <c r="M716" s="3" t="s">
        <v>1499</v>
      </c>
      <c r="N716" s="22">
        <v>0</v>
      </c>
      <c r="O716" s="22"/>
      <c r="P716" s="22"/>
      <c r="Q716" s="22"/>
      <c r="R716" s="22"/>
      <c r="S716" s="22"/>
      <c r="T716" s="22"/>
      <c r="U716" s="22"/>
      <c r="V716" s="22"/>
      <c r="W716" s="3"/>
      <c r="X716" s="5" t="s">
        <v>1271</v>
      </c>
      <c r="Y716" s="28">
        <f t="shared" si="6"/>
        <v>0</v>
      </c>
      <c r="Z716" s="5">
        <v>0</v>
      </c>
    </row>
    <row r="717" spans="1:26" x14ac:dyDescent="0.3">
      <c r="A717" s="3">
        <v>27</v>
      </c>
      <c r="B717" s="3" t="s">
        <v>1243</v>
      </c>
      <c r="C717" s="3" t="s">
        <v>1268</v>
      </c>
      <c r="D717" s="3" t="s">
        <v>1353</v>
      </c>
      <c r="E717" s="3" t="s">
        <v>458</v>
      </c>
      <c r="F717" s="3" t="s">
        <v>458</v>
      </c>
      <c r="G717" s="3"/>
      <c r="H717" s="3">
        <v>6060</v>
      </c>
      <c r="I717" s="3">
        <v>0</v>
      </c>
      <c r="J717" s="3" t="s">
        <v>1246</v>
      </c>
      <c r="K717" s="3" t="s">
        <v>243</v>
      </c>
      <c r="L717" s="3" t="s">
        <v>1500</v>
      </c>
      <c r="M717" s="3" t="s">
        <v>1500</v>
      </c>
      <c r="N717" s="22">
        <v>0</v>
      </c>
      <c r="O717" s="22"/>
      <c r="P717" s="22"/>
      <c r="Q717" s="22"/>
      <c r="R717" s="22"/>
      <c r="S717" s="22"/>
      <c r="T717" s="22"/>
      <c r="U717" s="22"/>
      <c r="V717" s="22"/>
      <c r="W717" s="3"/>
      <c r="X717" s="5" t="s">
        <v>1271</v>
      </c>
      <c r="Y717" s="28">
        <f t="shared" si="6"/>
        <v>0</v>
      </c>
      <c r="Z717" s="5">
        <v>0</v>
      </c>
    </row>
    <row r="718" spans="1:26" s="29" customFormat="1" x14ac:dyDescent="0.3">
      <c r="A718" s="3">
        <v>27</v>
      </c>
      <c r="B718" s="3" t="s">
        <v>1243</v>
      </c>
      <c r="C718" s="3" t="s">
        <v>1268</v>
      </c>
      <c r="D718" s="3" t="s">
        <v>1353</v>
      </c>
      <c r="E718" s="3" t="s">
        <v>458</v>
      </c>
      <c r="F718" s="3" t="s">
        <v>458</v>
      </c>
      <c r="G718" s="3"/>
      <c r="H718" s="3">
        <v>6060</v>
      </c>
      <c r="I718" s="3">
        <v>0</v>
      </c>
      <c r="J718" s="3" t="s">
        <v>1246</v>
      </c>
      <c r="K718" s="3" t="s">
        <v>243</v>
      </c>
      <c r="L718" s="3" t="s">
        <v>1501</v>
      </c>
      <c r="M718" s="3" t="s">
        <v>1501</v>
      </c>
      <c r="N718" s="22">
        <v>0</v>
      </c>
      <c r="O718" s="22"/>
      <c r="P718" s="22"/>
      <c r="Q718" s="22"/>
      <c r="R718" s="22"/>
      <c r="S718" s="22"/>
      <c r="T718" s="22"/>
      <c r="U718" s="22"/>
      <c r="V718" s="22"/>
      <c r="W718" s="3"/>
      <c r="X718" s="5" t="s">
        <v>1271</v>
      </c>
      <c r="Y718" s="28">
        <f t="shared" si="6"/>
        <v>0</v>
      </c>
      <c r="Z718" s="5">
        <v>0</v>
      </c>
    </row>
    <row r="719" spans="1:26" x14ac:dyDescent="0.3">
      <c r="A719" s="3">
        <v>27</v>
      </c>
      <c r="B719" s="3" t="s">
        <v>1243</v>
      </c>
      <c r="C719" s="3" t="s">
        <v>1268</v>
      </c>
      <c r="D719" s="3" t="s">
        <v>1353</v>
      </c>
      <c r="E719" s="3" t="s">
        <v>458</v>
      </c>
      <c r="F719" s="3" t="s">
        <v>458</v>
      </c>
      <c r="G719" s="3"/>
      <c r="H719" s="3">
        <v>6060</v>
      </c>
      <c r="I719" s="3">
        <v>0</v>
      </c>
      <c r="J719" s="3" t="s">
        <v>1246</v>
      </c>
      <c r="K719" s="3" t="s">
        <v>243</v>
      </c>
      <c r="L719" s="3" t="s">
        <v>1502</v>
      </c>
      <c r="M719" s="3" t="s">
        <v>1502</v>
      </c>
      <c r="N719" s="22">
        <v>0</v>
      </c>
      <c r="O719" s="22"/>
      <c r="P719" s="22"/>
      <c r="Q719" s="22"/>
      <c r="R719" s="22"/>
      <c r="S719" s="22"/>
      <c r="T719" s="22"/>
      <c r="U719" s="22"/>
      <c r="V719" s="22"/>
      <c r="W719" s="3"/>
      <c r="X719" s="5" t="s">
        <v>1271</v>
      </c>
      <c r="Y719" s="28">
        <f t="shared" si="6"/>
        <v>0</v>
      </c>
      <c r="Z719" s="5">
        <v>0</v>
      </c>
    </row>
    <row r="720" spans="1:26" x14ac:dyDescent="0.3">
      <c r="A720" s="3">
        <v>27</v>
      </c>
      <c r="B720" s="3" t="s">
        <v>1243</v>
      </c>
      <c r="C720" s="3" t="s">
        <v>1268</v>
      </c>
      <c r="D720" s="3" t="s">
        <v>1353</v>
      </c>
      <c r="E720" s="3" t="s">
        <v>458</v>
      </c>
      <c r="F720" s="3" t="s">
        <v>458</v>
      </c>
      <c r="G720" s="3"/>
      <c r="H720" s="3">
        <v>6060</v>
      </c>
      <c r="I720" s="3">
        <v>0</v>
      </c>
      <c r="J720" s="3" t="s">
        <v>1246</v>
      </c>
      <c r="K720" s="3" t="s">
        <v>243</v>
      </c>
      <c r="L720" s="3" t="s">
        <v>1503</v>
      </c>
      <c r="M720" s="3" t="s">
        <v>1503</v>
      </c>
      <c r="N720" s="22">
        <v>0</v>
      </c>
      <c r="O720" s="22"/>
      <c r="P720" s="22"/>
      <c r="Q720" s="22"/>
      <c r="R720" s="22"/>
      <c r="S720" s="22"/>
      <c r="T720" s="22"/>
      <c r="U720" s="22"/>
      <c r="V720" s="22"/>
      <c r="W720" s="3"/>
      <c r="X720" s="5" t="s">
        <v>1271</v>
      </c>
      <c r="Y720" s="28">
        <f t="shared" si="6"/>
        <v>0</v>
      </c>
      <c r="Z720" s="5">
        <v>0</v>
      </c>
    </row>
    <row r="721" spans="1:26" x14ac:dyDescent="0.3">
      <c r="A721" s="3">
        <v>27</v>
      </c>
      <c r="B721" s="3" t="s">
        <v>1243</v>
      </c>
      <c r="C721" s="3" t="s">
        <v>1268</v>
      </c>
      <c r="D721" s="3" t="s">
        <v>1353</v>
      </c>
      <c r="E721" s="3" t="s">
        <v>458</v>
      </c>
      <c r="F721" s="3" t="s">
        <v>458</v>
      </c>
      <c r="G721" s="3"/>
      <c r="H721" s="3">
        <v>6060</v>
      </c>
      <c r="I721" s="3">
        <v>0</v>
      </c>
      <c r="J721" s="3" t="s">
        <v>1246</v>
      </c>
      <c r="K721" s="3" t="s">
        <v>243</v>
      </c>
      <c r="L721" s="3" t="s">
        <v>1504</v>
      </c>
      <c r="M721" s="3" t="s">
        <v>1504</v>
      </c>
      <c r="N721" s="22">
        <v>0</v>
      </c>
      <c r="O721" s="22"/>
      <c r="P721" s="22"/>
      <c r="Q721" s="22"/>
      <c r="R721" s="22"/>
      <c r="S721" s="22"/>
      <c r="T721" s="22"/>
      <c r="U721" s="22"/>
      <c r="V721" s="22"/>
      <c r="W721" s="3"/>
      <c r="X721" s="5" t="s">
        <v>1271</v>
      </c>
      <c r="Y721" s="28">
        <f t="shared" si="6"/>
        <v>0</v>
      </c>
      <c r="Z721" s="5">
        <v>0</v>
      </c>
    </row>
    <row r="722" spans="1:26" x14ac:dyDescent="0.3">
      <c r="A722" s="3">
        <v>27</v>
      </c>
      <c r="B722" s="3" t="s">
        <v>1243</v>
      </c>
      <c r="C722" s="3" t="s">
        <v>1268</v>
      </c>
      <c r="D722" s="3" t="s">
        <v>1353</v>
      </c>
      <c r="E722" s="3" t="s">
        <v>458</v>
      </c>
      <c r="F722" s="3" t="s">
        <v>458</v>
      </c>
      <c r="G722" s="3"/>
      <c r="H722" s="3">
        <v>6060</v>
      </c>
      <c r="I722" s="3">
        <v>0</v>
      </c>
      <c r="J722" s="3" t="s">
        <v>1246</v>
      </c>
      <c r="K722" s="3" t="s">
        <v>243</v>
      </c>
      <c r="L722" s="3" t="s">
        <v>1505</v>
      </c>
      <c r="M722" s="3" t="s">
        <v>1505</v>
      </c>
      <c r="N722" s="22">
        <v>0</v>
      </c>
      <c r="O722" s="22"/>
      <c r="P722" s="22"/>
      <c r="Q722" s="22"/>
      <c r="R722" s="22"/>
      <c r="S722" s="22"/>
      <c r="T722" s="22"/>
      <c r="U722" s="22"/>
      <c r="V722" s="22"/>
      <c r="W722" s="3"/>
      <c r="X722" s="5" t="s">
        <v>1271</v>
      </c>
      <c r="Y722" s="28">
        <f t="shared" si="6"/>
        <v>0</v>
      </c>
      <c r="Z722" s="5">
        <v>0</v>
      </c>
    </row>
    <row r="723" spans="1:26" x14ac:dyDescent="0.3">
      <c r="A723" s="3">
        <v>27</v>
      </c>
      <c r="B723" s="3" t="s">
        <v>1243</v>
      </c>
      <c r="C723" s="3" t="s">
        <v>1268</v>
      </c>
      <c r="D723" s="3" t="s">
        <v>1353</v>
      </c>
      <c r="E723" s="3" t="s">
        <v>458</v>
      </c>
      <c r="F723" s="3" t="s">
        <v>458</v>
      </c>
      <c r="G723" s="3"/>
      <c r="H723" s="3">
        <v>6060</v>
      </c>
      <c r="I723" s="3">
        <v>0</v>
      </c>
      <c r="J723" s="3" t="s">
        <v>1246</v>
      </c>
      <c r="K723" s="3" t="s">
        <v>243</v>
      </c>
      <c r="L723" s="3" t="s">
        <v>1506</v>
      </c>
      <c r="M723" s="3" t="s">
        <v>1506</v>
      </c>
      <c r="N723" s="22">
        <v>0</v>
      </c>
      <c r="O723" s="22"/>
      <c r="P723" s="22"/>
      <c r="Q723" s="22"/>
      <c r="R723" s="22"/>
      <c r="S723" s="22"/>
      <c r="T723" s="22"/>
      <c r="U723" s="22"/>
      <c r="V723" s="22"/>
      <c r="W723" s="3"/>
      <c r="X723" s="5" t="s">
        <v>1271</v>
      </c>
      <c r="Y723" s="28">
        <f t="shared" si="6"/>
        <v>0</v>
      </c>
      <c r="Z723" s="5">
        <v>0</v>
      </c>
    </row>
    <row r="724" spans="1:26" x14ac:dyDescent="0.3">
      <c r="A724" s="3">
        <v>27</v>
      </c>
      <c r="B724" s="3" t="s">
        <v>1243</v>
      </c>
      <c r="C724" s="3" t="s">
        <v>1268</v>
      </c>
      <c r="D724" s="3" t="s">
        <v>1353</v>
      </c>
      <c r="E724" s="3" t="s">
        <v>458</v>
      </c>
      <c r="F724" s="3" t="s">
        <v>458</v>
      </c>
      <c r="G724" s="3"/>
      <c r="H724" s="3">
        <v>6060</v>
      </c>
      <c r="I724" s="3">
        <v>0</v>
      </c>
      <c r="J724" s="3" t="s">
        <v>1246</v>
      </c>
      <c r="K724" s="3" t="s">
        <v>243</v>
      </c>
      <c r="L724" s="3" t="s">
        <v>1507</v>
      </c>
      <c r="M724" s="3" t="s">
        <v>1507</v>
      </c>
      <c r="N724" s="22">
        <v>1353</v>
      </c>
      <c r="O724" s="22"/>
      <c r="P724" s="22"/>
      <c r="Q724" s="22"/>
      <c r="R724" s="22"/>
      <c r="S724" s="22"/>
      <c r="T724" s="22"/>
      <c r="U724" s="22"/>
      <c r="V724" s="22"/>
      <c r="W724" s="3"/>
      <c r="X724" s="5" t="s">
        <v>1271</v>
      </c>
      <c r="Y724" s="28">
        <f t="shared" si="6"/>
        <v>0</v>
      </c>
      <c r="Z724" s="5">
        <v>1353</v>
      </c>
    </row>
    <row r="725" spans="1:26" x14ac:dyDescent="0.3">
      <c r="A725" s="3">
        <v>27</v>
      </c>
      <c r="B725" s="3" t="s">
        <v>1243</v>
      </c>
      <c r="C725" s="3" t="s">
        <v>1268</v>
      </c>
      <c r="D725" s="3" t="s">
        <v>1353</v>
      </c>
      <c r="E725" s="3" t="s">
        <v>458</v>
      </c>
      <c r="F725" s="3" t="s">
        <v>458</v>
      </c>
      <c r="G725" s="3"/>
      <c r="H725" s="3">
        <v>6060</v>
      </c>
      <c r="I725" s="3">
        <v>0</v>
      </c>
      <c r="J725" s="3" t="s">
        <v>1246</v>
      </c>
      <c r="K725" s="3" t="s">
        <v>243</v>
      </c>
      <c r="L725" s="3" t="s">
        <v>1508</v>
      </c>
      <c r="M725" s="3" t="s">
        <v>1508</v>
      </c>
      <c r="N725" s="22">
        <v>3690</v>
      </c>
      <c r="O725" s="22"/>
      <c r="P725" s="22"/>
      <c r="Q725" s="22"/>
      <c r="R725" s="22"/>
      <c r="S725" s="22"/>
      <c r="T725" s="22"/>
      <c r="U725" s="22"/>
      <c r="V725" s="22"/>
      <c r="W725" s="3"/>
      <c r="X725" s="5" t="s">
        <v>1271</v>
      </c>
      <c r="Y725" s="28">
        <f t="shared" si="6"/>
        <v>0</v>
      </c>
      <c r="Z725" s="5">
        <v>3690</v>
      </c>
    </row>
    <row r="726" spans="1:26" x14ac:dyDescent="0.3">
      <c r="A726" s="3">
        <v>27</v>
      </c>
      <c r="B726" s="3" t="s">
        <v>1243</v>
      </c>
      <c r="C726" s="3" t="s">
        <v>1268</v>
      </c>
      <c r="D726" s="3" t="s">
        <v>1353</v>
      </c>
      <c r="E726" s="3" t="s">
        <v>458</v>
      </c>
      <c r="F726" s="3" t="s">
        <v>458</v>
      </c>
      <c r="G726" s="3"/>
      <c r="H726" s="3">
        <v>6060</v>
      </c>
      <c r="I726" s="3">
        <v>0</v>
      </c>
      <c r="J726" s="3" t="s">
        <v>1246</v>
      </c>
      <c r="K726" s="3" t="s">
        <v>243</v>
      </c>
      <c r="L726" s="3" t="s">
        <v>1509</v>
      </c>
      <c r="M726" s="3" t="s">
        <v>1509</v>
      </c>
      <c r="N726" s="22">
        <v>2214</v>
      </c>
      <c r="O726" s="22"/>
      <c r="P726" s="22"/>
      <c r="Q726" s="22"/>
      <c r="R726" s="22"/>
      <c r="S726" s="22"/>
      <c r="T726" s="22"/>
      <c r="U726" s="22"/>
      <c r="V726" s="22"/>
      <c r="W726" s="3"/>
      <c r="X726" s="5" t="s">
        <v>1271</v>
      </c>
      <c r="Y726" s="28">
        <f t="shared" si="6"/>
        <v>0</v>
      </c>
      <c r="Z726" s="5">
        <v>2214</v>
      </c>
    </row>
    <row r="727" spans="1:26" x14ac:dyDescent="0.3">
      <c r="A727" s="3">
        <v>27</v>
      </c>
      <c r="B727" s="3" t="s">
        <v>1243</v>
      </c>
      <c r="C727" s="3" t="s">
        <v>1268</v>
      </c>
      <c r="D727" s="3" t="s">
        <v>1353</v>
      </c>
      <c r="E727" s="3" t="s">
        <v>458</v>
      </c>
      <c r="F727" s="3" t="s">
        <v>458</v>
      </c>
      <c r="G727" s="3"/>
      <c r="H727" s="3">
        <v>6060</v>
      </c>
      <c r="I727" s="3">
        <v>0</v>
      </c>
      <c r="J727" s="3" t="s">
        <v>1246</v>
      </c>
      <c r="K727" s="3" t="s">
        <v>243</v>
      </c>
      <c r="L727" s="3" t="s">
        <v>1510</v>
      </c>
      <c r="M727" s="3" t="s">
        <v>1510</v>
      </c>
      <c r="N727" s="22">
        <v>1697</v>
      </c>
      <c r="O727" s="22"/>
      <c r="P727" s="22"/>
      <c r="Q727" s="22"/>
      <c r="R727" s="22"/>
      <c r="S727" s="22"/>
      <c r="T727" s="22"/>
      <c r="U727" s="22"/>
      <c r="V727" s="22"/>
      <c r="W727" s="3"/>
      <c r="X727" s="5" t="s">
        <v>1271</v>
      </c>
      <c r="Y727" s="28">
        <f t="shared" si="6"/>
        <v>0</v>
      </c>
      <c r="Z727" s="5">
        <v>1697</v>
      </c>
    </row>
    <row r="728" spans="1:26" s="29" customFormat="1" x14ac:dyDescent="0.3">
      <c r="A728" s="3">
        <v>27</v>
      </c>
      <c r="B728" s="3" t="s">
        <v>1243</v>
      </c>
      <c r="C728" s="3" t="s">
        <v>1268</v>
      </c>
      <c r="D728" s="3" t="s">
        <v>1353</v>
      </c>
      <c r="E728" s="3" t="s">
        <v>458</v>
      </c>
      <c r="F728" s="3" t="s">
        <v>458</v>
      </c>
      <c r="G728" s="3"/>
      <c r="H728" s="3">
        <v>6060</v>
      </c>
      <c r="I728" s="3">
        <v>0</v>
      </c>
      <c r="J728" s="3" t="s">
        <v>1246</v>
      </c>
      <c r="K728" s="3" t="s">
        <v>243</v>
      </c>
      <c r="L728" s="3" t="s">
        <v>1511</v>
      </c>
      <c r="M728" s="3" t="s">
        <v>1511</v>
      </c>
      <c r="N728" s="22">
        <v>1181</v>
      </c>
      <c r="O728" s="22"/>
      <c r="P728" s="22"/>
      <c r="Q728" s="22"/>
      <c r="R728" s="22"/>
      <c r="S728" s="22"/>
      <c r="T728" s="22"/>
      <c r="U728" s="22"/>
      <c r="V728" s="22"/>
      <c r="W728" s="3"/>
      <c r="X728" s="5" t="s">
        <v>1271</v>
      </c>
      <c r="Y728" s="28">
        <f t="shared" si="6"/>
        <v>0</v>
      </c>
      <c r="Z728" s="5">
        <v>1181</v>
      </c>
    </row>
    <row r="729" spans="1:26" x14ac:dyDescent="0.3">
      <c r="A729" s="3">
        <v>27</v>
      </c>
      <c r="B729" s="3" t="s">
        <v>1243</v>
      </c>
      <c r="C729" s="3" t="s">
        <v>1268</v>
      </c>
      <c r="D729" s="3" t="s">
        <v>1353</v>
      </c>
      <c r="E729" s="3" t="s">
        <v>458</v>
      </c>
      <c r="F729" s="3" t="s">
        <v>458</v>
      </c>
      <c r="G729" s="3"/>
      <c r="H729" s="3">
        <v>6060</v>
      </c>
      <c r="I729" s="3">
        <v>0</v>
      </c>
      <c r="J729" s="3" t="s">
        <v>1246</v>
      </c>
      <c r="K729" s="3" t="s">
        <v>243</v>
      </c>
      <c r="L729" s="3" t="s">
        <v>1512</v>
      </c>
      <c r="M729" s="3" t="s">
        <v>1512</v>
      </c>
      <c r="N729" s="22">
        <v>959</v>
      </c>
      <c r="O729" s="22"/>
      <c r="P729" s="22"/>
      <c r="Q729" s="22"/>
      <c r="R729" s="22"/>
      <c r="S729" s="22"/>
      <c r="T729" s="22"/>
      <c r="U729" s="22"/>
      <c r="V729" s="22"/>
      <c r="W729" s="3"/>
      <c r="X729" s="5" t="s">
        <v>1271</v>
      </c>
      <c r="Y729" s="28">
        <f t="shared" si="6"/>
        <v>0</v>
      </c>
      <c r="Z729" s="5">
        <v>959</v>
      </c>
    </row>
    <row r="730" spans="1:26" s="29" customFormat="1" x14ac:dyDescent="0.3">
      <c r="A730" s="3">
        <v>27</v>
      </c>
      <c r="B730" s="3" t="s">
        <v>1243</v>
      </c>
      <c r="C730" s="3" t="s">
        <v>1268</v>
      </c>
      <c r="D730" s="3" t="s">
        <v>1353</v>
      </c>
      <c r="E730" s="3" t="s">
        <v>458</v>
      </c>
      <c r="F730" s="3" t="s">
        <v>458</v>
      </c>
      <c r="G730" s="3"/>
      <c r="H730" s="3">
        <v>6060</v>
      </c>
      <c r="I730" s="3">
        <v>0</v>
      </c>
      <c r="J730" s="3" t="s">
        <v>1246</v>
      </c>
      <c r="K730" s="3" t="s">
        <v>243</v>
      </c>
      <c r="L730" s="3" t="s">
        <v>1513</v>
      </c>
      <c r="M730" s="3" t="s">
        <v>1513</v>
      </c>
      <c r="N730" s="22">
        <v>1107</v>
      </c>
      <c r="O730" s="22"/>
      <c r="P730" s="22"/>
      <c r="Q730" s="22"/>
      <c r="R730" s="22"/>
      <c r="S730" s="22"/>
      <c r="T730" s="22"/>
      <c r="U730" s="22"/>
      <c r="V730" s="22"/>
      <c r="W730" s="3"/>
      <c r="X730" s="5" t="s">
        <v>1271</v>
      </c>
      <c r="Y730" s="28">
        <f t="shared" si="6"/>
        <v>0</v>
      </c>
      <c r="Z730" s="5">
        <v>1107</v>
      </c>
    </row>
    <row r="731" spans="1:26" x14ac:dyDescent="0.3">
      <c r="A731" s="3">
        <v>27</v>
      </c>
      <c r="B731" s="3" t="s">
        <v>1243</v>
      </c>
      <c r="C731" s="3" t="s">
        <v>1268</v>
      </c>
      <c r="D731" s="3" t="s">
        <v>1353</v>
      </c>
      <c r="E731" s="3" t="s">
        <v>458</v>
      </c>
      <c r="F731" s="3" t="s">
        <v>458</v>
      </c>
      <c r="G731" s="3"/>
      <c r="H731" s="3">
        <v>6060</v>
      </c>
      <c r="I731" s="3">
        <v>0</v>
      </c>
      <c r="J731" s="3" t="s">
        <v>1246</v>
      </c>
      <c r="K731" s="3" t="s">
        <v>243</v>
      </c>
      <c r="L731" s="3" t="s">
        <v>1514</v>
      </c>
      <c r="M731" s="3" t="s">
        <v>1514</v>
      </c>
      <c r="N731" s="22">
        <v>8904</v>
      </c>
      <c r="O731" s="22"/>
      <c r="P731" s="22"/>
      <c r="Q731" s="22"/>
      <c r="R731" s="22"/>
      <c r="S731" s="22"/>
      <c r="T731" s="22"/>
      <c r="U731" s="22"/>
      <c r="V731" s="22"/>
      <c r="W731" s="3"/>
      <c r="X731" s="5" t="s">
        <v>1271</v>
      </c>
      <c r="Y731" s="28">
        <f t="shared" si="6"/>
        <v>0</v>
      </c>
      <c r="Z731" s="5">
        <v>8904</v>
      </c>
    </row>
    <row r="732" spans="1:26" x14ac:dyDescent="0.3">
      <c r="A732" s="3">
        <v>27</v>
      </c>
      <c r="B732" s="3" t="s">
        <v>1243</v>
      </c>
      <c r="C732" s="3" t="s">
        <v>1268</v>
      </c>
      <c r="D732" s="3" t="s">
        <v>1353</v>
      </c>
      <c r="E732" s="3" t="s">
        <v>458</v>
      </c>
      <c r="F732" s="3" t="s">
        <v>458</v>
      </c>
      <c r="G732" s="3"/>
      <c r="H732" s="3">
        <v>6060</v>
      </c>
      <c r="I732" s="3">
        <v>0</v>
      </c>
      <c r="J732" s="3" t="s">
        <v>1246</v>
      </c>
      <c r="K732" s="3" t="s">
        <v>243</v>
      </c>
      <c r="L732" s="3" t="s">
        <v>1515</v>
      </c>
      <c r="M732" s="3" t="s">
        <v>1515</v>
      </c>
      <c r="N732" s="22">
        <v>20146</v>
      </c>
      <c r="O732" s="22"/>
      <c r="P732" s="22"/>
      <c r="Q732" s="22"/>
      <c r="R732" s="22"/>
      <c r="S732" s="22"/>
      <c r="T732" s="22"/>
      <c r="U732" s="22"/>
      <c r="V732" s="22"/>
      <c r="W732" s="3"/>
      <c r="X732" s="5" t="s">
        <v>1271</v>
      </c>
      <c r="Y732" s="28">
        <f t="shared" si="6"/>
        <v>0</v>
      </c>
      <c r="Z732" s="5">
        <v>20146</v>
      </c>
    </row>
    <row r="733" spans="1:26" s="29" customFormat="1" x14ac:dyDescent="0.3">
      <c r="A733" s="3">
        <v>27</v>
      </c>
      <c r="B733" s="3" t="s">
        <v>1243</v>
      </c>
      <c r="C733" s="3" t="s">
        <v>1268</v>
      </c>
      <c r="D733" s="3" t="s">
        <v>1353</v>
      </c>
      <c r="E733" s="3" t="s">
        <v>458</v>
      </c>
      <c r="F733" s="3" t="s">
        <v>458</v>
      </c>
      <c r="G733" s="3"/>
      <c r="H733" s="3">
        <v>6060</v>
      </c>
      <c r="I733" s="3">
        <v>0</v>
      </c>
      <c r="J733" s="3" t="s">
        <v>1246</v>
      </c>
      <c r="K733" s="3" t="s">
        <v>243</v>
      </c>
      <c r="L733" s="3" t="s">
        <v>1516</v>
      </c>
      <c r="M733" s="3" t="s">
        <v>1516</v>
      </c>
      <c r="N733" s="22">
        <v>947</v>
      </c>
      <c r="O733" s="22"/>
      <c r="P733" s="22"/>
      <c r="Q733" s="22"/>
      <c r="R733" s="22"/>
      <c r="S733" s="22"/>
      <c r="T733" s="22"/>
      <c r="U733" s="22"/>
      <c r="V733" s="22"/>
      <c r="W733" s="3"/>
      <c r="X733" s="5" t="s">
        <v>1271</v>
      </c>
      <c r="Y733" s="28">
        <f t="shared" si="6"/>
        <v>0</v>
      </c>
      <c r="Z733" s="5">
        <v>947</v>
      </c>
    </row>
    <row r="734" spans="1:26" s="29" customFormat="1" x14ac:dyDescent="0.3">
      <c r="A734" s="3">
        <v>27</v>
      </c>
      <c r="B734" s="3" t="s">
        <v>1243</v>
      </c>
      <c r="C734" s="3" t="s">
        <v>1268</v>
      </c>
      <c r="D734" s="3" t="s">
        <v>1269</v>
      </c>
      <c r="E734" s="3" t="s">
        <v>458</v>
      </c>
      <c r="F734" s="3" t="s">
        <v>458</v>
      </c>
      <c r="G734" s="3"/>
      <c r="H734" s="3">
        <v>6060</v>
      </c>
      <c r="I734" s="3">
        <v>0</v>
      </c>
      <c r="J734" s="3" t="s">
        <v>1246</v>
      </c>
      <c r="K734" s="3" t="s">
        <v>243</v>
      </c>
      <c r="L734" s="3" t="s">
        <v>1517</v>
      </c>
      <c r="M734" s="3" t="s">
        <v>1517</v>
      </c>
      <c r="N734" s="22">
        <v>3090</v>
      </c>
      <c r="O734" s="22"/>
      <c r="P734" s="22"/>
      <c r="Q734" s="22"/>
      <c r="R734" s="22"/>
      <c r="S734" s="22"/>
      <c r="T734" s="22"/>
      <c r="U734" s="22"/>
      <c r="V734" s="22"/>
      <c r="W734" s="3"/>
      <c r="X734" s="5" t="s">
        <v>1271</v>
      </c>
      <c r="Y734" s="28">
        <f t="shared" si="6"/>
        <v>0</v>
      </c>
      <c r="Z734" s="5">
        <v>3090</v>
      </c>
    </row>
    <row r="735" spans="1:26" s="29" customFormat="1" x14ac:dyDescent="0.3">
      <c r="A735" s="3">
        <v>27</v>
      </c>
      <c r="B735" s="3" t="s">
        <v>1243</v>
      </c>
      <c r="C735" s="3" t="s">
        <v>1268</v>
      </c>
      <c r="D735" s="3" t="s">
        <v>1269</v>
      </c>
      <c r="E735" s="3" t="s">
        <v>458</v>
      </c>
      <c r="F735" s="3" t="s">
        <v>458</v>
      </c>
      <c r="G735" s="3"/>
      <c r="H735" s="3">
        <v>6060</v>
      </c>
      <c r="I735" s="3">
        <v>0</v>
      </c>
      <c r="J735" s="3" t="s">
        <v>1246</v>
      </c>
      <c r="K735" s="3" t="s">
        <v>243</v>
      </c>
      <c r="L735" s="3" t="s">
        <v>1518</v>
      </c>
      <c r="M735" s="3" t="s">
        <v>1518</v>
      </c>
      <c r="N735" s="22">
        <v>11933</v>
      </c>
      <c r="O735" s="22"/>
      <c r="P735" s="22"/>
      <c r="Q735" s="22"/>
      <c r="R735" s="22"/>
      <c r="S735" s="22"/>
      <c r="T735" s="22"/>
      <c r="U735" s="22"/>
      <c r="V735" s="22"/>
      <c r="W735" s="3"/>
      <c r="X735" s="5" t="s">
        <v>1271</v>
      </c>
      <c r="Y735" s="28">
        <f t="shared" si="6"/>
        <v>0</v>
      </c>
      <c r="Z735" s="5">
        <v>11933</v>
      </c>
    </row>
    <row r="736" spans="1:26" x14ac:dyDescent="0.3">
      <c r="A736" s="3">
        <v>27</v>
      </c>
      <c r="B736" s="3" t="s">
        <v>1243</v>
      </c>
      <c r="C736" s="3" t="s">
        <v>1268</v>
      </c>
      <c r="D736" s="3" t="s">
        <v>1269</v>
      </c>
      <c r="E736" s="3" t="s">
        <v>458</v>
      </c>
      <c r="F736" s="3" t="s">
        <v>458</v>
      </c>
      <c r="G736" s="3"/>
      <c r="H736" s="3">
        <v>6060</v>
      </c>
      <c r="I736" s="3">
        <v>0</v>
      </c>
      <c r="J736" s="3" t="s">
        <v>1110</v>
      </c>
      <c r="K736" s="3" t="s">
        <v>243</v>
      </c>
      <c r="L736" s="3" t="s">
        <v>1519</v>
      </c>
      <c r="M736" s="3" t="s">
        <v>1519</v>
      </c>
      <c r="N736" s="22">
        <v>7165</v>
      </c>
      <c r="O736" s="22"/>
      <c r="P736" s="22"/>
      <c r="Q736" s="22"/>
      <c r="R736" s="22"/>
      <c r="S736" s="22"/>
      <c r="T736" s="22"/>
      <c r="U736" s="22"/>
      <c r="V736" s="22"/>
      <c r="W736" s="3"/>
      <c r="X736" s="5" t="s">
        <v>1271</v>
      </c>
      <c r="Y736" s="28">
        <f t="shared" si="6"/>
        <v>0</v>
      </c>
      <c r="Z736" s="5">
        <v>7165</v>
      </c>
    </row>
    <row r="737" spans="1:26" x14ac:dyDescent="0.3">
      <c r="A737" s="3">
        <v>27</v>
      </c>
      <c r="B737" s="3" t="s">
        <v>1243</v>
      </c>
      <c r="C737" s="3" t="s">
        <v>1268</v>
      </c>
      <c r="D737" s="3" t="s">
        <v>1269</v>
      </c>
      <c r="E737" s="3" t="s">
        <v>458</v>
      </c>
      <c r="F737" s="3" t="s">
        <v>458</v>
      </c>
      <c r="G737" s="3"/>
      <c r="H737" s="3">
        <v>6060</v>
      </c>
      <c r="I737" s="3">
        <v>0</v>
      </c>
      <c r="J737" s="3" t="s">
        <v>1110</v>
      </c>
      <c r="K737" s="3" t="s">
        <v>243</v>
      </c>
      <c r="L737" s="3" t="s">
        <v>1520</v>
      </c>
      <c r="M737" s="3" t="s">
        <v>1520</v>
      </c>
      <c r="N737" s="22">
        <v>0</v>
      </c>
      <c r="O737" s="22"/>
      <c r="P737" s="22"/>
      <c r="Q737" s="22"/>
      <c r="R737" s="22"/>
      <c r="S737" s="22"/>
      <c r="T737" s="22"/>
      <c r="U737" s="22"/>
      <c r="V737" s="22"/>
      <c r="W737" s="3"/>
      <c r="X737" s="5" t="s">
        <v>1271</v>
      </c>
      <c r="Y737" s="28">
        <f t="shared" si="6"/>
        <v>0</v>
      </c>
      <c r="Z737" s="5">
        <v>0</v>
      </c>
    </row>
    <row r="738" spans="1:26" x14ac:dyDescent="0.3">
      <c r="A738" s="26">
        <v>27</v>
      </c>
      <c r="B738" s="26" t="s">
        <v>1243</v>
      </c>
      <c r="C738" s="26" t="s">
        <v>1521</v>
      </c>
      <c r="D738" s="26" t="s">
        <v>1522</v>
      </c>
      <c r="E738" s="26" t="s">
        <v>458</v>
      </c>
      <c r="F738" s="26" t="s">
        <v>458</v>
      </c>
      <c r="G738" s="26"/>
      <c r="H738" s="26">
        <v>2830</v>
      </c>
      <c r="I738" s="26">
        <v>0</v>
      </c>
      <c r="J738" s="26" t="s">
        <v>1246</v>
      </c>
      <c r="K738" s="3" t="s">
        <v>243</v>
      </c>
      <c r="L738" s="26" t="s">
        <v>1522</v>
      </c>
      <c r="M738" s="26" t="s">
        <v>1522</v>
      </c>
      <c r="N738" s="106">
        <v>30000</v>
      </c>
      <c r="O738" s="126">
        <v>89000</v>
      </c>
      <c r="P738" s="126">
        <f>97000+28111</f>
        <v>125111</v>
      </c>
      <c r="Q738" s="126">
        <v>280716</v>
      </c>
      <c r="R738" s="22"/>
      <c r="S738" s="22"/>
      <c r="T738" s="22"/>
      <c r="U738" s="22"/>
      <c r="V738" s="22"/>
      <c r="W738" s="3"/>
      <c r="X738" s="5" t="s">
        <v>1249</v>
      </c>
      <c r="Y738" s="28">
        <f t="shared" si="6"/>
        <v>0</v>
      </c>
      <c r="Z738" s="29">
        <v>30000</v>
      </c>
    </row>
    <row r="739" spans="1:26" x14ac:dyDescent="0.3">
      <c r="A739" s="3">
        <v>27</v>
      </c>
      <c r="B739" s="3" t="s">
        <v>1243</v>
      </c>
      <c r="C739" s="3" t="s">
        <v>1521</v>
      </c>
      <c r="D739" s="3" t="s">
        <v>1522</v>
      </c>
      <c r="E739" s="3" t="s">
        <v>458</v>
      </c>
      <c r="F739" s="3" t="s">
        <v>458</v>
      </c>
      <c r="G739" s="3"/>
      <c r="H739" s="3">
        <v>6230</v>
      </c>
      <c r="I739" s="3">
        <v>0</v>
      </c>
      <c r="J739" s="3" t="s">
        <v>1246</v>
      </c>
      <c r="K739" s="3" t="s">
        <v>243</v>
      </c>
      <c r="L739" s="3" t="s">
        <v>1522</v>
      </c>
      <c r="M739" s="3" t="s">
        <v>1522</v>
      </c>
      <c r="N739" s="22">
        <v>12000</v>
      </c>
      <c r="O739" s="111">
        <v>22000</v>
      </c>
      <c r="P739" s="111">
        <v>24000</v>
      </c>
      <c r="Q739" s="22"/>
      <c r="R739" s="22"/>
      <c r="S739" s="22"/>
      <c r="T739" s="22"/>
      <c r="U739" s="22"/>
      <c r="V739" s="22"/>
      <c r="W739" s="3"/>
      <c r="X739" s="5" t="s">
        <v>1249</v>
      </c>
      <c r="Y739" s="28">
        <f t="shared" si="6"/>
        <v>0</v>
      </c>
      <c r="Z739" s="5">
        <v>12000</v>
      </c>
    </row>
    <row r="740" spans="1:26" x14ac:dyDescent="0.3">
      <c r="A740" s="3">
        <v>27</v>
      </c>
      <c r="B740" s="3" t="s">
        <v>1243</v>
      </c>
      <c r="C740" s="3" t="s">
        <v>1268</v>
      </c>
      <c r="D740" s="3" t="s">
        <v>1523</v>
      </c>
      <c r="E740" s="3" t="s">
        <v>458</v>
      </c>
      <c r="F740" s="3" t="s">
        <v>458</v>
      </c>
      <c r="G740" s="3"/>
      <c r="H740" s="3">
        <v>2830</v>
      </c>
      <c r="I740" s="3">
        <v>0</v>
      </c>
      <c r="J740" s="3" t="s">
        <v>1110</v>
      </c>
      <c r="K740" s="3" t="s">
        <v>243</v>
      </c>
      <c r="L740" s="3" t="s">
        <v>1523</v>
      </c>
      <c r="M740" s="3" t="s">
        <v>1523</v>
      </c>
      <c r="N740" s="22">
        <v>3490</v>
      </c>
      <c r="O740" s="22"/>
      <c r="P740" s="22"/>
      <c r="Q740" s="22"/>
      <c r="R740" s="22"/>
      <c r="S740" s="22"/>
      <c r="T740" s="22"/>
      <c r="U740" s="22"/>
      <c r="V740" s="22"/>
      <c r="W740" s="3"/>
      <c r="X740" s="5" t="s">
        <v>1249</v>
      </c>
      <c r="Y740" s="28">
        <f t="shared" si="6"/>
        <v>0</v>
      </c>
      <c r="Z740" s="5">
        <v>3490</v>
      </c>
    </row>
    <row r="741" spans="1:26" s="29" customFormat="1" x14ac:dyDescent="0.3">
      <c r="A741" s="3">
        <v>27</v>
      </c>
      <c r="B741" s="3" t="s">
        <v>1243</v>
      </c>
      <c r="C741" s="3" t="s">
        <v>1268</v>
      </c>
      <c r="D741" s="3" t="s">
        <v>1524</v>
      </c>
      <c r="E741" s="3">
        <v>45597</v>
      </c>
      <c r="F741" s="3" t="s">
        <v>458</v>
      </c>
      <c r="G741" s="3" t="s">
        <v>1525</v>
      </c>
      <c r="H741" s="3">
        <v>4000</v>
      </c>
      <c r="I741" s="3">
        <v>0</v>
      </c>
      <c r="J741" s="3" t="s">
        <v>1110</v>
      </c>
      <c r="K741" s="3" t="s">
        <v>1526</v>
      </c>
      <c r="L741" s="3" t="s">
        <v>1524</v>
      </c>
      <c r="M741" s="3" t="s">
        <v>1527</v>
      </c>
      <c r="N741" s="22">
        <v>80</v>
      </c>
      <c r="O741" s="22">
        <v>80</v>
      </c>
      <c r="P741" s="22"/>
      <c r="Q741" s="22"/>
      <c r="R741" s="22"/>
      <c r="S741" s="22"/>
      <c r="T741" s="22"/>
      <c r="U741" s="22"/>
      <c r="V741" s="22"/>
      <c r="W741" s="3" t="s">
        <v>1528</v>
      </c>
      <c r="X741" s="5" t="s">
        <v>1249</v>
      </c>
      <c r="Y741" s="28">
        <f t="shared" si="6"/>
        <v>0</v>
      </c>
      <c r="Z741" s="5">
        <v>80</v>
      </c>
    </row>
    <row r="742" spans="1:26" x14ac:dyDescent="0.3">
      <c r="A742" s="26">
        <v>27</v>
      </c>
      <c r="B742" s="26" t="s">
        <v>1243</v>
      </c>
      <c r="C742" s="26"/>
      <c r="D742" s="26" t="s">
        <v>1529</v>
      </c>
      <c r="E742" s="26"/>
      <c r="F742" s="26" t="s">
        <v>458</v>
      </c>
      <c r="G742" s="26"/>
      <c r="H742" s="26">
        <v>6060</v>
      </c>
      <c r="I742" s="26">
        <v>0</v>
      </c>
      <c r="J742" s="26" t="s">
        <v>1110</v>
      </c>
      <c r="K742" s="3" t="s">
        <v>1526</v>
      </c>
      <c r="L742" s="26" t="s">
        <v>1529</v>
      </c>
      <c r="M742" s="26" t="s">
        <v>1529</v>
      </c>
      <c r="N742" s="106">
        <v>15000</v>
      </c>
      <c r="O742" s="126">
        <v>19232</v>
      </c>
      <c r="P742" s="126">
        <f>32072*0.75</f>
        <v>24054</v>
      </c>
      <c r="Q742" s="22"/>
      <c r="R742" s="22"/>
      <c r="S742" s="22"/>
      <c r="T742" s="22"/>
      <c r="U742" s="22"/>
      <c r="V742" s="22"/>
      <c r="W742" s="3" t="s">
        <v>1528</v>
      </c>
      <c r="X742" s="5" t="s">
        <v>1249</v>
      </c>
      <c r="Y742" s="28">
        <f t="shared" si="6"/>
        <v>0</v>
      </c>
      <c r="Z742" s="29">
        <v>15000</v>
      </c>
    </row>
    <row r="743" spans="1:26" x14ac:dyDescent="0.3">
      <c r="A743" s="3">
        <v>27</v>
      </c>
      <c r="B743" s="3" t="s">
        <v>1243</v>
      </c>
      <c r="C743" s="3" t="s">
        <v>1268</v>
      </c>
      <c r="D743" s="3" t="s">
        <v>1530</v>
      </c>
      <c r="E743" s="3" t="s">
        <v>458</v>
      </c>
      <c r="F743" s="3" t="s">
        <v>458</v>
      </c>
      <c r="G743" s="3" t="s">
        <v>1531</v>
      </c>
      <c r="H743" s="3">
        <v>4000</v>
      </c>
      <c r="I743" s="3">
        <v>0</v>
      </c>
      <c r="J743" s="3" t="s">
        <v>1110</v>
      </c>
      <c r="K743" s="3" t="s">
        <v>243</v>
      </c>
      <c r="L743" s="3" t="s">
        <v>1532</v>
      </c>
      <c r="M743" s="3" t="s">
        <v>1532</v>
      </c>
      <c r="N743" s="22">
        <v>406</v>
      </c>
      <c r="O743" s="22">
        <v>406</v>
      </c>
      <c r="P743" s="22">
        <v>406</v>
      </c>
      <c r="Q743" s="22"/>
      <c r="R743" s="22"/>
      <c r="S743" s="22" t="s">
        <v>50</v>
      </c>
      <c r="T743" s="22"/>
      <c r="U743" s="22" t="s">
        <v>1533</v>
      </c>
      <c r="V743" s="22" t="s">
        <v>1534</v>
      </c>
      <c r="W743" s="3"/>
      <c r="X743" s="5" t="s">
        <v>1249</v>
      </c>
      <c r="Y743" s="28">
        <f t="shared" si="6"/>
        <v>0</v>
      </c>
      <c r="Z743" s="5">
        <v>406</v>
      </c>
    </row>
    <row r="744" spans="1:26" x14ac:dyDescent="0.3">
      <c r="A744" s="26">
        <v>27</v>
      </c>
      <c r="B744" s="26" t="s">
        <v>1243</v>
      </c>
      <c r="C744" s="26" t="s">
        <v>1535</v>
      </c>
      <c r="D744" s="26" t="s">
        <v>1536</v>
      </c>
      <c r="E744" s="26" t="s">
        <v>1537</v>
      </c>
      <c r="F744" s="26" t="s">
        <v>1245</v>
      </c>
      <c r="G744" s="26" t="s">
        <v>1538</v>
      </c>
      <c r="H744" s="26">
        <v>4530</v>
      </c>
      <c r="I744" s="26">
        <v>0</v>
      </c>
      <c r="J744" s="26" t="s">
        <v>1110</v>
      </c>
      <c r="K744" s="3" t="s">
        <v>243</v>
      </c>
      <c r="L744" s="26" t="s">
        <v>1539</v>
      </c>
      <c r="M744" s="26" t="s">
        <v>1540</v>
      </c>
      <c r="N744" s="106"/>
      <c r="O744" s="109"/>
      <c r="P744" s="22">
        <v>0</v>
      </c>
      <c r="Q744" s="22">
        <v>0</v>
      </c>
      <c r="R744" s="22">
        <v>0</v>
      </c>
      <c r="S744" s="22" t="s">
        <v>1245</v>
      </c>
      <c r="T744" s="22" t="s">
        <v>50</v>
      </c>
      <c r="U744" s="22"/>
      <c r="V744" s="22" t="s">
        <v>1541</v>
      </c>
      <c r="W744" s="3"/>
      <c r="X744" s="5" t="s">
        <v>1249</v>
      </c>
      <c r="Y744" s="28">
        <f t="shared" si="6"/>
        <v>0</v>
      </c>
      <c r="Z744" s="29"/>
    </row>
    <row r="745" spans="1:26" x14ac:dyDescent="0.3">
      <c r="A745" s="3">
        <v>27</v>
      </c>
      <c r="B745" s="3" t="s">
        <v>1243</v>
      </c>
      <c r="C745" s="3" t="s">
        <v>1268</v>
      </c>
      <c r="D745" s="3" t="s">
        <v>1542</v>
      </c>
      <c r="E745" s="3" t="s">
        <v>458</v>
      </c>
      <c r="F745" s="3" t="s">
        <v>458</v>
      </c>
      <c r="G745" s="3" t="s">
        <v>1543</v>
      </c>
      <c r="H745" s="3">
        <v>4000</v>
      </c>
      <c r="I745" s="3">
        <v>0</v>
      </c>
      <c r="J745" s="3" t="s">
        <v>1110</v>
      </c>
      <c r="K745" s="3" t="s">
        <v>243</v>
      </c>
      <c r="L745" s="3" t="s">
        <v>1544</v>
      </c>
      <c r="M745" s="3" t="s">
        <v>1544</v>
      </c>
      <c r="N745" s="22">
        <v>100</v>
      </c>
      <c r="O745" s="22">
        <v>140</v>
      </c>
      <c r="P745" s="22">
        <v>180</v>
      </c>
      <c r="Q745" s="22">
        <v>0</v>
      </c>
      <c r="R745" s="22">
        <v>0</v>
      </c>
      <c r="S745" s="22" t="s">
        <v>50</v>
      </c>
      <c r="T745" s="22" t="s">
        <v>24</v>
      </c>
      <c r="U745" s="22" t="s">
        <v>1545</v>
      </c>
      <c r="V745" s="22" t="s">
        <v>1546</v>
      </c>
      <c r="W745" s="3"/>
      <c r="X745" s="5" t="s">
        <v>1249</v>
      </c>
      <c r="Y745" s="28">
        <f t="shared" si="6"/>
        <v>0</v>
      </c>
      <c r="Z745" s="5">
        <v>100</v>
      </c>
    </row>
    <row r="746" spans="1:26" x14ac:dyDescent="0.3">
      <c r="A746" s="26">
        <v>27</v>
      </c>
      <c r="B746" s="26" t="s">
        <v>1243</v>
      </c>
      <c r="C746" s="26" t="s">
        <v>1535</v>
      </c>
      <c r="D746" s="26" t="s">
        <v>1547</v>
      </c>
      <c r="E746" s="26" t="s">
        <v>1548</v>
      </c>
      <c r="F746" s="26" t="s">
        <v>1245</v>
      </c>
      <c r="G746" s="26" t="s">
        <v>1538</v>
      </c>
      <c r="H746" s="26">
        <v>4530</v>
      </c>
      <c r="I746" s="26">
        <v>0</v>
      </c>
      <c r="J746" s="26" t="s">
        <v>1246</v>
      </c>
      <c r="K746" s="3" t="s">
        <v>243</v>
      </c>
      <c r="L746" s="26" t="s">
        <v>1549</v>
      </c>
      <c r="M746" s="26" t="s">
        <v>1540</v>
      </c>
      <c r="N746" s="106"/>
      <c r="O746" s="109"/>
      <c r="P746" s="22">
        <v>0</v>
      </c>
      <c r="Q746" s="22">
        <v>0</v>
      </c>
      <c r="R746" s="22">
        <v>0</v>
      </c>
      <c r="S746" s="22" t="s">
        <v>1245</v>
      </c>
      <c r="T746" s="22" t="s">
        <v>50</v>
      </c>
      <c r="U746" s="22"/>
      <c r="V746" s="22" t="s">
        <v>1541</v>
      </c>
      <c r="W746" s="6" t="s">
        <v>1550</v>
      </c>
      <c r="X746" s="5" t="s">
        <v>1249</v>
      </c>
      <c r="Y746" s="28">
        <f t="shared" ref="Y746:Y793" si="7">N746-Z746</f>
        <v>0</v>
      </c>
      <c r="Z746" s="29"/>
    </row>
    <row r="747" spans="1:26" x14ac:dyDescent="0.3">
      <c r="A747" s="3">
        <v>27</v>
      </c>
      <c r="B747" s="3" t="s">
        <v>1243</v>
      </c>
      <c r="C747" s="3" t="s">
        <v>1268</v>
      </c>
      <c r="D747" s="3" t="s">
        <v>1551</v>
      </c>
      <c r="E747" s="3" t="s">
        <v>458</v>
      </c>
      <c r="F747" s="3" t="s">
        <v>458</v>
      </c>
      <c r="G747" s="3"/>
      <c r="H747" s="3">
        <v>4000</v>
      </c>
      <c r="I747" s="3">
        <v>0</v>
      </c>
      <c r="J747" s="3" t="s">
        <v>1110</v>
      </c>
      <c r="K747" s="3" t="s">
        <v>243</v>
      </c>
      <c r="L747" s="3" t="s">
        <v>1551</v>
      </c>
      <c r="M747" s="3" t="s">
        <v>1551</v>
      </c>
      <c r="N747" s="22">
        <v>18000</v>
      </c>
      <c r="O747" s="22"/>
      <c r="P747" s="22"/>
      <c r="Q747" s="22"/>
      <c r="R747" s="22"/>
      <c r="S747" s="22"/>
      <c r="T747" s="22"/>
      <c r="U747" s="22"/>
      <c r="V747" s="22"/>
      <c r="W747" s="3"/>
      <c r="X747" s="5" t="s">
        <v>1249</v>
      </c>
      <c r="Y747" s="28">
        <f t="shared" si="7"/>
        <v>0</v>
      </c>
      <c r="Z747" s="5">
        <v>18000</v>
      </c>
    </row>
    <row r="748" spans="1:26" x14ac:dyDescent="0.3">
      <c r="A748" s="3">
        <v>27</v>
      </c>
      <c r="B748" s="3" t="s">
        <v>1243</v>
      </c>
      <c r="C748" s="3" t="s">
        <v>1268</v>
      </c>
      <c r="D748" s="3" t="s">
        <v>1552</v>
      </c>
      <c r="E748" s="3"/>
      <c r="F748" s="3" t="s">
        <v>458</v>
      </c>
      <c r="G748" s="3"/>
      <c r="H748" s="3">
        <v>4000</v>
      </c>
      <c r="I748" s="3">
        <v>0</v>
      </c>
      <c r="J748" s="3" t="s">
        <v>1110</v>
      </c>
      <c r="K748" s="3" t="s">
        <v>243</v>
      </c>
      <c r="L748" s="3" t="s">
        <v>1552</v>
      </c>
      <c r="M748" s="3" t="s">
        <v>1552</v>
      </c>
      <c r="N748" s="22">
        <v>775</v>
      </c>
      <c r="O748" s="22"/>
      <c r="P748" s="22"/>
      <c r="Q748" s="22"/>
      <c r="R748" s="22"/>
      <c r="S748" s="22"/>
      <c r="T748" s="22"/>
      <c r="U748" s="22"/>
      <c r="V748" s="22"/>
      <c r="W748" s="3"/>
      <c r="X748" s="5" t="s">
        <v>1249</v>
      </c>
      <c r="Y748" s="28">
        <f t="shared" si="7"/>
        <v>0</v>
      </c>
      <c r="Z748" s="5">
        <v>775</v>
      </c>
    </row>
    <row r="749" spans="1:26" x14ac:dyDescent="0.3">
      <c r="A749" s="3">
        <v>27</v>
      </c>
      <c r="B749" s="3" t="s">
        <v>1243</v>
      </c>
      <c r="C749" s="3" t="s">
        <v>1268</v>
      </c>
      <c r="D749" s="3" t="s">
        <v>1553</v>
      </c>
      <c r="E749" s="3"/>
      <c r="F749" s="3" t="s">
        <v>458</v>
      </c>
      <c r="G749" s="3"/>
      <c r="H749" s="3">
        <v>2830</v>
      </c>
      <c r="I749" s="3">
        <v>0</v>
      </c>
      <c r="J749" s="3" t="s">
        <v>1110</v>
      </c>
      <c r="K749" s="3" t="s">
        <v>243</v>
      </c>
      <c r="L749" s="3" t="s">
        <v>1554</v>
      </c>
      <c r="M749" s="3" t="s">
        <v>1554</v>
      </c>
      <c r="N749" s="22">
        <v>3000</v>
      </c>
      <c r="O749" s="22">
        <v>0</v>
      </c>
      <c r="P749" s="22">
        <v>0</v>
      </c>
      <c r="Q749" s="22"/>
      <c r="R749" s="22"/>
      <c r="S749" s="22"/>
      <c r="T749" s="22"/>
      <c r="U749" s="22"/>
      <c r="V749" s="22"/>
      <c r="W749" s="3"/>
      <c r="X749" s="5" t="s">
        <v>1249</v>
      </c>
      <c r="Y749" s="28">
        <f t="shared" si="7"/>
        <v>0</v>
      </c>
      <c r="Z749" s="5">
        <v>3000</v>
      </c>
    </row>
    <row r="750" spans="1:26" x14ac:dyDescent="0.3">
      <c r="A750" s="3">
        <v>27</v>
      </c>
      <c r="B750" s="3" t="s">
        <v>1243</v>
      </c>
      <c r="C750" s="3" t="s">
        <v>1268</v>
      </c>
      <c r="D750" s="3" t="s">
        <v>1555</v>
      </c>
      <c r="E750" s="3"/>
      <c r="F750" s="3" t="s">
        <v>458</v>
      </c>
      <c r="G750" s="3"/>
      <c r="H750" s="3">
        <v>2830</v>
      </c>
      <c r="I750" s="3">
        <v>0</v>
      </c>
      <c r="J750" s="3" t="s">
        <v>1556</v>
      </c>
      <c r="K750" s="3" t="s">
        <v>243</v>
      </c>
      <c r="L750" s="3" t="s">
        <v>1557</v>
      </c>
      <c r="M750" s="3" t="s">
        <v>1557</v>
      </c>
      <c r="N750" s="22">
        <v>513</v>
      </c>
      <c r="O750" s="22">
        <v>564</v>
      </c>
      <c r="P750" s="22">
        <v>621</v>
      </c>
      <c r="Q750" s="22"/>
      <c r="R750" s="22"/>
      <c r="S750" s="22"/>
      <c r="T750" s="22"/>
      <c r="U750" s="22"/>
      <c r="V750" s="22"/>
      <c r="W750" s="3"/>
      <c r="X750" s="5" t="s">
        <v>1249</v>
      </c>
      <c r="Y750" s="28">
        <f t="shared" si="7"/>
        <v>0</v>
      </c>
      <c r="Z750" s="5">
        <v>513</v>
      </c>
    </row>
    <row r="751" spans="1:26" x14ac:dyDescent="0.3">
      <c r="A751" s="3">
        <v>27</v>
      </c>
      <c r="B751" s="3" t="s">
        <v>1243</v>
      </c>
      <c r="C751" s="3" t="s">
        <v>1268</v>
      </c>
      <c r="D751" s="3" t="s">
        <v>1558</v>
      </c>
      <c r="E751" s="3" t="s">
        <v>1559</v>
      </c>
      <c r="F751" s="3" t="s">
        <v>458</v>
      </c>
      <c r="G751" s="3" t="s">
        <v>1560</v>
      </c>
      <c r="H751" s="3">
        <v>4000</v>
      </c>
      <c r="I751" s="3">
        <v>0</v>
      </c>
      <c r="J751" s="3" t="s">
        <v>1246</v>
      </c>
      <c r="K751" s="3" t="s">
        <v>243</v>
      </c>
      <c r="L751" s="3" t="s">
        <v>1561</v>
      </c>
      <c r="M751" s="3" t="s">
        <v>1561</v>
      </c>
      <c r="N751" s="22">
        <v>2960</v>
      </c>
      <c r="O751" s="22">
        <v>3166</v>
      </c>
      <c r="P751" s="22">
        <v>3387</v>
      </c>
      <c r="Q751" s="22">
        <v>3624</v>
      </c>
      <c r="R751" s="22">
        <v>3878</v>
      </c>
      <c r="S751" s="22" t="s">
        <v>1562</v>
      </c>
      <c r="T751" s="22" t="s">
        <v>24</v>
      </c>
      <c r="U751" s="22" t="s">
        <v>1563</v>
      </c>
      <c r="V751" s="22" t="s">
        <v>1564</v>
      </c>
      <c r="W751" s="3" t="s">
        <v>1565</v>
      </c>
      <c r="X751" s="5" t="s">
        <v>1249</v>
      </c>
      <c r="Y751" s="28">
        <f t="shared" si="7"/>
        <v>0</v>
      </c>
      <c r="Z751" s="5">
        <v>2960</v>
      </c>
    </row>
    <row r="752" spans="1:26" x14ac:dyDescent="0.3">
      <c r="A752" s="3">
        <v>27</v>
      </c>
      <c r="B752" s="3" t="s">
        <v>1243</v>
      </c>
      <c r="C752" s="3" t="s">
        <v>1268</v>
      </c>
      <c r="D752" s="3" t="s">
        <v>1558</v>
      </c>
      <c r="E752" s="3" t="s">
        <v>1559</v>
      </c>
      <c r="F752" s="3" t="s">
        <v>458</v>
      </c>
      <c r="G752" s="3" t="s">
        <v>1560</v>
      </c>
      <c r="H752" s="3">
        <v>4480</v>
      </c>
      <c r="I752" s="3">
        <v>0</v>
      </c>
      <c r="J752" s="3" t="s">
        <v>1246</v>
      </c>
      <c r="K752" s="3" t="s">
        <v>243</v>
      </c>
      <c r="L752" s="3" t="s">
        <v>1561</v>
      </c>
      <c r="M752" s="3" t="s">
        <v>1561</v>
      </c>
      <c r="N752" s="22">
        <v>3</v>
      </c>
      <c r="O752" s="22">
        <v>3</v>
      </c>
      <c r="P752" s="22">
        <v>3</v>
      </c>
      <c r="Q752" s="22"/>
      <c r="R752" s="22"/>
      <c r="S752" s="22"/>
      <c r="T752" s="22"/>
      <c r="U752" s="22"/>
      <c r="V752" s="22"/>
      <c r="W752" s="3" t="s">
        <v>1565</v>
      </c>
      <c r="X752" s="5" t="s">
        <v>1249</v>
      </c>
      <c r="Y752" s="28">
        <f t="shared" si="7"/>
        <v>0</v>
      </c>
      <c r="Z752" s="5">
        <v>3</v>
      </c>
    </row>
    <row r="753" spans="1:26" x14ac:dyDescent="0.3">
      <c r="A753" s="3">
        <v>27</v>
      </c>
      <c r="B753" s="3" t="s">
        <v>1243</v>
      </c>
      <c r="C753" s="3" t="s">
        <v>1268</v>
      </c>
      <c r="D753" s="3" t="s">
        <v>1558</v>
      </c>
      <c r="E753" s="3" t="s">
        <v>1559</v>
      </c>
      <c r="F753" s="3" t="s">
        <v>458</v>
      </c>
      <c r="G753" s="3" t="s">
        <v>1560</v>
      </c>
      <c r="H753" s="3">
        <v>4270</v>
      </c>
      <c r="I753" s="3">
        <v>0</v>
      </c>
      <c r="J753" s="3" t="s">
        <v>1246</v>
      </c>
      <c r="K753" s="3" t="s">
        <v>243</v>
      </c>
      <c r="L753" s="3" t="s">
        <v>1561</v>
      </c>
      <c r="M753" s="3" t="s">
        <v>1561</v>
      </c>
      <c r="N753" s="22">
        <v>2</v>
      </c>
      <c r="O753" s="22">
        <v>2</v>
      </c>
      <c r="P753" s="22">
        <v>2</v>
      </c>
      <c r="Q753" s="22"/>
      <c r="R753" s="22"/>
      <c r="S753" s="22"/>
      <c r="T753" s="22"/>
      <c r="U753" s="22"/>
      <c r="V753" s="22"/>
      <c r="W753" s="3" t="s">
        <v>1565</v>
      </c>
      <c r="X753" s="5" t="s">
        <v>1249</v>
      </c>
      <c r="Y753" s="28">
        <f t="shared" si="7"/>
        <v>0</v>
      </c>
      <c r="Z753" s="5">
        <v>2</v>
      </c>
    </row>
    <row r="754" spans="1:26" x14ac:dyDescent="0.3">
      <c r="A754" s="3">
        <v>27</v>
      </c>
      <c r="B754" s="3" t="s">
        <v>1243</v>
      </c>
      <c r="C754" s="3" t="s">
        <v>1268</v>
      </c>
      <c r="D754" s="3" t="s">
        <v>1566</v>
      </c>
      <c r="E754" s="3" t="s">
        <v>1567</v>
      </c>
      <c r="F754" s="3" t="s">
        <v>458</v>
      </c>
      <c r="G754" s="3" t="s">
        <v>1560</v>
      </c>
      <c r="H754" s="3">
        <v>4000</v>
      </c>
      <c r="I754" s="3">
        <v>0</v>
      </c>
      <c r="J754" s="3" t="s">
        <v>1246</v>
      </c>
      <c r="K754" s="3" t="s">
        <v>243</v>
      </c>
      <c r="L754" s="3" t="s">
        <v>1568</v>
      </c>
      <c r="M754" s="3" t="s">
        <v>1568</v>
      </c>
      <c r="N754" s="22">
        <v>1796</v>
      </c>
      <c r="O754" s="22">
        <v>1922</v>
      </c>
      <c r="P754" s="22">
        <v>2056</v>
      </c>
      <c r="Q754" s="22">
        <v>1763</v>
      </c>
      <c r="R754" s="22">
        <v>1917</v>
      </c>
      <c r="S754" s="22" t="s">
        <v>24</v>
      </c>
      <c r="T754" s="22" t="s">
        <v>24</v>
      </c>
      <c r="U754" s="22" t="s">
        <v>1569</v>
      </c>
      <c r="V754" s="22" t="s">
        <v>1570</v>
      </c>
      <c r="W754" s="3" t="s">
        <v>1571</v>
      </c>
      <c r="X754" s="5" t="s">
        <v>1249</v>
      </c>
      <c r="Y754" s="28">
        <f t="shared" si="7"/>
        <v>0</v>
      </c>
      <c r="Z754" s="5">
        <v>1796</v>
      </c>
    </row>
    <row r="755" spans="1:26" x14ac:dyDescent="0.3">
      <c r="A755" s="3">
        <v>27</v>
      </c>
      <c r="B755" s="3" t="s">
        <v>1243</v>
      </c>
      <c r="C755" s="3" t="s">
        <v>1268</v>
      </c>
      <c r="D755" s="3" t="s">
        <v>1566</v>
      </c>
      <c r="E755" s="3" t="s">
        <v>1567</v>
      </c>
      <c r="F755" s="3" t="s">
        <v>458</v>
      </c>
      <c r="G755" s="3" t="s">
        <v>1560</v>
      </c>
      <c r="H755" s="3">
        <v>4480</v>
      </c>
      <c r="I755" s="3">
        <v>0</v>
      </c>
      <c r="J755" s="3" t="s">
        <v>1246</v>
      </c>
      <c r="K755" s="3" t="s">
        <v>243</v>
      </c>
      <c r="L755" s="3" t="s">
        <v>1568</v>
      </c>
      <c r="M755" s="3" t="s">
        <v>1568</v>
      </c>
      <c r="N755" s="22">
        <v>28</v>
      </c>
      <c r="O755" s="22">
        <v>28</v>
      </c>
      <c r="P755" s="22">
        <v>28</v>
      </c>
      <c r="Q755" s="22"/>
      <c r="R755" s="22"/>
      <c r="S755" s="22"/>
      <c r="T755" s="22"/>
      <c r="U755" s="22"/>
      <c r="V755" s="22"/>
      <c r="W755" s="3" t="s">
        <v>1571</v>
      </c>
      <c r="X755" s="5" t="s">
        <v>1249</v>
      </c>
      <c r="Y755" s="28">
        <f t="shared" si="7"/>
        <v>0</v>
      </c>
      <c r="Z755" s="5">
        <v>28</v>
      </c>
    </row>
    <row r="756" spans="1:26" x14ac:dyDescent="0.3">
      <c r="A756" s="3">
        <v>27</v>
      </c>
      <c r="B756" s="3" t="s">
        <v>1243</v>
      </c>
      <c r="C756" s="3" t="s">
        <v>1268</v>
      </c>
      <c r="D756" s="3" t="s">
        <v>1566</v>
      </c>
      <c r="E756" s="3" t="s">
        <v>1567</v>
      </c>
      <c r="F756" s="3" t="s">
        <v>458</v>
      </c>
      <c r="G756" s="3" t="s">
        <v>1560</v>
      </c>
      <c r="H756" s="3">
        <v>4270</v>
      </c>
      <c r="I756" s="3">
        <v>0</v>
      </c>
      <c r="J756" s="3" t="s">
        <v>1246</v>
      </c>
      <c r="K756" s="3" t="s">
        <v>243</v>
      </c>
      <c r="L756" s="3" t="s">
        <v>1568</v>
      </c>
      <c r="M756" s="3" t="s">
        <v>1568</v>
      </c>
      <c r="N756" s="22">
        <v>288</v>
      </c>
      <c r="O756" s="22">
        <v>288</v>
      </c>
      <c r="P756" s="22">
        <v>288</v>
      </c>
      <c r="Q756" s="22"/>
      <c r="R756" s="22"/>
      <c r="S756" s="22"/>
      <c r="T756" s="22"/>
      <c r="U756" s="22"/>
      <c r="V756" s="22"/>
      <c r="W756" s="3" t="s">
        <v>1571</v>
      </c>
      <c r="X756" s="5" t="s">
        <v>1249</v>
      </c>
      <c r="Y756" s="28">
        <f t="shared" si="7"/>
        <v>0</v>
      </c>
      <c r="Z756" s="5">
        <v>288</v>
      </c>
    </row>
    <row r="757" spans="1:26" x14ac:dyDescent="0.3">
      <c r="A757" s="3">
        <v>27</v>
      </c>
      <c r="B757" s="3" t="s">
        <v>1243</v>
      </c>
      <c r="C757" s="3" t="s">
        <v>1268</v>
      </c>
      <c r="D757" s="3" t="s">
        <v>1572</v>
      </c>
      <c r="E757" s="3" t="s">
        <v>1573</v>
      </c>
      <c r="F757" s="3" t="s">
        <v>458</v>
      </c>
      <c r="G757" s="3" t="s">
        <v>1574</v>
      </c>
      <c r="H757" s="3">
        <v>4000</v>
      </c>
      <c r="I757" s="3">
        <v>0</v>
      </c>
      <c r="J757" s="3" t="s">
        <v>1246</v>
      </c>
      <c r="K757" s="3" t="s">
        <v>243</v>
      </c>
      <c r="L757" s="3" t="s">
        <v>1572</v>
      </c>
      <c r="M757" s="3" t="s">
        <v>1575</v>
      </c>
      <c r="N757" s="22">
        <v>106</v>
      </c>
      <c r="O757" s="22">
        <v>0</v>
      </c>
      <c r="P757" s="22">
        <v>0</v>
      </c>
      <c r="Q757" s="22">
        <v>0</v>
      </c>
      <c r="R757" s="22">
        <v>0</v>
      </c>
      <c r="S757" s="22" t="s">
        <v>24</v>
      </c>
      <c r="T757" s="22" t="s">
        <v>24</v>
      </c>
      <c r="U757" s="22" t="s">
        <v>1576</v>
      </c>
      <c r="V757" s="22" t="s">
        <v>1577</v>
      </c>
      <c r="W757" s="3" t="s">
        <v>1578</v>
      </c>
      <c r="X757" s="5" t="s">
        <v>1249</v>
      </c>
      <c r="Y757" s="28">
        <f t="shared" si="7"/>
        <v>0</v>
      </c>
      <c r="Z757" s="5">
        <v>106</v>
      </c>
    </row>
    <row r="758" spans="1:26" x14ac:dyDescent="0.3">
      <c r="A758" s="3">
        <v>27</v>
      </c>
      <c r="B758" s="3" t="s">
        <v>1243</v>
      </c>
      <c r="C758" s="3" t="s">
        <v>1268</v>
      </c>
      <c r="D758" s="3" t="s">
        <v>1572</v>
      </c>
      <c r="E758" s="3">
        <v>45444</v>
      </c>
      <c r="F758" s="3" t="s">
        <v>458</v>
      </c>
      <c r="G758" s="3" t="s">
        <v>687</v>
      </c>
      <c r="H758" s="3">
        <v>4000</v>
      </c>
      <c r="I758" s="3">
        <v>0</v>
      </c>
      <c r="J758" s="3" t="s">
        <v>1246</v>
      </c>
      <c r="K758" s="3" t="s">
        <v>243</v>
      </c>
      <c r="L758" s="3" t="s">
        <v>1572</v>
      </c>
      <c r="M758" s="3" t="s">
        <v>1575</v>
      </c>
      <c r="N758" s="22">
        <v>625</v>
      </c>
      <c r="O758" s="22">
        <v>750</v>
      </c>
      <c r="P758" s="22">
        <v>125</v>
      </c>
      <c r="Q758" s="22">
        <v>0</v>
      </c>
      <c r="R758" s="22">
        <v>0</v>
      </c>
      <c r="S758" s="22" t="s">
        <v>1579</v>
      </c>
      <c r="T758" s="22" t="s">
        <v>420</v>
      </c>
      <c r="U758" s="22"/>
      <c r="V758" s="22"/>
      <c r="W758" s="3" t="s">
        <v>1580</v>
      </c>
      <c r="X758" s="5" t="s">
        <v>1249</v>
      </c>
      <c r="Y758" s="28">
        <f t="shared" si="7"/>
        <v>0</v>
      </c>
      <c r="Z758" s="5">
        <v>625</v>
      </c>
    </row>
    <row r="759" spans="1:26" x14ac:dyDescent="0.3">
      <c r="A759" s="3">
        <v>27</v>
      </c>
      <c r="B759" s="3" t="s">
        <v>1243</v>
      </c>
      <c r="C759" s="3" t="s">
        <v>1581</v>
      </c>
      <c r="D759" s="3" t="s">
        <v>1582</v>
      </c>
      <c r="E759" s="3" t="s">
        <v>1583</v>
      </c>
      <c r="F759" s="3" t="s">
        <v>458</v>
      </c>
      <c r="G759" s="3" t="s">
        <v>1584</v>
      </c>
      <c r="H759" s="3">
        <v>4000</v>
      </c>
      <c r="I759" s="3">
        <v>0</v>
      </c>
      <c r="J759" s="3" t="s">
        <v>1246</v>
      </c>
      <c r="K759" s="3" t="s">
        <v>243</v>
      </c>
      <c r="L759" s="3" t="s">
        <v>1585</v>
      </c>
      <c r="M759" s="3" t="s">
        <v>1586</v>
      </c>
      <c r="N759" s="22">
        <v>386</v>
      </c>
      <c r="O759" s="22">
        <v>0</v>
      </c>
      <c r="P759" s="22">
        <v>0</v>
      </c>
      <c r="Q759" s="22">
        <v>0</v>
      </c>
      <c r="R759" s="22">
        <v>0</v>
      </c>
      <c r="S759" s="22" t="s">
        <v>24</v>
      </c>
      <c r="T759" s="22" t="s">
        <v>24</v>
      </c>
      <c r="U759" s="22" t="s">
        <v>1587</v>
      </c>
      <c r="V759" s="22" t="s">
        <v>269</v>
      </c>
      <c r="W759" s="3" t="s">
        <v>1588</v>
      </c>
      <c r="X759" s="5" t="s">
        <v>1249</v>
      </c>
      <c r="Y759" s="28">
        <f t="shared" si="7"/>
        <v>0</v>
      </c>
      <c r="Z759" s="5">
        <v>386</v>
      </c>
    </row>
    <row r="760" spans="1:26" s="29" customFormat="1" x14ac:dyDescent="0.3">
      <c r="A760" s="3">
        <v>27</v>
      </c>
      <c r="B760" s="3" t="s">
        <v>1243</v>
      </c>
      <c r="C760" s="3" t="s">
        <v>1581</v>
      </c>
      <c r="D760" s="3" t="s">
        <v>1582</v>
      </c>
      <c r="E760" s="3" t="s">
        <v>1589</v>
      </c>
      <c r="F760" s="3" t="s">
        <v>458</v>
      </c>
      <c r="G760" s="3" t="s">
        <v>1590</v>
      </c>
      <c r="H760" s="3">
        <v>4000</v>
      </c>
      <c r="I760" s="3">
        <v>0</v>
      </c>
      <c r="J760" s="3" t="s">
        <v>1246</v>
      </c>
      <c r="K760" s="3" t="s">
        <v>243</v>
      </c>
      <c r="L760" s="3" t="s">
        <v>1591</v>
      </c>
      <c r="M760" s="3" t="s">
        <v>1592</v>
      </c>
      <c r="N760" s="22">
        <v>124</v>
      </c>
      <c r="O760" s="22">
        <v>113</v>
      </c>
      <c r="P760" s="22">
        <v>0</v>
      </c>
      <c r="Q760" s="22">
        <v>0</v>
      </c>
      <c r="R760" s="22">
        <v>0</v>
      </c>
      <c r="S760" s="22" t="s">
        <v>24</v>
      </c>
      <c r="T760" s="22" t="s">
        <v>24</v>
      </c>
      <c r="U760" s="22" t="s">
        <v>1587</v>
      </c>
      <c r="V760" s="22" t="s">
        <v>269</v>
      </c>
      <c r="W760" s="3" t="s">
        <v>1593</v>
      </c>
      <c r="X760" s="5" t="s">
        <v>1249</v>
      </c>
      <c r="Y760" s="28">
        <f t="shared" si="7"/>
        <v>0</v>
      </c>
      <c r="Z760" s="5">
        <v>124</v>
      </c>
    </row>
    <row r="761" spans="1:26" x14ac:dyDescent="0.3">
      <c r="A761" s="3">
        <v>27</v>
      </c>
      <c r="B761" s="3" t="s">
        <v>1243</v>
      </c>
      <c r="C761" s="3" t="s">
        <v>1581</v>
      </c>
      <c r="D761" s="3" t="s">
        <v>1582</v>
      </c>
      <c r="E761" s="3" t="s">
        <v>1594</v>
      </c>
      <c r="F761" s="3" t="s">
        <v>458</v>
      </c>
      <c r="G761" s="3" t="s">
        <v>1584</v>
      </c>
      <c r="H761" s="3">
        <v>4000</v>
      </c>
      <c r="I761" s="3">
        <v>0</v>
      </c>
      <c r="J761" s="3" t="s">
        <v>1246</v>
      </c>
      <c r="K761" s="3" t="s">
        <v>243</v>
      </c>
      <c r="L761" s="3" t="s">
        <v>1595</v>
      </c>
      <c r="M761" s="3" t="s">
        <v>1596</v>
      </c>
      <c r="N761" s="22">
        <v>53</v>
      </c>
      <c r="O761" s="22">
        <v>0</v>
      </c>
      <c r="P761" s="22">
        <v>0</v>
      </c>
      <c r="Q761" s="22">
        <v>0</v>
      </c>
      <c r="R761" s="22">
        <v>0</v>
      </c>
      <c r="S761" s="22" t="s">
        <v>24</v>
      </c>
      <c r="T761" s="22" t="s">
        <v>24</v>
      </c>
      <c r="U761" s="22" t="s">
        <v>1587</v>
      </c>
      <c r="V761" s="22" t="s">
        <v>269</v>
      </c>
      <c r="W761" s="3" t="s">
        <v>1597</v>
      </c>
      <c r="X761" s="5" t="s">
        <v>1249</v>
      </c>
      <c r="Y761" s="28">
        <f t="shared" si="7"/>
        <v>0</v>
      </c>
      <c r="Z761" s="5">
        <v>53</v>
      </c>
    </row>
    <row r="762" spans="1:26" x14ac:dyDescent="0.3">
      <c r="A762" s="3">
        <v>27</v>
      </c>
      <c r="B762" s="3" t="s">
        <v>1243</v>
      </c>
      <c r="C762" s="3" t="s">
        <v>1581</v>
      </c>
      <c r="D762" s="3" t="s">
        <v>1582</v>
      </c>
      <c r="E762" s="3" t="s">
        <v>1598</v>
      </c>
      <c r="F762" s="3" t="s">
        <v>458</v>
      </c>
      <c r="G762" s="3" t="s">
        <v>1599</v>
      </c>
      <c r="H762" s="3">
        <v>4000</v>
      </c>
      <c r="I762" s="3">
        <v>0</v>
      </c>
      <c r="J762" s="3" t="s">
        <v>1246</v>
      </c>
      <c r="K762" s="3" t="s">
        <v>243</v>
      </c>
      <c r="L762" s="3" t="s">
        <v>1600</v>
      </c>
      <c r="M762" s="3" t="s">
        <v>1601</v>
      </c>
      <c r="N762" s="22">
        <v>3482</v>
      </c>
      <c r="O762" s="22">
        <v>3192</v>
      </c>
      <c r="P762" s="22">
        <v>0</v>
      </c>
      <c r="Q762" s="22">
        <v>0</v>
      </c>
      <c r="R762" s="22">
        <v>0</v>
      </c>
      <c r="S762" s="22" t="s">
        <v>24</v>
      </c>
      <c r="T762" s="22" t="s">
        <v>24</v>
      </c>
      <c r="U762" s="22" t="s">
        <v>1587</v>
      </c>
      <c r="V762" s="22" t="s">
        <v>269</v>
      </c>
      <c r="W762" s="3" t="s">
        <v>1602</v>
      </c>
      <c r="X762" s="5" t="s">
        <v>1249</v>
      </c>
      <c r="Y762" s="28">
        <f t="shared" si="7"/>
        <v>0</v>
      </c>
      <c r="Z762" s="5">
        <v>3482</v>
      </c>
    </row>
    <row r="763" spans="1:26" x14ac:dyDescent="0.3">
      <c r="A763" s="3">
        <v>27</v>
      </c>
      <c r="B763" s="3" t="s">
        <v>1243</v>
      </c>
      <c r="C763" s="3" t="s">
        <v>1581</v>
      </c>
      <c r="D763" s="3" t="s">
        <v>1582</v>
      </c>
      <c r="E763" s="3" t="s">
        <v>1603</v>
      </c>
      <c r="F763" s="3" t="s">
        <v>458</v>
      </c>
      <c r="G763" s="3" t="s">
        <v>1604</v>
      </c>
      <c r="H763" s="3">
        <v>4000</v>
      </c>
      <c r="I763" s="3">
        <v>0</v>
      </c>
      <c r="J763" s="3" t="s">
        <v>1246</v>
      </c>
      <c r="K763" s="3" t="s">
        <v>243</v>
      </c>
      <c r="L763" s="3" t="s">
        <v>1605</v>
      </c>
      <c r="M763" s="3" t="s">
        <v>1601</v>
      </c>
      <c r="N763" s="22">
        <v>33</v>
      </c>
      <c r="O763" s="22">
        <v>0</v>
      </c>
      <c r="P763" s="22">
        <v>0</v>
      </c>
      <c r="Q763" s="22">
        <v>0</v>
      </c>
      <c r="R763" s="22">
        <v>0</v>
      </c>
      <c r="S763" s="22" t="s">
        <v>24</v>
      </c>
      <c r="T763" s="22" t="s">
        <v>24</v>
      </c>
      <c r="U763" s="22" t="s">
        <v>1587</v>
      </c>
      <c r="V763" s="22" t="s">
        <v>269</v>
      </c>
      <c r="W763" s="3" t="s">
        <v>1606</v>
      </c>
      <c r="X763" s="5" t="s">
        <v>1249</v>
      </c>
      <c r="Y763" s="28">
        <f t="shared" si="7"/>
        <v>0</v>
      </c>
      <c r="Z763" s="5">
        <v>33</v>
      </c>
    </row>
    <row r="764" spans="1:26" x14ac:dyDescent="0.3">
      <c r="A764" s="3">
        <v>27</v>
      </c>
      <c r="B764" s="3" t="s">
        <v>1243</v>
      </c>
      <c r="C764" s="3" t="s">
        <v>1581</v>
      </c>
      <c r="D764" s="3" t="s">
        <v>1582</v>
      </c>
      <c r="E764" s="3" t="s">
        <v>1607</v>
      </c>
      <c r="F764" s="3" t="s">
        <v>458</v>
      </c>
      <c r="G764" s="3" t="s">
        <v>1608</v>
      </c>
      <c r="H764" s="3">
        <v>4000</v>
      </c>
      <c r="I764" s="3">
        <v>0</v>
      </c>
      <c r="J764" s="3" t="s">
        <v>1246</v>
      </c>
      <c r="K764" s="3" t="s">
        <v>243</v>
      </c>
      <c r="L764" s="3" t="s">
        <v>1609</v>
      </c>
      <c r="M764" s="3" t="s">
        <v>1601</v>
      </c>
      <c r="N764" s="22">
        <v>4416</v>
      </c>
      <c r="O764" s="22">
        <v>0</v>
      </c>
      <c r="P764" s="22">
        <v>0</v>
      </c>
      <c r="Q764" s="22">
        <v>0</v>
      </c>
      <c r="R764" s="22">
        <v>0</v>
      </c>
      <c r="S764" s="22" t="s">
        <v>24</v>
      </c>
      <c r="T764" s="22" t="s">
        <v>24</v>
      </c>
      <c r="U764" s="22" t="s">
        <v>1587</v>
      </c>
      <c r="V764" s="22" t="s">
        <v>269</v>
      </c>
      <c r="W764" s="3" t="s">
        <v>1610</v>
      </c>
      <c r="X764" s="5" t="s">
        <v>1249</v>
      </c>
      <c r="Y764" s="28">
        <f t="shared" si="7"/>
        <v>0</v>
      </c>
      <c r="Z764" s="5">
        <v>4416</v>
      </c>
    </row>
    <row r="765" spans="1:26" x14ac:dyDescent="0.3">
      <c r="A765" s="3">
        <v>27</v>
      </c>
      <c r="B765" s="3" t="s">
        <v>1243</v>
      </c>
      <c r="C765" s="3" t="s">
        <v>1581</v>
      </c>
      <c r="D765" s="3" t="s">
        <v>1582</v>
      </c>
      <c r="E765" s="3" t="s">
        <v>1611</v>
      </c>
      <c r="F765" s="3" t="s">
        <v>458</v>
      </c>
      <c r="G765" s="3" t="s">
        <v>1612</v>
      </c>
      <c r="H765" s="3">
        <v>4000</v>
      </c>
      <c r="I765" s="3">
        <v>0</v>
      </c>
      <c r="J765" s="3" t="s">
        <v>1246</v>
      </c>
      <c r="K765" s="3" t="s">
        <v>243</v>
      </c>
      <c r="L765" s="3" t="s">
        <v>1613</v>
      </c>
      <c r="M765" s="3" t="s">
        <v>1601</v>
      </c>
      <c r="N765" s="22">
        <v>64</v>
      </c>
      <c r="O765" s="22">
        <v>0</v>
      </c>
      <c r="P765" s="22">
        <v>0</v>
      </c>
      <c r="Q765" s="22">
        <v>0</v>
      </c>
      <c r="R765" s="22">
        <v>0</v>
      </c>
      <c r="S765" s="22" t="s">
        <v>24</v>
      </c>
      <c r="T765" s="22" t="s">
        <v>24</v>
      </c>
      <c r="U765" s="22" t="s">
        <v>1587</v>
      </c>
      <c r="V765" s="22" t="s">
        <v>269</v>
      </c>
      <c r="W765" s="3" t="s">
        <v>1614</v>
      </c>
      <c r="X765" s="5" t="s">
        <v>1249</v>
      </c>
      <c r="Y765" s="28">
        <f t="shared" si="7"/>
        <v>0</v>
      </c>
      <c r="Z765" s="5">
        <v>64</v>
      </c>
    </row>
    <row r="766" spans="1:26" x14ac:dyDescent="0.3">
      <c r="A766" s="3">
        <v>27</v>
      </c>
      <c r="B766" s="3" t="s">
        <v>1243</v>
      </c>
      <c r="C766" s="3" t="s">
        <v>1581</v>
      </c>
      <c r="D766" s="3" t="s">
        <v>1582</v>
      </c>
      <c r="E766" s="3" t="s">
        <v>1607</v>
      </c>
      <c r="F766" s="3" t="s">
        <v>458</v>
      </c>
      <c r="G766" s="3" t="s">
        <v>1615</v>
      </c>
      <c r="H766" s="3">
        <v>4000</v>
      </c>
      <c r="I766" s="3">
        <v>0</v>
      </c>
      <c r="J766" s="3" t="s">
        <v>1246</v>
      </c>
      <c r="K766" s="3" t="s">
        <v>243</v>
      </c>
      <c r="L766" s="3" t="s">
        <v>1616</v>
      </c>
      <c r="M766" s="3" t="s">
        <v>1601</v>
      </c>
      <c r="N766" s="22">
        <v>130</v>
      </c>
      <c r="O766" s="22">
        <v>0</v>
      </c>
      <c r="P766" s="22">
        <v>0</v>
      </c>
      <c r="Q766" s="22">
        <v>0</v>
      </c>
      <c r="R766" s="22">
        <v>0</v>
      </c>
      <c r="S766" s="22" t="s">
        <v>24</v>
      </c>
      <c r="T766" s="22" t="s">
        <v>24</v>
      </c>
      <c r="U766" s="22" t="s">
        <v>1587</v>
      </c>
      <c r="V766" s="22" t="s">
        <v>269</v>
      </c>
      <c r="W766" s="3" t="s">
        <v>1617</v>
      </c>
      <c r="X766" s="5" t="s">
        <v>1249</v>
      </c>
      <c r="Y766" s="28">
        <f t="shared" si="7"/>
        <v>0</v>
      </c>
      <c r="Z766" s="5">
        <v>130</v>
      </c>
    </row>
    <row r="767" spans="1:26" x14ac:dyDescent="0.3">
      <c r="A767" s="3">
        <v>27</v>
      </c>
      <c r="B767" s="3" t="s">
        <v>1243</v>
      </c>
      <c r="C767" s="3"/>
      <c r="D767" s="3"/>
      <c r="E767" s="3"/>
      <c r="F767" s="3"/>
      <c r="G767" s="3"/>
      <c r="H767" s="3">
        <v>4540</v>
      </c>
      <c r="I767" s="3">
        <v>0</v>
      </c>
      <c r="J767" s="3" t="s">
        <v>1246</v>
      </c>
      <c r="K767" s="3"/>
      <c r="L767" s="3" t="s">
        <v>1618</v>
      </c>
      <c r="M767" s="3" t="s">
        <v>1618</v>
      </c>
      <c r="N767" s="22">
        <v>10</v>
      </c>
      <c r="O767" s="22">
        <v>10</v>
      </c>
      <c r="P767" s="22">
        <v>10</v>
      </c>
      <c r="Q767" s="22">
        <v>10</v>
      </c>
      <c r="R767" s="22">
        <v>10</v>
      </c>
      <c r="S767" s="22"/>
      <c r="T767" s="22"/>
      <c r="U767" s="22"/>
      <c r="V767" s="22"/>
      <c r="W767" s="6" t="s">
        <v>1619</v>
      </c>
      <c r="X767" s="5" t="s">
        <v>1249</v>
      </c>
      <c r="Y767" s="28">
        <f t="shared" si="7"/>
        <v>0</v>
      </c>
      <c r="Z767" s="5">
        <v>10</v>
      </c>
    </row>
    <row r="768" spans="1:26" x14ac:dyDescent="0.3">
      <c r="A768" s="3">
        <v>27</v>
      </c>
      <c r="B768" s="3" t="s">
        <v>1243</v>
      </c>
      <c r="C768" s="3" t="s">
        <v>1268</v>
      </c>
      <c r="D768" s="3" t="s">
        <v>1620</v>
      </c>
      <c r="E768" s="3"/>
      <c r="F768" s="3"/>
      <c r="G768" s="3"/>
      <c r="H768" s="3">
        <v>4410</v>
      </c>
      <c r="I768" s="3">
        <v>0</v>
      </c>
      <c r="J768" s="3" t="s">
        <v>458</v>
      </c>
      <c r="K768" s="3"/>
      <c r="L768" s="3" t="s">
        <v>1620</v>
      </c>
      <c r="M768" s="3" t="s">
        <v>1620</v>
      </c>
      <c r="N768" s="22"/>
      <c r="O768" s="22"/>
      <c r="P768" s="22"/>
      <c r="Q768" s="22"/>
      <c r="R768" s="22"/>
      <c r="S768" s="22"/>
      <c r="T768" s="22"/>
      <c r="U768" s="22"/>
      <c r="V768" s="22"/>
      <c r="W768" s="6" t="s">
        <v>1621</v>
      </c>
      <c r="X768" s="5" t="s">
        <v>1249</v>
      </c>
      <c r="Y768" s="28">
        <f t="shared" si="7"/>
        <v>0</v>
      </c>
    </row>
    <row r="769" spans="1:26" x14ac:dyDescent="0.3">
      <c r="A769" s="3">
        <v>27</v>
      </c>
      <c r="B769" s="3" t="s">
        <v>1243</v>
      </c>
      <c r="C769" s="3" t="s">
        <v>1268</v>
      </c>
      <c r="D769" s="3" t="s">
        <v>1622</v>
      </c>
      <c r="E769" s="3"/>
      <c r="F769" s="3"/>
      <c r="G769" s="3"/>
      <c r="H769" s="3">
        <v>4420</v>
      </c>
      <c r="I769" s="3">
        <v>0</v>
      </c>
      <c r="J769" s="3" t="s">
        <v>458</v>
      </c>
      <c r="K769" s="3"/>
      <c r="L769" s="3" t="s">
        <v>1622</v>
      </c>
      <c r="M769" s="3" t="s">
        <v>1622</v>
      </c>
      <c r="N769" s="22"/>
      <c r="O769" s="22"/>
      <c r="P769" s="22"/>
      <c r="Q769" s="22"/>
      <c r="R769" s="22"/>
      <c r="S769" s="22"/>
      <c r="T769" s="22"/>
      <c r="U769" s="22"/>
      <c r="V769" s="22"/>
      <c r="W769" s="6" t="s">
        <v>1623</v>
      </c>
      <c r="X769" s="5" t="s">
        <v>1249</v>
      </c>
      <c r="Y769" s="28">
        <f t="shared" si="7"/>
        <v>0</v>
      </c>
    </row>
    <row r="770" spans="1:26" ht="78" x14ac:dyDescent="0.3">
      <c r="A770" s="3">
        <v>27</v>
      </c>
      <c r="B770" s="3" t="s">
        <v>1243</v>
      </c>
      <c r="C770" s="3" t="s">
        <v>1268</v>
      </c>
      <c r="D770" s="3" t="s">
        <v>1624</v>
      </c>
      <c r="E770" s="3"/>
      <c r="F770" s="3"/>
      <c r="G770" s="3"/>
      <c r="H770" s="39" t="s">
        <v>1625</v>
      </c>
      <c r="I770" s="3">
        <v>0</v>
      </c>
      <c r="J770" s="3" t="s">
        <v>458</v>
      </c>
      <c r="K770" s="3"/>
      <c r="L770" s="3" t="s">
        <v>1626</v>
      </c>
      <c r="M770" s="3" t="s">
        <v>1627</v>
      </c>
      <c r="N770" s="22">
        <v>23</v>
      </c>
      <c r="O770" s="22">
        <v>17</v>
      </c>
      <c r="P770" s="25"/>
      <c r="Q770" s="22"/>
      <c r="R770" s="22"/>
      <c r="S770" s="22"/>
      <c r="T770" s="22"/>
      <c r="U770" s="22"/>
      <c r="V770" s="22"/>
      <c r="W770" s="24" t="s">
        <v>1628</v>
      </c>
      <c r="X770" s="5" t="s">
        <v>1249</v>
      </c>
      <c r="Y770" s="28">
        <f t="shared" si="7"/>
        <v>0</v>
      </c>
      <c r="Z770" s="5">
        <v>23</v>
      </c>
    </row>
    <row r="771" spans="1:26" x14ac:dyDescent="0.3">
      <c r="A771" s="3">
        <v>27</v>
      </c>
      <c r="B771" s="3" t="s">
        <v>1629</v>
      </c>
      <c r="C771" s="3" t="s">
        <v>1630</v>
      </c>
      <c r="D771" s="3" t="s">
        <v>1631</v>
      </c>
      <c r="E771" s="3" t="s">
        <v>1632</v>
      </c>
      <c r="F771" s="3" t="s">
        <v>1633</v>
      </c>
      <c r="G771" s="3">
        <v>2025</v>
      </c>
      <c r="H771" s="3">
        <v>4000</v>
      </c>
      <c r="I771" s="3">
        <v>0</v>
      </c>
      <c r="J771" s="3" t="s">
        <v>561</v>
      </c>
      <c r="K771" s="3" t="s">
        <v>243</v>
      </c>
      <c r="L771" s="3" t="s">
        <v>1631</v>
      </c>
      <c r="M771" s="3" t="s">
        <v>1631</v>
      </c>
      <c r="N771" s="4">
        <v>400</v>
      </c>
      <c r="O771" s="4">
        <v>400</v>
      </c>
      <c r="P771" s="4">
        <v>400</v>
      </c>
      <c r="Q771" s="4"/>
      <c r="R771" s="4"/>
      <c r="S771" s="3" t="s">
        <v>1634</v>
      </c>
      <c r="T771" s="3" t="s">
        <v>24</v>
      </c>
      <c r="U771" s="3" t="s">
        <v>1635</v>
      </c>
      <c r="V771" s="3" t="s">
        <v>1635</v>
      </c>
      <c r="W771" s="3"/>
      <c r="Y771" s="30">
        <f t="shared" si="7"/>
        <v>0</v>
      </c>
      <c r="Z771" s="5">
        <v>400</v>
      </c>
    </row>
    <row r="772" spans="1:26" x14ac:dyDescent="0.3">
      <c r="A772" s="3">
        <v>27</v>
      </c>
      <c r="B772" s="3" t="s">
        <v>1629</v>
      </c>
      <c r="C772" s="3" t="s">
        <v>1630</v>
      </c>
      <c r="D772" s="3" t="s">
        <v>1636</v>
      </c>
      <c r="E772" s="3" t="s">
        <v>1637</v>
      </c>
      <c r="F772" s="3" t="s">
        <v>1633</v>
      </c>
      <c r="G772" s="3" t="s">
        <v>1638</v>
      </c>
      <c r="H772" s="3">
        <v>4000</v>
      </c>
      <c r="I772" s="3">
        <v>0</v>
      </c>
      <c r="J772" s="3" t="s">
        <v>1062</v>
      </c>
      <c r="K772" s="3" t="s">
        <v>243</v>
      </c>
      <c r="L772" s="3" t="s">
        <v>1636</v>
      </c>
      <c r="M772" s="3" t="s">
        <v>1639</v>
      </c>
      <c r="N772" s="4">
        <v>900</v>
      </c>
      <c r="O772" s="4"/>
      <c r="P772" s="4">
        <v>0</v>
      </c>
      <c r="Q772" s="4"/>
      <c r="R772" s="4"/>
      <c r="S772" s="3" t="s">
        <v>50</v>
      </c>
      <c r="T772" s="3" t="s">
        <v>1640</v>
      </c>
      <c r="U772" s="3" t="s">
        <v>1635</v>
      </c>
      <c r="V772" s="3" t="s">
        <v>1635</v>
      </c>
      <c r="W772" s="3"/>
      <c r="Y772" s="30">
        <f t="shared" si="7"/>
        <v>0</v>
      </c>
      <c r="Z772" s="5">
        <v>900</v>
      </c>
    </row>
    <row r="773" spans="1:26" x14ac:dyDescent="0.3">
      <c r="A773" s="3">
        <v>27</v>
      </c>
      <c r="B773" s="3" t="s">
        <v>1629</v>
      </c>
      <c r="C773" s="3" t="s">
        <v>1630</v>
      </c>
      <c r="D773" s="3" t="s">
        <v>1641</v>
      </c>
      <c r="E773" s="3" t="s">
        <v>1637</v>
      </c>
      <c r="F773" s="3" t="s">
        <v>1633</v>
      </c>
      <c r="G773" s="3" t="s">
        <v>1638</v>
      </c>
      <c r="H773" s="3">
        <v>4000</v>
      </c>
      <c r="I773" s="3">
        <v>0</v>
      </c>
      <c r="J773" s="3" t="s">
        <v>1062</v>
      </c>
      <c r="K773" s="3" t="s">
        <v>243</v>
      </c>
      <c r="L773" s="3" t="s">
        <v>1641</v>
      </c>
      <c r="M773" s="3" t="s">
        <v>1641</v>
      </c>
      <c r="N773" s="4">
        <v>358</v>
      </c>
      <c r="O773" s="4"/>
      <c r="P773" s="4">
        <v>0</v>
      </c>
      <c r="Q773" s="4"/>
      <c r="R773" s="4"/>
      <c r="S773" s="3" t="s">
        <v>50</v>
      </c>
      <c r="T773" s="3" t="s">
        <v>1640</v>
      </c>
      <c r="U773" s="3" t="s">
        <v>1635</v>
      </c>
      <c r="V773" s="3" t="s">
        <v>1635</v>
      </c>
      <c r="W773" s="3"/>
      <c r="Y773" s="30">
        <f t="shared" si="7"/>
        <v>0</v>
      </c>
      <c r="Z773" s="5">
        <v>358</v>
      </c>
    </row>
    <row r="774" spans="1:26" x14ac:dyDescent="0.3">
      <c r="A774" s="3">
        <v>27</v>
      </c>
      <c r="B774" s="3" t="s">
        <v>1629</v>
      </c>
      <c r="C774" s="3" t="s">
        <v>1630</v>
      </c>
      <c r="D774" s="3" t="s">
        <v>1642</v>
      </c>
      <c r="E774" s="3" t="s">
        <v>1637</v>
      </c>
      <c r="F774" s="3" t="s">
        <v>1633</v>
      </c>
      <c r="G774" s="3">
        <v>2025</v>
      </c>
      <c r="H774" s="3">
        <v>4000</v>
      </c>
      <c r="I774" s="3">
        <v>0</v>
      </c>
      <c r="J774" s="3" t="s">
        <v>561</v>
      </c>
      <c r="K774" s="3" t="s">
        <v>243</v>
      </c>
      <c r="L774" s="3" t="s">
        <v>1642</v>
      </c>
      <c r="M774" s="3" t="s">
        <v>1643</v>
      </c>
      <c r="N774" s="4">
        <v>173</v>
      </c>
      <c r="O774" s="4">
        <v>0</v>
      </c>
      <c r="P774" s="4">
        <v>0</v>
      </c>
      <c r="Q774" s="4"/>
      <c r="R774" s="4"/>
      <c r="S774" s="3" t="s">
        <v>1634</v>
      </c>
      <c r="T774" s="3" t="s">
        <v>24</v>
      </c>
      <c r="U774" s="3" t="s">
        <v>1635</v>
      </c>
      <c r="V774" s="3" t="s">
        <v>1635</v>
      </c>
      <c r="W774" s="3"/>
      <c r="Y774" s="30">
        <f t="shared" si="7"/>
        <v>0</v>
      </c>
      <c r="Z774" s="5">
        <v>173</v>
      </c>
    </row>
    <row r="775" spans="1:26" x14ac:dyDescent="0.3">
      <c r="A775" s="3">
        <v>27</v>
      </c>
      <c r="B775" s="3" t="s">
        <v>1629</v>
      </c>
      <c r="C775" s="3" t="s">
        <v>1630</v>
      </c>
      <c r="D775" s="3" t="s">
        <v>1644</v>
      </c>
      <c r="E775" s="3" t="s">
        <v>1645</v>
      </c>
      <c r="F775" s="3" t="s">
        <v>1633</v>
      </c>
      <c r="G775" s="3">
        <v>2025</v>
      </c>
      <c r="H775" s="3">
        <v>4000</v>
      </c>
      <c r="I775" s="3">
        <v>0</v>
      </c>
      <c r="J775" s="3" t="s">
        <v>1062</v>
      </c>
      <c r="K775" s="3" t="s">
        <v>243</v>
      </c>
      <c r="L775" s="3" t="s">
        <v>1644</v>
      </c>
      <c r="M775" s="3" t="s">
        <v>1644</v>
      </c>
      <c r="N775" s="4">
        <v>87</v>
      </c>
      <c r="O775" s="4">
        <v>0</v>
      </c>
      <c r="P775" s="4">
        <v>0</v>
      </c>
      <c r="Q775" s="4">
        <v>0</v>
      </c>
      <c r="R775" s="4">
        <v>0</v>
      </c>
      <c r="S775" s="3" t="s">
        <v>1634</v>
      </c>
      <c r="T775" s="3" t="s">
        <v>24</v>
      </c>
      <c r="U775" s="3" t="s">
        <v>1635</v>
      </c>
      <c r="V775" s="3" t="s">
        <v>1635</v>
      </c>
      <c r="W775" s="3"/>
      <c r="Y775" s="30">
        <f t="shared" si="7"/>
        <v>0</v>
      </c>
      <c r="Z775" s="5">
        <v>87</v>
      </c>
    </row>
    <row r="776" spans="1:26" x14ac:dyDescent="0.3">
      <c r="A776" s="3">
        <v>27</v>
      </c>
      <c r="B776" s="3" t="s">
        <v>1629</v>
      </c>
      <c r="C776" s="3" t="s">
        <v>1630</v>
      </c>
      <c r="D776" s="3" t="s">
        <v>1646</v>
      </c>
      <c r="E776" s="3" t="s">
        <v>1637</v>
      </c>
      <c r="F776" s="3" t="s">
        <v>1633</v>
      </c>
      <c r="G776" s="3">
        <v>2025</v>
      </c>
      <c r="H776" s="3">
        <v>4000</v>
      </c>
      <c r="I776" s="3">
        <v>0</v>
      </c>
      <c r="J776" s="3" t="s">
        <v>561</v>
      </c>
      <c r="K776" s="3" t="s">
        <v>243</v>
      </c>
      <c r="L776" s="3" t="s">
        <v>1646</v>
      </c>
      <c r="M776" s="3" t="s">
        <v>1647</v>
      </c>
      <c r="N776" s="4">
        <v>71</v>
      </c>
      <c r="O776" s="4">
        <v>0</v>
      </c>
      <c r="P776" s="4">
        <v>0</v>
      </c>
      <c r="Q776" s="4"/>
      <c r="R776" s="4"/>
      <c r="S776" s="3" t="s">
        <v>1634</v>
      </c>
      <c r="T776" s="3" t="s">
        <v>24</v>
      </c>
      <c r="U776" s="3" t="s">
        <v>1635</v>
      </c>
      <c r="V776" s="3" t="s">
        <v>1635</v>
      </c>
      <c r="W776" s="3"/>
      <c r="Y776" s="30">
        <f t="shared" si="7"/>
        <v>0</v>
      </c>
      <c r="Z776" s="5">
        <v>71</v>
      </c>
    </row>
    <row r="777" spans="1:26" x14ac:dyDescent="0.3">
      <c r="A777" s="3">
        <v>27</v>
      </c>
      <c r="B777" s="3" t="s">
        <v>1629</v>
      </c>
      <c r="C777" s="3" t="s">
        <v>1630</v>
      </c>
      <c r="D777" s="3" t="s">
        <v>1648</v>
      </c>
      <c r="E777" s="3" t="s">
        <v>1645</v>
      </c>
      <c r="F777" s="3" t="s">
        <v>1633</v>
      </c>
      <c r="G777" s="3">
        <v>2025</v>
      </c>
      <c r="H777" s="3">
        <v>4000</v>
      </c>
      <c r="I777" s="3">
        <v>0</v>
      </c>
      <c r="J777" s="3" t="s">
        <v>561</v>
      </c>
      <c r="K777" s="3" t="s">
        <v>243</v>
      </c>
      <c r="L777" s="3" t="s">
        <v>1649</v>
      </c>
      <c r="M777" s="3" t="s">
        <v>1648</v>
      </c>
      <c r="N777" s="4">
        <v>19</v>
      </c>
      <c r="O777" s="4">
        <v>0</v>
      </c>
      <c r="P777" s="4">
        <v>0</v>
      </c>
      <c r="Q777" s="4">
        <v>0</v>
      </c>
      <c r="R777" s="4"/>
      <c r="S777" s="3" t="s">
        <v>1634</v>
      </c>
      <c r="T777" s="3" t="s">
        <v>24</v>
      </c>
      <c r="U777" s="3" t="s">
        <v>1635</v>
      </c>
      <c r="V777" s="3" t="s">
        <v>1635</v>
      </c>
      <c r="W777" s="3"/>
      <c r="Y777" s="30">
        <f t="shared" si="7"/>
        <v>0</v>
      </c>
      <c r="Z777" s="5">
        <v>19</v>
      </c>
    </row>
    <row r="778" spans="1:26" x14ac:dyDescent="0.3">
      <c r="A778" s="3">
        <v>27</v>
      </c>
      <c r="B778" s="3" t="s">
        <v>1629</v>
      </c>
      <c r="C778" s="3" t="s">
        <v>1630</v>
      </c>
      <c r="D778" s="3" t="s">
        <v>1650</v>
      </c>
      <c r="E778" s="3" t="s">
        <v>1645</v>
      </c>
      <c r="F778" s="3" t="s">
        <v>1633</v>
      </c>
      <c r="G778" s="3">
        <v>2025</v>
      </c>
      <c r="H778" s="3">
        <v>4000</v>
      </c>
      <c r="I778" s="3">
        <v>0</v>
      </c>
      <c r="J778" s="3" t="s">
        <v>561</v>
      </c>
      <c r="K778" s="3" t="s">
        <v>243</v>
      </c>
      <c r="L778" s="3" t="s">
        <v>1651</v>
      </c>
      <c r="M778" s="3" t="s">
        <v>1650</v>
      </c>
      <c r="N778" s="4">
        <v>85</v>
      </c>
      <c r="O778" s="4">
        <v>0</v>
      </c>
      <c r="P778" s="4">
        <v>0</v>
      </c>
      <c r="Q778" s="4">
        <v>0</v>
      </c>
      <c r="R778" s="4">
        <v>0</v>
      </c>
      <c r="S778" s="3" t="s">
        <v>1634</v>
      </c>
      <c r="T778" s="3" t="s">
        <v>24</v>
      </c>
      <c r="U778" s="3" t="s">
        <v>1635</v>
      </c>
      <c r="V778" s="3" t="s">
        <v>1635</v>
      </c>
      <c r="W778" s="3"/>
      <c r="Y778" s="30">
        <f t="shared" si="7"/>
        <v>0</v>
      </c>
      <c r="Z778" s="5">
        <v>85</v>
      </c>
    </row>
    <row r="779" spans="1:26" x14ac:dyDescent="0.3">
      <c r="A779" s="3">
        <v>27</v>
      </c>
      <c r="B779" s="3" t="s">
        <v>1629</v>
      </c>
      <c r="C779" s="3" t="s">
        <v>1630</v>
      </c>
      <c r="D779" s="3" t="s">
        <v>1652</v>
      </c>
      <c r="E779" s="3" t="s">
        <v>1653</v>
      </c>
      <c r="F779" s="3" t="s">
        <v>1633</v>
      </c>
      <c r="G779" s="3" t="s">
        <v>647</v>
      </c>
      <c r="H779" s="9">
        <v>4420</v>
      </c>
      <c r="I779" s="3">
        <v>0</v>
      </c>
      <c r="J779" s="3" t="s">
        <v>1654</v>
      </c>
      <c r="K779" s="3" t="s">
        <v>243</v>
      </c>
      <c r="L779" s="3" t="s">
        <v>1652</v>
      </c>
      <c r="M779" s="3" t="s">
        <v>1652</v>
      </c>
      <c r="N779" s="33">
        <v>1600</v>
      </c>
      <c r="O779" s="4">
        <v>330</v>
      </c>
      <c r="P779" s="4">
        <v>0</v>
      </c>
      <c r="Q779" s="4"/>
      <c r="R779" s="4"/>
      <c r="S779" s="3" t="s">
        <v>1655</v>
      </c>
      <c r="T779" s="3" t="s">
        <v>24</v>
      </c>
      <c r="U779" s="3" t="s">
        <v>1656</v>
      </c>
      <c r="V779" s="3" t="s">
        <v>1635</v>
      </c>
      <c r="W779" s="6" t="s">
        <v>1657</v>
      </c>
      <c r="Y779" s="30">
        <f t="shared" si="7"/>
        <v>0</v>
      </c>
      <c r="Z779" s="5">
        <v>1600</v>
      </c>
    </row>
    <row r="780" spans="1:26" x14ac:dyDescent="0.3">
      <c r="A780" s="3">
        <v>27</v>
      </c>
      <c r="B780" s="3" t="s">
        <v>1629</v>
      </c>
      <c r="C780" s="3" t="s">
        <v>1630</v>
      </c>
      <c r="D780" s="3" t="s">
        <v>1652</v>
      </c>
      <c r="E780" s="3"/>
      <c r="F780" s="3"/>
      <c r="G780" s="3" t="s">
        <v>647</v>
      </c>
      <c r="H780" s="9">
        <v>4410</v>
      </c>
      <c r="I780" s="3"/>
      <c r="J780" s="3"/>
      <c r="K780" s="3"/>
      <c r="L780" s="3" t="s">
        <v>1652</v>
      </c>
      <c r="M780" s="3" t="s">
        <v>1652</v>
      </c>
      <c r="N780" s="4">
        <v>50</v>
      </c>
      <c r="O780" s="4">
        <v>20</v>
      </c>
      <c r="P780" s="4"/>
      <c r="Q780" s="4"/>
      <c r="R780" s="4"/>
      <c r="S780" s="3"/>
      <c r="T780" s="3"/>
      <c r="U780" s="3"/>
      <c r="V780" s="3"/>
      <c r="W780" s="6"/>
      <c r="Y780" s="30">
        <f t="shared" si="7"/>
        <v>0</v>
      </c>
      <c r="Z780" s="5">
        <v>50</v>
      </c>
    </row>
    <row r="781" spans="1:26" x14ac:dyDescent="0.3">
      <c r="A781" s="3">
        <v>27</v>
      </c>
      <c r="B781" s="3" t="s">
        <v>1629</v>
      </c>
      <c r="C781" s="3" t="s">
        <v>1630</v>
      </c>
      <c r="D781" s="3" t="s">
        <v>1652</v>
      </c>
      <c r="E781" s="3" t="s">
        <v>1658</v>
      </c>
      <c r="F781" s="3" t="s">
        <v>1633</v>
      </c>
      <c r="G781" s="3" t="s">
        <v>1659</v>
      </c>
      <c r="H781" s="9">
        <v>4420</v>
      </c>
      <c r="I781" s="3">
        <v>0</v>
      </c>
      <c r="J781" s="3" t="s">
        <v>1654</v>
      </c>
      <c r="K781" s="3" t="s">
        <v>243</v>
      </c>
      <c r="L781" s="3" t="s">
        <v>1652</v>
      </c>
      <c r="M781" s="3" t="s">
        <v>1652</v>
      </c>
      <c r="N781" s="4">
        <v>0</v>
      </c>
      <c r="O781" s="4">
        <v>1450</v>
      </c>
      <c r="P781" s="4">
        <v>1450</v>
      </c>
      <c r="Q781" s="4">
        <v>1450</v>
      </c>
      <c r="R781" s="4">
        <v>1450</v>
      </c>
      <c r="S781" s="3" t="s">
        <v>1660</v>
      </c>
      <c r="T781" s="3" t="s">
        <v>24</v>
      </c>
      <c r="U781" s="3" t="s">
        <v>1635</v>
      </c>
      <c r="V781" s="3" t="s">
        <v>1635</v>
      </c>
      <c r="W781" s="6" t="s">
        <v>1657</v>
      </c>
      <c r="Y781" s="30">
        <f t="shared" si="7"/>
        <v>0</v>
      </c>
      <c r="Z781" s="5">
        <v>0</v>
      </c>
    </row>
    <row r="782" spans="1:26" x14ac:dyDescent="0.3">
      <c r="A782" s="3">
        <v>27</v>
      </c>
      <c r="B782" s="3" t="s">
        <v>1629</v>
      </c>
      <c r="C782" s="3" t="s">
        <v>1630</v>
      </c>
      <c r="D782" s="3" t="s">
        <v>1652</v>
      </c>
      <c r="E782" s="3" t="s">
        <v>1658</v>
      </c>
      <c r="F782" s="3" t="s">
        <v>1633</v>
      </c>
      <c r="G782" s="3" t="s">
        <v>1659</v>
      </c>
      <c r="H782" s="9">
        <v>4410</v>
      </c>
      <c r="I782" s="3">
        <v>0</v>
      </c>
      <c r="J782" s="3" t="s">
        <v>1654</v>
      </c>
      <c r="K782" s="3"/>
      <c r="L782" s="3" t="s">
        <v>1652</v>
      </c>
      <c r="M782" s="3" t="s">
        <v>1652</v>
      </c>
      <c r="N782" s="4"/>
      <c r="O782" s="4">
        <v>50</v>
      </c>
      <c r="P782" s="4">
        <v>50</v>
      </c>
      <c r="Q782" s="4">
        <v>50</v>
      </c>
      <c r="R782" s="4">
        <v>50</v>
      </c>
      <c r="S782" s="3"/>
      <c r="T782" s="3"/>
      <c r="U782" s="3"/>
      <c r="V782" s="3"/>
      <c r="W782" s="6"/>
      <c r="Y782" s="30">
        <f t="shared" si="7"/>
        <v>0</v>
      </c>
    </row>
    <row r="783" spans="1:26" x14ac:dyDescent="0.3">
      <c r="A783" s="3">
        <v>27</v>
      </c>
      <c r="B783" s="3" t="s">
        <v>1629</v>
      </c>
      <c r="C783" s="3" t="s">
        <v>1630</v>
      </c>
      <c r="D783" s="3" t="s">
        <v>1661</v>
      </c>
      <c r="E783" s="3" t="s">
        <v>1637</v>
      </c>
      <c r="F783" s="3" t="s">
        <v>1633</v>
      </c>
      <c r="G783" s="3" t="s">
        <v>1662</v>
      </c>
      <c r="H783" s="3">
        <v>4380</v>
      </c>
      <c r="I783" s="3">
        <v>0</v>
      </c>
      <c r="J783" s="3" t="s">
        <v>1663</v>
      </c>
      <c r="K783" s="3" t="s">
        <v>243</v>
      </c>
      <c r="L783" s="3" t="s">
        <v>1661</v>
      </c>
      <c r="M783" s="3" t="s">
        <v>1661</v>
      </c>
      <c r="N783" s="4">
        <v>300</v>
      </c>
      <c r="O783" s="4">
        <v>200</v>
      </c>
      <c r="P783" s="4">
        <v>200</v>
      </c>
      <c r="Q783" s="4"/>
      <c r="R783" s="4"/>
      <c r="S783" s="3" t="s">
        <v>1634</v>
      </c>
      <c r="T783" s="3" t="s">
        <v>24</v>
      </c>
      <c r="U783" s="3" t="s">
        <v>1635</v>
      </c>
      <c r="V783" s="3" t="s">
        <v>1635</v>
      </c>
      <c r="W783" s="3"/>
      <c r="Y783" s="30">
        <f t="shared" si="7"/>
        <v>0</v>
      </c>
      <c r="Z783" s="5">
        <v>300</v>
      </c>
    </row>
    <row r="784" spans="1:26" x14ac:dyDescent="0.3">
      <c r="A784" s="3">
        <v>27</v>
      </c>
      <c r="B784" s="3" t="s">
        <v>1629</v>
      </c>
      <c r="C784" s="3" t="s">
        <v>1630</v>
      </c>
      <c r="D784" s="3" t="s">
        <v>1664</v>
      </c>
      <c r="E784" s="3" t="s">
        <v>1645</v>
      </c>
      <c r="F784" s="3" t="s">
        <v>1633</v>
      </c>
      <c r="G784" s="3">
        <v>2025</v>
      </c>
      <c r="H784" s="9">
        <v>4420</v>
      </c>
      <c r="I784" s="3">
        <v>0</v>
      </c>
      <c r="J784" s="3" t="s">
        <v>1665</v>
      </c>
      <c r="K784" s="3" t="s">
        <v>243</v>
      </c>
      <c r="L784" s="3" t="s">
        <v>1664</v>
      </c>
      <c r="M784" s="3" t="s">
        <v>1664</v>
      </c>
      <c r="N784" s="4">
        <v>10</v>
      </c>
      <c r="O784" s="4">
        <v>8</v>
      </c>
      <c r="P784" s="4">
        <v>8</v>
      </c>
      <c r="Q784" s="4"/>
      <c r="R784" s="4"/>
      <c r="S784" s="3" t="s">
        <v>1634</v>
      </c>
      <c r="T784" s="3" t="s">
        <v>24</v>
      </c>
      <c r="U784" s="3" t="s">
        <v>1635</v>
      </c>
      <c r="V784" s="3" t="s">
        <v>1635</v>
      </c>
      <c r="W784" s="6" t="s">
        <v>1657</v>
      </c>
      <c r="Y784" s="30">
        <f t="shared" si="7"/>
        <v>0</v>
      </c>
      <c r="Z784" s="5">
        <v>10</v>
      </c>
    </row>
    <row r="785" spans="1:26" x14ac:dyDescent="0.3">
      <c r="A785" s="3">
        <v>27</v>
      </c>
      <c r="B785" s="3" t="s">
        <v>1629</v>
      </c>
      <c r="C785" s="3" t="s">
        <v>1630</v>
      </c>
      <c r="D785" s="3" t="s">
        <v>1664</v>
      </c>
      <c r="E785" s="3" t="s">
        <v>1645</v>
      </c>
      <c r="F785" s="3" t="s">
        <v>1633</v>
      </c>
      <c r="G785" s="3">
        <v>2025</v>
      </c>
      <c r="H785" s="9">
        <v>4410</v>
      </c>
      <c r="I785" s="3">
        <v>0</v>
      </c>
      <c r="J785" s="3" t="s">
        <v>1665</v>
      </c>
      <c r="K785" s="3"/>
      <c r="L785" s="3" t="s">
        <v>1664</v>
      </c>
      <c r="M785" s="3" t="s">
        <v>1664</v>
      </c>
      <c r="N785" s="4">
        <v>5</v>
      </c>
      <c r="O785" s="4">
        <v>2</v>
      </c>
      <c r="P785" s="4">
        <v>2</v>
      </c>
      <c r="Q785" s="4"/>
      <c r="R785" s="4"/>
      <c r="S785" s="3"/>
      <c r="T785" s="3"/>
      <c r="U785" s="3"/>
      <c r="V785" s="3"/>
      <c r="W785" s="6"/>
      <c r="Y785" s="30">
        <f t="shared" si="7"/>
        <v>0</v>
      </c>
      <c r="Z785" s="5">
        <v>5</v>
      </c>
    </row>
    <row r="786" spans="1:26" x14ac:dyDescent="0.3">
      <c r="A786" s="3">
        <v>27</v>
      </c>
      <c r="B786" s="3" t="s">
        <v>1629</v>
      </c>
      <c r="C786" s="3" t="s">
        <v>1630</v>
      </c>
      <c r="D786" s="3" t="s">
        <v>1666</v>
      </c>
      <c r="E786" s="3" t="s">
        <v>1633</v>
      </c>
      <c r="F786" s="3" t="s">
        <v>1633</v>
      </c>
      <c r="G786" s="3">
        <v>2025</v>
      </c>
      <c r="H786" s="3">
        <v>4420</v>
      </c>
      <c r="I786" s="3">
        <v>0</v>
      </c>
      <c r="J786" s="3" t="s">
        <v>561</v>
      </c>
      <c r="K786" s="3" t="s">
        <v>243</v>
      </c>
      <c r="L786" s="3" t="s">
        <v>1666</v>
      </c>
      <c r="M786" s="3" t="s">
        <v>1666</v>
      </c>
      <c r="N786" s="4">
        <v>1400</v>
      </c>
      <c r="O786" s="4">
        <v>1000</v>
      </c>
      <c r="P786" s="4">
        <v>1000</v>
      </c>
      <c r="Q786" s="4"/>
      <c r="R786" s="4"/>
      <c r="S786" s="3" t="s">
        <v>1633</v>
      </c>
      <c r="T786" s="3" t="s">
        <v>1633</v>
      </c>
      <c r="U786" s="3" t="s">
        <v>1633</v>
      </c>
      <c r="V786" s="3" t="s">
        <v>1633</v>
      </c>
      <c r="W786" s="3"/>
      <c r="Y786" s="30">
        <f t="shared" si="7"/>
        <v>0</v>
      </c>
      <c r="Z786" s="5">
        <v>1400</v>
      </c>
    </row>
    <row r="787" spans="1:26" x14ac:dyDescent="0.3">
      <c r="A787" s="3">
        <v>27</v>
      </c>
      <c r="B787" s="3" t="s">
        <v>1629</v>
      </c>
      <c r="C787" s="3" t="s">
        <v>1630</v>
      </c>
      <c r="D787" s="3" t="s">
        <v>1667</v>
      </c>
      <c r="E787" s="3" t="s">
        <v>1633</v>
      </c>
      <c r="F787" s="3" t="s">
        <v>1633</v>
      </c>
      <c r="G787" s="3">
        <v>2025</v>
      </c>
      <c r="H787" s="3">
        <v>4000</v>
      </c>
      <c r="I787" s="3">
        <v>0</v>
      </c>
      <c r="J787" s="3" t="s">
        <v>561</v>
      </c>
      <c r="K787" s="3" t="s">
        <v>243</v>
      </c>
      <c r="L787" s="3" t="s">
        <v>1667</v>
      </c>
      <c r="M787" s="3" t="s">
        <v>1667</v>
      </c>
      <c r="N787" s="4">
        <v>80</v>
      </c>
      <c r="O787" s="4">
        <v>50</v>
      </c>
      <c r="P787" s="4">
        <v>50</v>
      </c>
      <c r="Q787" s="4"/>
      <c r="R787" s="4"/>
      <c r="S787" s="3" t="s">
        <v>1633</v>
      </c>
      <c r="T787" s="3" t="s">
        <v>1633</v>
      </c>
      <c r="U787" s="3" t="s">
        <v>1633</v>
      </c>
      <c r="V787" s="3" t="s">
        <v>1633</v>
      </c>
      <c r="W787" s="3"/>
      <c r="Y787" s="30">
        <f t="shared" si="7"/>
        <v>0</v>
      </c>
      <c r="Z787" s="5">
        <v>80</v>
      </c>
    </row>
    <row r="788" spans="1:26" x14ac:dyDescent="0.3">
      <c r="A788" s="3">
        <v>27</v>
      </c>
      <c r="B788" s="3" t="s">
        <v>1629</v>
      </c>
      <c r="C788" s="3" t="s">
        <v>1630</v>
      </c>
      <c r="D788" s="3" t="s">
        <v>1668</v>
      </c>
      <c r="E788" s="3" t="s">
        <v>1633</v>
      </c>
      <c r="F788" s="3" t="s">
        <v>1633</v>
      </c>
      <c r="G788" s="3">
        <v>2025</v>
      </c>
      <c r="H788" s="3">
        <v>4000</v>
      </c>
      <c r="I788" s="3">
        <v>0</v>
      </c>
      <c r="J788" s="3" t="s">
        <v>561</v>
      </c>
      <c r="K788" s="3" t="s">
        <v>243</v>
      </c>
      <c r="L788" s="3" t="s">
        <v>1668</v>
      </c>
      <c r="M788" s="3" t="s">
        <v>1668</v>
      </c>
      <c r="N788" s="4">
        <v>20</v>
      </c>
      <c r="O788" s="4">
        <v>20</v>
      </c>
      <c r="P788" s="4">
        <v>20</v>
      </c>
      <c r="Q788" s="4"/>
      <c r="R788" s="4"/>
      <c r="S788" s="3" t="s">
        <v>1634</v>
      </c>
      <c r="T788" s="3" t="s">
        <v>24</v>
      </c>
      <c r="U788" s="3" t="s">
        <v>1635</v>
      </c>
      <c r="V788" s="3"/>
      <c r="W788" s="3"/>
      <c r="Y788" s="30">
        <f t="shared" si="7"/>
        <v>0</v>
      </c>
      <c r="Z788" s="5">
        <v>20</v>
      </c>
    </row>
    <row r="789" spans="1:26" x14ac:dyDescent="0.3">
      <c r="A789" s="26">
        <v>27</v>
      </c>
      <c r="B789" s="26" t="s">
        <v>1629</v>
      </c>
      <c r="C789" s="26" t="s">
        <v>1630</v>
      </c>
      <c r="D789" s="26" t="s">
        <v>1669</v>
      </c>
      <c r="E789" s="26" t="s">
        <v>1633</v>
      </c>
      <c r="F789" s="26" t="s">
        <v>1633</v>
      </c>
      <c r="G789" s="26">
        <v>2025</v>
      </c>
      <c r="H789" s="26">
        <v>4420</v>
      </c>
      <c r="I789" s="26">
        <v>0</v>
      </c>
      <c r="J789" s="26" t="s">
        <v>1062</v>
      </c>
      <c r="K789" s="3" t="s">
        <v>243</v>
      </c>
      <c r="L789" s="26" t="s">
        <v>1669</v>
      </c>
      <c r="M789" s="26" t="s">
        <v>1669</v>
      </c>
      <c r="N789" s="27">
        <v>3000</v>
      </c>
      <c r="O789" s="4">
        <v>4276</v>
      </c>
      <c r="P789" s="4">
        <v>4276</v>
      </c>
      <c r="Q789" s="4"/>
      <c r="R789" s="4"/>
      <c r="S789" s="3" t="s">
        <v>1634</v>
      </c>
      <c r="T789" s="3" t="s">
        <v>1633</v>
      </c>
      <c r="U789" s="3" t="s">
        <v>1633</v>
      </c>
      <c r="V789" s="3" t="s">
        <v>1633</v>
      </c>
      <c r="W789" s="3"/>
      <c r="Y789" s="28">
        <f t="shared" si="7"/>
        <v>0</v>
      </c>
      <c r="Z789" s="29">
        <v>3000</v>
      </c>
    </row>
    <row r="790" spans="1:26" x14ac:dyDescent="0.3">
      <c r="A790" s="3">
        <v>27</v>
      </c>
      <c r="B790" s="3" t="s">
        <v>1629</v>
      </c>
      <c r="C790" s="3" t="s">
        <v>1630</v>
      </c>
      <c r="D790" s="3" t="s">
        <v>1670</v>
      </c>
      <c r="E790" s="3" t="s">
        <v>1633</v>
      </c>
      <c r="F790" s="3" t="s">
        <v>1633</v>
      </c>
      <c r="G790" s="3">
        <v>2025</v>
      </c>
      <c r="H790" s="3">
        <v>4000</v>
      </c>
      <c r="I790" s="3">
        <v>0</v>
      </c>
      <c r="J790" s="3" t="s">
        <v>561</v>
      </c>
      <c r="K790" s="3" t="s">
        <v>243</v>
      </c>
      <c r="L790" s="3" t="s">
        <v>1670</v>
      </c>
      <c r="M790" s="3" t="s">
        <v>1670</v>
      </c>
      <c r="N790" s="4">
        <v>150</v>
      </c>
      <c r="O790" s="4">
        <v>0</v>
      </c>
      <c r="P790" s="4">
        <v>0</v>
      </c>
      <c r="Q790" s="4"/>
      <c r="R790" s="4"/>
      <c r="S790" s="3" t="s">
        <v>1634</v>
      </c>
      <c r="T790" s="3" t="s">
        <v>24</v>
      </c>
      <c r="U790" s="3" t="s">
        <v>1635</v>
      </c>
      <c r="V790" s="3" t="s">
        <v>1635</v>
      </c>
      <c r="W790" s="3"/>
      <c r="Y790" s="30">
        <f t="shared" si="7"/>
        <v>0</v>
      </c>
      <c r="Z790" s="5">
        <v>150</v>
      </c>
    </row>
    <row r="791" spans="1:26" x14ac:dyDescent="0.3">
      <c r="A791" s="3">
        <v>27</v>
      </c>
      <c r="B791" s="3" t="s">
        <v>1629</v>
      </c>
      <c r="C791" s="3" t="s">
        <v>1630</v>
      </c>
      <c r="D791" s="3" t="s">
        <v>1671</v>
      </c>
      <c r="E791" s="3" t="s">
        <v>1633</v>
      </c>
      <c r="F791" s="3" t="s">
        <v>1633</v>
      </c>
      <c r="G791" s="3">
        <v>2025</v>
      </c>
      <c r="H791" s="9">
        <v>4170</v>
      </c>
      <c r="I791" s="3">
        <v>0</v>
      </c>
      <c r="J791" s="3" t="s">
        <v>561</v>
      </c>
      <c r="K791" s="3" t="s">
        <v>243</v>
      </c>
      <c r="L791" s="3" t="s">
        <v>1672</v>
      </c>
      <c r="M791" s="3" t="s">
        <v>1672</v>
      </c>
      <c r="N791" s="4">
        <v>150</v>
      </c>
      <c r="O791" s="4">
        <v>0</v>
      </c>
      <c r="P791" s="4">
        <v>0</v>
      </c>
      <c r="Q791" s="4"/>
      <c r="R791" s="4"/>
      <c r="S791" s="3" t="s">
        <v>1634</v>
      </c>
      <c r="T791" s="3" t="s">
        <v>24</v>
      </c>
      <c r="U791" s="3" t="s">
        <v>1635</v>
      </c>
      <c r="V791" s="3" t="s">
        <v>1635</v>
      </c>
      <c r="W791" s="6" t="s">
        <v>1657</v>
      </c>
      <c r="Y791" s="30">
        <f t="shared" si="7"/>
        <v>0</v>
      </c>
      <c r="Z791" s="5">
        <v>150</v>
      </c>
    </row>
    <row r="792" spans="1:26" x14ac:dyDescent="0.3">
      <c r="A792" s="3">
        <v>27</v>
      </c>
      <c r="B792" s="3" t="s">
        <v>1629</v>
      </c>
      <c r="C792" s="3" t="s">
        <v>1630</v>
      </c>
      <c r="D792" s="3" t="s">
        <v>1673</v>
      </c>
      <c r="E792" s="3" t="s">
        <v>1633</v>
      </c>
      <c r="F792" s="3" t="s">
        <v>1633</v>
      </c>
      <c r="G792" s="3">
        <v>2025</v>
      </c>
      <c r="H792" s="3">
        <v>4170</v>
      </c>
      <c r="I792" s="3">
        <v>0</v>
      </c>
      <c r="J792" s="3" t="s">
        <v>561</v>
      </c>
      <c r="K792" s="3" t="s">
        <v>243</v>
      </c>
      <c r="L792" s="3" t="s">
        <v>1673</v>
      </c>
      <c r="M792" s="3" t="s">
        <v>1673</v>
      </c>
      <c r="N792" s="4">
        <v>300</v>
      </c>
      <c r="O792" s="4">
        <v>0</v>
      </c>
      <c r="P792" s="4">
        <v>0</v>
      </c>
      <c r="Q792" s="4"/>
      <c r="R792" s="4"/>
      <c r="S792" s="3" t="s">
        <v>1634</v>
      </c>
      <c r="T792" s="3" t="s">
        <v>24</v>
      </c>
      <c r="U792" s="3" t="s">
        <v>1635</v>
      </c>
      <c r="V792" s="3" t="s">
        <v>1635</v>
      </c>
      <c r="W792" s="3"/>
      <c r="Y792" s="30">
        <f t="shared" si="7"/>
        <v>0</v>
      </c>
      <c r="Z792" s="5">
        <v>300</v>
      </c>
    </row>
    <row r="793" spans="1:26" x14ac:dyDescent="0.3">
      <c r="A793" s="3">
        <v>27</v>
      </c>
      <c r="B793" s="3" t="s">
        <v>1629</v>
      </c>
      <c r="C793" s="3" t="s">
        <v>1630</v>
      </c>
      <c r="D793" s="3" t="s">
        <v>1674</v>
      </c>
      <c r="E793" s="3" t="s">
        <v>1633</v>
      </c>
      <c r="F793" s="3" t="s">
        <v>1633</v>
      </c>
      <c r="G793" s="3">
        <v>2025</v>
      </c>
      <c r="H793" s="3">
        <v>4170</v>
      </c>
      <c r="I793" s="3">
        <v>0</v>
      </c>
      <c r="J793" s="3" t="s">
        <v>561</v>
      </c>
      <c r="K793" s="3" t="s">
        <v>243</v>
      </c>
      <c r="L793" s="3" t="s">
        <v>1674</v>
      </c>
      <c r="M793" s="3" t="s">
        <v>1674</v>
      </c>
      <c r="N793" s="4">
        <v>150</v>
      </c>
      <c r="O793" s="4">
        <v>0</v>
      </c>
      <c r="P793" s="4">
        <v>0</v>
      </c>
      <c r="Q793" s="4"/>
      <c r="R793" s="4"/>
      <c r="S793" s="3" t="s">
        <v>1634</v>
      </c>
      <c r="T793" s="3" t="s">
        <v>24</v>
      </c>
      <c r="U793" s="3" t="s">
        <v>1635</v>
      </c>
      <c r="V793" s="3" t="s">
        <v>1635</v>
      </c>
      <c r="W793" s="3"/>
      <c r="Y793" s="30">
        <f t="shared" si="7"/>
        <v>0</v>
      </c>
      <c r="Z793" s="5">
        <v>150</v>
      </c>
    </row>
    <row r="794" spans="1:26" x14ac:dyDescent="0.3">
      <c r="A794" s="3">
        <v>27</v>
      </c>
      <c r="B794" s="3" t="s">
        <v>1675</v>
      </c>
      <c r="C794" s="3" t="s">
        <v>245</v>
      </c>
      <c r="D794" s="3"/>
      <c r="E794" s="3" t="s">
        <v>245</v>
      </c>
      <c r="F794" s="3" t="s">
        <v>1630</v>
      </c>
      <c r="G794" s="3"/>
      <c r="H794" s="3">
        <v>4000</v>
      </c>
      <c r="I794" s="3">
        <v>0</v>
      </c>
      <c r="J794" s="3" t="s">
        <v>1676</v>
      </c>
      <c r="K794" s="3" t="s">
        <v>243</v>
      </c>
      <c r="L794" s="3" t="s">
        <v>1677</v>
      </c>
      <c r="M794" s="3" t="s">
        <v>1678</v>
      </c>
      <c r="N794" s="4">
        <v>100</v>
      </c>
      <c r="O794" s="4">
        <v>0</v>
      </c>
      <c r="P794" s="4">
        <v>0</v>
      </c>
      <c r="Q794" s="4">
        <v>0</v>
      </c>
      <c r="R794" s="4">
        <v>0</v>
      </c>
      <c r="S794" s="3" t="s">
        <v>267</v>
      </c>
      <c r="T794" s="3" t="s">
        <v>1679</v>
      </c>
      <c r="U794" s="3" t="s">
        <v>1680</v>
      </c>
      <c r="V794" s="3" t="s">
        <v>1681</v>
      </c>
      <c r="W794" s="3" t="s">
        <v>1682</v>
      </c>
    </row>
    <row r="795" spans="1:26" s="29" customFormat="1" x14ac:dyDescent="0.3">
      <c r="A795" s="3">
        <v>27</v>
      </c>
      <c r="B795" s="3" t="s">
        <v>1675</v>
      </c>
      <c r="C795" s="3" t="s">
        <v>245</v>
      </c>
      <c r="D795" s="3"/>
      <c r="E795" s="3" t="s">
        <v>245</v>
      </c>
      <c r="F795" s="3" t="s">
        <v>1630</v>
      </c>
      <c r="G795" s="3"/>
      <c r="H795" s="3">
        <v>4000</v>
      </c>
      <c r="I795" s="3">
        <v>0</v>
      </c>
      <c r="J795" s="3" t="s">
        <v>1676</v>
      </c>
      <c r="K795" s="3" t="s">
        <v>243</v>
      </c>
      <c r="L795" s="3" t="s">
        <v>1683</v>
      </c>
      <c r="M795" s="3" t="s">
        <v>1684</v>
      </c>
      <c r="N795" s="4">
        <v>80</v>
      </c>
      <c r="O795" s="4">
        <v>50</v>
      </c>
      <c r="P795" s="4">
        <v>50</v>
      </c>
      <c r="Q795" s="4">
        <v>0</v>
      </c>
      <c r="R795" s="4">
        <v>0</v>
      </c>
      <c r="S795" s="3" t="s">
        <v>50</v>
      </c>
      <c r="T795" s="3" t="s">
        <v>245</v>
      </c>
      <c r="U795" s="3"/>
      <c r="V795" s="3" t="s">
        <v>245</v>
      </c>
      <c r="W795" s="3"/>
      <c r="X795" s="5"/>
      <c r="Y795" s="5"/>
      <c r="Z795" s="5"/>
    </row>
    <row r="796" spans="1:26" x14ac:dyDescent="0.3">
      <c r="A796" s="3">
        <v>27</v>
      </c>
      <c r="B796" s="3" t="s">
        <v>1675</v>
      </c>
      <c r="C796" s="3" t="s">
        <v>245</v>
      </c>
      <c r="D796" s="3"/>
      <c r="E796" s="3" t="s">
        <v>245</v>
      </c>
      <c r="F796" s="3" t="s">
        <v>1630</v>
      </c>
      <c r="G796" s="3"/>
      <c r="H796" s="3">
        <v>4000</v>
      </c>
      <c r="I796" s="3">
        <v>0</v>
      </c>
      <c r="J796" s="3" t="s">
        <v>1676</v>
      </c>
      <c r="K796" s="3" t="s">
        <v>243</v>
      </c>
      <c r="L796" s="3" t="s">
        <v>1685</v>
      </c>
      <c r="M796" s="3"/>
      <c r="N796" s="4">
        <v>0</v>
      </c>
      <c r="O796" s="4">
        <v>0</v>
      </c>
      <c r="P796" s="4">
        <v>0</v>
      </c>
      <c r="Q796" s="4">
        <v>0</v>
      </c>
      <c r="R796" s="4">
        <v>0</v>
      </c>
      <c r="S796" s="3" t="s">
        <v>24</v>
      </c>
      <c r="T796" s="3" t="s">
        <v>69</v>
      </c>
      <c r="U796" s="3" t="s">
        <v>1686</v>
      </c>
      <c r="V796" s="3" t="s">
        <v>1687</v>
      </c>
      <c r="W796" s="3" t="s">
        <v>1688</v>
      </c>
    </row>
    <row r="797" spans="1:26" x14ac:dyDescent="0.3">
      <c r="A797" s="3">
        <v>27</v>
      </c>
      <c r="B797" s="3" t="s">
        <v>1675</v>
      </c>
      <c r="C797" s="3" t="s">
        <v>245</v>
      </c>
      <c r="D797" s="3"/>
      <c r="E797" s="3" t="s">
        <v>245</v>
      </c>
      <c r="F797" s="3" t="s">
        <v>1630</v>
      </c>
      <c r="G797" s="3"/>
      <c r="H797" s="3">
        <v>4000</v>
      </c>
      <c r="I797" s="3">
        <v>0</v>
      </c>
      <c r="J797" s="3" t="s">
        <v>1676</v>
      </c>
      <c r="K797" s="3" t="s">
        <v>243</v>
      </c>
      <c r="L797" s="3" t="s">
        <v>1689</v>
      </c>
      <c r="M797" s="3"/>
      <c r="N797" s="4">
        <v>0</v>
      </c>
      <c r="O797" s="4">
        <v>0</v>
      </c>
      <c r="P797" s="4">
        <v>0</v>
      </c>
      <c r="Q797" s="4">
        <v>0</v>
      </c>
      <c r="R797" s="4">
        <v>0</v>
      </c>
      <c r="S797" s="3" t="s">
        <v>24</v>
      </c>
      <c r="T797" s="3" t="s">
        <v>69</v>
      </c>
      <c r="U797" s="3" t="s">
        <v>1690</v>
      </c>
      <c r="V797" s="3" t="s">
        <v>1691</v>
      </c>
      <c r="W797" s="3" t="s">
        <v>1688</v>
      </c>
    </row>
    <row r="798" spans="1:26" x14ac:dyDescent="0.3">
      <c r="A798" s="3">
        <v>27</v>
      </c>
      <c r="B798" s="3" t="s">
        <v>1675</v>
      </c>
      <c r="C798" s="3" t="s">
        <v>245</v>
      </c>
      <c r="D798" s="3"/>
      <c r="E798" s="3" t="s">
        <v>245</v>
      </c>
      <c r="F798" s="3" t="s">
        <v>1630</v>
      </c>
      <c r="G798" s="3"/>
      <c r="H798" s="3">
        <v>4430</v>
      </c>
      <c r="I798" s="3">
        <v>0</v>
      </c>
      <c r="J798" s="3" t="s">
        <v>1676</v>
      </c>
      <c r="K798" s="3" t="s">
        <v>243</v>
      </c>
      <c r="L798" s="3" t="s">
        <v>1692</v>
      </c>
      <c r="M798" s="3"/>
      <c r="N798" s="4">
        <v>0</v>
      </c>
      <c r="O798" s="4">
        <v>0</v>
      </c>
      <c r="P798" s="4">
        <v>0</v>
      </c>
      <c r="Q798" s="4">
        <v>0</v>
      </c>
      <c r="R798" s="4">
        <v>0</v>
      </c>
      <c r="S798" s="3" t="s">
        <v>24</v>
      </c>
      <c r="T798" s="3" t="s">
        <v>1693</v>
      </c>
      <c r="U798" s="3"/>
      <c r="V798" s="3" t="s">
        <v>1694</v>
      </c>
      <c r="W798" s="3" t="s">
        <v>1695</v>
      </c>
    </row>
    <row r="799" spans="1:26" s="29" customFormat="1" x14ac:dyDescent="0.3">
      <c r="A799" s="3">
        <v>27</v>
      </c>
      <c r="B799" s="3" t="s">
        <v>1675</v>
      </c>
      <c r="C799" s="3" t="s">
        <v>245</v>
      </c>
      <c r="D799" s="3"/>
      <c r="E799" s="3" t="s">
        <v>245</v>
      </c>
      <c r="F799" s="3" t="s">
        <v>1630</v>
      </c>
      <c r="G799" s="3"/>
      <c r="H799" s="3">
        <v>4000</v>
      </c>
      <c r="I799" s="3">
        <v>0</v>
      </c>
      <c r="J799" s="3" t="s">
        <v>1676</v>
      </c>
      <c r="K799" s="3" t="s">
        <v>243</v>
      </c>
      <c r="L799" s="3" t="s">
        <v>1696</v>
      </c>
      <c r="M799" s="3"/>
      <c r="N799" s="4">
        <v>40</v>
      </c>
      <c r="O799" s="4">
        <v>40</v>
      </c>
      <c r="P799" s="4">
        <v>40</v>
      </c>
      <c r="Q799" s="4">
        <v>0</v>
      </c>
      <c r="R799" s="4">
        <v>0</v>
      </c>
      <c r="S799" s="3" t="s">
        <v>50</v>
      </c>
      <c r="T799" s="3" t="s">
        <v>245</v>
      </c>
      <c r="U799" s="3"/>
      <c r="V799" s="3" t="s">
        <v>245</v>
      </c>
      <c r="W799" s="3"/>
      <c r="X799" s="5"/>
      <c r="Y799" s="5"/>
      <c r="Z799" s="5"/>
    </row>
    <row r="800" spans="1:26" x14ac:dyDescent="0.3">
      <c r="A800" s="3">
        <v>27</v>
      </c>
      <c r="B800" s="3" t="s">
        <v>1675</v>
      </c>
      <c r="C800" s="3" t="s">
        <v>245</v>
      </c>
      <c r="D800" s="3"/>
      <c r="E800" s="3" t="s">
        <v>245</v>
      </c>
      <c r="F800" s="3" t="s">
        <v>1630</v>
      </c>
      <c r="G800" s="3"/>
      <c r="H800" s="3">
        <v>4000</v>
      </c>
      <c r="I800" s="3">
        <v>0</v>
      </c>
      <c r="J800" s="3" t="s">
        <v>1676</v>
      </c>
      <c r="K800" s="3" t="s">
        <v>243</v>
      </c>
      <c r="L800" s="3" t="s">
        <v>1697</v>
      </c>
      <c r="M800" s="3"/>
      <c r="N800" s="4">
        <v>0</v>
      </c>
      <c r="O800" s="4">
        <v>35</v>
      </c>
      <c r="P800" s="4">
        <v>0</v>
      </c>
      <c r="Q800" s="4">
        <v>0</v>
      </c>
      <c r="R800" s="4">
        <v>0</v>
      </c>
      <c r="S800" s="3" t="s">
        <v>50</v>
      </c>
      <c r="T800" s="3" t="s">
        <v>245</v>
      </c>
      <c r="U800" s="3"/>
      <c r="V800" s="3" t="s">
        <v>245</v>
      </c>
      <c r="W800" s="3"/>
    </row>
    <row r="801" spans="1:26" s="29" customFormat="1" x14ac:dyDescent="0.3">
      <c r="A801" s="3">
        <v>27</v>
      </c>
      <c r="B801" s="3" t="s">
        <v>1675</v>
      </c>
      <c r="C801" s="3" t="s">
        <v>245</v>
      </c>
      <c r="D801" s="3"/>
      <c r="E801" s="3" t="s">
        <v>245</v>
      </c>
      <c r="F801" s="3" t="s">
        <v>1630</v>
      </c>
      <c r="G801" s="3"/>
      <c r="H801" s="3">
        <v>4000</v>
      </c>
      <c r="I801" s="3">
        <v>0</v>
      </c>
      <c r="J801" s="3" t="s">
        <v>1676</v>
      </c>
      <c r="K801" s="3" t="s">
        <v>243</v>
      </c>
      <c r="L801" s="3" t="s">
        <v>1698</v>
      </c>
      <c r="M801" s="3"/>
      <c r="N801" s="4">
        <v>230</v>
      </c>
      <c r="O801" s="4">
        <v>0</v>
      </c>
      <c r="P801" s="4">
        <v>0</v>
      </c>
      <c r="Q801" s="4">
        <v>0</v>
      </c>
      <c r="R801" s="4">
        <v>0</v>
      </c>
      <c r="S801" s="3" t="s">
        <v>50</v>
      </c>
      <c r="T801" s="3" t="s">
        <v>245</v>
      </c>
      <c r="U801" s="3"/>
      <c r="V801" s="3" t="s">
        <v>245</v>
      </c>
      <c r="W801" s="3" t="s">
        <v>1699</v>
      </c>
      <c r="X801" s="5"/>
      <c r="Y801" s="5"/>
      <c r="Z801" s="5"/>
    </row>
    <row r="802" spans="1:26" x14ac:dyDescent="0.3">
      <c r="A802" s="3">
        <v>27</v>
      </c>
      <c r="B802" s="3" t="s">
        <v>1675</v>
      </c>
      <c r="C802" s="3" t="s">
        <v>245</v>
      </c>
      <c r="D802" s="3"/>
      <c r="E802" s="3" t="s">
        <v>245</v>
      </c>
      <c r="F802" s="3" t="s">
        <v>1630</v>
      </c>
      <c r="G802" s="3"/>
      <c r="H802" s="3">
        <v>4000</v>
      </c>
      <c r="I802" s="3">
        <v>0</v>
      </c>
      <c r="J802" s="3" t="s">
        <v>1676</v>
      </c>
      <c r="K802" s="3" t="s">
        <v>243</v>
      </c>
      <c r="L802" s="3" t="s">
        <v>1700</v>
      </c>
      <c r="M802" s="3"/>
      <c r="N802" s="4">
        <v>2</v>
      </c>
      <c r="O802" s="4">
        <v>2</v>
      </c>
      <c r="P802" s="4">
        <v>0</v>
      </c>
      <c r="Q802" s="4">
        <v>0</v>
      </c>
      <c r="R802" s="4">
        <v>0</v>
      </c>
      <c r="S802" s="3" t="s">
        <v>50</v>
      </c>
      <c r="T802" s="3" t="s">
        <v>245</v>
      </c>
      <c r="U802" s="3"/>
      <c r="V802" s="3" t="s">
        <v>245</v>
      </c>
      <c r="W802" s="3" t="s">
        <v>1701</v>
      </c>
    </row>
    <row r="803" spans="1:26" x14ac:dyDescent="0.3">
      <c r="A803" s="3">
        <v>27</v>
      </c>
      <c r="B803" s="3" t="s">
        <v>1675</v>
      </c>
      <c r="C803" s="3" t="s">
        <v>245</v>
      </c>
      <c r="D803" s="3"/>
      <c r="E803" s="3" t="s">
        <v>245</v>
      </c>
      <c r="F803" s="3" t="s">
        <v>1630</v>
      </c>
      <c r="G803" s="3"/>
      <c r="H803" s="3">
        <v>4000</v>
      </c>
      <c r="I803" s="3">
        <v>0</v>
      </c>
      <c r="J803" s="3" t="s">
        <v>1676</v>
      </c>
      <c r="K803" s="3" t="s">
        <v>243</v>
      </c>
      <c r="L803" s="3" t="s">
        <v>1702</v>
      </c>
      <c r="M803" s="3"/>
      <c r="N803" s="4">
        <v>0</v>
      </c>
      <c r="O803" s="4">
        <v>6000</v>
      </c>
      <c r="P803" s="4">
        <v>6000</v>
      </c>
      <c r="Q803" s="4">
        <v>0</v>
      </c>
      <c r="R803" s="4">
        <v>0</v>
      </c>
      <c r="S803" s="3" t="s">
        <v>50</v>
      </c>
      <c r="T803" s="3" t="s">
        <v>245</v>
      </c>
      <c r="U803" s="3"/>
      <c r="V803" s="3" t="s">
        <v>245</v>
      </c>
      <c r="W803" s="3"/>
    </row>
    <row r="804" spans="1:26" s="29" customFormat="1" x14ac:dyDescent="0.3">
      <c r="A804" s="3">
        <v>27</v>
      </c>
      <c r="B804" s="3" t="s">
        <v>1675</v>
      </c>
      <c r="C804" s="3" t="s">
        <v>245</v>
      </c>
      <c r="D804" s="3"/>
      <c r="E804" s="3" t="s">
        <v>245</v>
      </c>
      <c r="F804" s="3" t="s">
        <v>1630</v>
      </c>
      <c r="G804" s="3"/>
      <c r="H804" s="3">
        <v>4000</v>
      </c>
      <c r="I804" s="3">
        <v>0</v>
      </c>
      <c r="J804" s="3" t="s">
        <v>1676</v>
      </c>
      <c r="K804" s="3" t="s">
        <v>243</v>
      </c>
      <c r="L804" s="3" t="s">
        <v>1703</v>
      </c>
      <c r="M804" s="3"/>
      <c r="N804" s="4">
        <v>150</v>
      </c>
      <c r="O804" s="4">
        <v>0</v>
      </c>
      <c r="P804" s="4">
        <v>150</v>
      </c>
      <c r="Q804" s="4">
        <v>0</v>
      </c>
      <c r="R804" s="4">
        <v>0</v>
      </c>
      <c r="S804" s="3" t="s">
        <v>50</v>
      </c>
      <c r="T804" s="3" t="s">
        <v>245</v>
      </c>
      <c r="U804" s="3"/>
      <c r="V804" s="3" t="s">
        <v>245</v>
      </c>
      <c r="W804" s="3"/>
      <c r="X804" s="5"/>
      <c r="Y804" s="5"/>
      <c r="Z804" s="5"/>
    </row>
    <row r="805" spans="1:26" x14ac:dyDescent="0.3">
      <c r="A805" s="3">
        <v>27</v>
      </c>
      <c r="B805" s="3" t="s">
        <v>1675</v>
      </c>
      <c r="C805" s="3" t="s">
        <v>245</v>
      </c>
      <c r="D805" s="3"/>
      <c r="E805" s="3" t="s">
        <v>245</v>
      </c>
      <c r="F805" s="3" t="s">
        <v>1630</v>
      </c>
      <c r="G805" s="3"/>
      <c r="H805" s="3">
        <v>4000</v>
      </c>
      <c r="I805" s="3">
        <v>0</v>
      </c>
      <c r="J805" s="3" t="s">
        <v>1676</v>
      </c>
      <c r="K805" s="3" t="s">
        <v>243</v>
      </c>
      <c r="L805" s="3" t="s">
        <v>1704</v>
      </c>
      <c r="M805" s="3"/>
      <c r="N805" s="4">
        <v>150</v>
      </c>
      <c r="O805" s="4">
        <v>150</v>
      </c>
      <c r="P805" s="4">
        <v>150</v>
      </c>
      <c r="Q805" s="4">
        <v>0</v>
      </c>
      <c r="R805" s="4">
        <v>0</v>
      </c>
      <c r="S805" s="3" t="s">
        <v>50</v>
      </c>
      <c r="T805" s="3" t="s">
        <v>245</v>
      </c>
      <c r="U805" s="3"/>
      <c r="V805" s="3" t="s">
        <v>245</v>
      </c>
      <c r="W805" s="3"/>
    </row>
    <row r="806" spans="1:26" x14ac:dyDescent="0.3">
      <c r="A806" s="3">
        <v>27</v>
      </c>
      <c r="B806" s="3" t="s">
        <v>1675</v>
      </c>
      <c r="C806" s="3" t="s">
        <v>245</v>
      </c>
      <c r="D806" s="3"/>
      <c r="E806" s="3" t="s">
        <v>245</v>
      </c>
      <c r="F806" s="3" t="s">
        <v>1630</v>
      </c>
      <c r="G806" s="3"/>
      <c r="H806" s="3">
        <v>4000</v>
      </c>
      <c r="I806" s="3">
        <v>0</v>
      </c>
      <c r="J806" s="3" t="s">
        <v>1676</v>
      </c>
      <c r="K806" s="3" t="s">
        <v>243</v>
      </c>
      <c r="L806" s="3" t="s">
        <v>1705</v>
      </c>
      <c r="M806" s="3"/>
      <c r="N806" s="4">
        <v>0</v>
      </c>
      <c r="O806" s="4">
        <v>0</v>
      </c>
      <c r="P806" s="4">
        <v>0</v>
      </c>
      <c r="Q806" s="4">
        <v>0</v>
      </c>
      <c r="R806" s="4">
        <v>0</v>
      </c>
      <c r="S806" s="3" t="s">
        <v>50</v>
      </c>
      <c r="T806" s="3" t="s">
        <v>245</v>
      </c>
      <c r="U806" s="3"/>
      <c r="V806" s="3" t="s">
        <v>245</v>
      </c>
      <c r="W806" s="3"/>
    </row>
    <row r="807" spans="1:26" x14ac:dyDescent="0.3">
      <c r="A807" s="3">
        <v>27</v>
      </c>
      <c r="B807" s="3" t="s">
        <v>1675</v>
      </c>
      <c r="C807" s="3" t="s">
        <v>245</v>
      </c>
      <c r="D807" s="3"/>
      <c r="E807" s="3" t="s">
        <v>245</v>
      </c>
      <c r="F807" s="3" t="s">
        <v>1630</v>
      </c>
      <c r="G807" s="3"/>
      <c r="H807" s="3">
        <v>4000</v>
      </c>
      <c r="I807" s="3">
        <v>0</v>
      </c>
      <c r="J807" s="3" t="s">
        <v>1676</v>
      </c>
      <c r="K807" s="3" t="s">
        <v>243</v>
      </c>
      <c r="L807" s="3" t="s">
        <v>1706</v>
      </c>
      <c r="M807" s="3"/>
      <c r="N807" s="4">
        <v>150</v>
      </c>
      <c r="O807" s="4">
        <v>0</v>
      </c>
      <c r="P807" s="4">
        <v>0</v>
      </c>
      <c r="Q807" s="4">
        <v>0</v>
      </c>
      <c r="R807" s="4">
        <v>0</v>
      </c>
      <c r="S807" s="3" t="s">
        <v>50</v>
      </c>
      <c r="T807" s="3" t="s">
        <v>245</v>
      </c>
      <c r="U807" s="3"/>
      <c r="V807" s="3" t="s">
        <v>245</v>
      </c>
      <c r="W807" s="3"/>
    </row>
    <row r="808" spans="1:26" x14ac:dyDescent="0.3">
      <c r="A808" s="3">
        <v>27</v>
      </c>
      <c r="B808" s="3" t="s">
        <v>1675</v>
      </c>
      <c r="C808" s="3" t="s">
        <v>245</v>
      </c>
      <c r="D808" s="3"/>
      <c r="E808" s="3" t="s">
        <v>245</v>
      </c>
      <c r="F808" s="3" t="s">
        <v>1630</v>
      </c>
      <c r="G808" s="3"/>
      <c r="H808" s="3">
        <v>4000</v>
      </c>
      <c r="I808" s="3">
        <v>0</v>
      </c>
      <c r="J808" s="3" t="s">
        <v>1707</v>
      </c>
      <c r="K808" s="3" t="s">
        <v>243</v>
      </c>
      <c r="L808" s="3" t="s">
        <v>1708</v>
      </c>
      <c r="M808" s="3"/>
      <c r="N808" s="128">
        <v>619</v>
      </c>
      <c r="O808" s="4">
        <v>0</v>
      </c>
      <c r="P808" s="4">
        <v>0</v>
      </c>
      <c r="Q808" s="4">
        <v>0</v>
      </c>
      <c r="R808" s="4">
        <v>0</v>
      </c>
      <c r="S808" s="3" t="s">
        <v>568</v>
      </c>
      <c r="T808" s="3" t="s">
        <v>245</v>
      </c>
      <c r="U808" s="3"/>
      <c r="V808" s="3" t="s">
        <v>245</v>
      </c>
      <c r="W808" s="3"/>
    </row>
    <row r="809" spans="1:26" x14ac:dyDescent="0.3">
      <c r="A809" s="3">
        <v>27</v>
      </c>
      <c r="B809" s="3" t="s">
        <v>1675</v>
      </c>
      <c r="C809" s="3" t="s">
        <v>245</v>
      </c>
      <c r="D809" s="3"/>
      <c r="E809" s="3" t="s">
        <v>245</v>
      </c>
      <c r="F809" s="3" t="s">
        <v>1630</v>
      </c>
      <c r="G809" s="3"/>
      <c r="H809" s="3">
        <v>4000</v>
      </c>
      <c r="I809" s="3">
        <v>0</v>
      </c>
      <c r="J809" s="3" t="s">
        <v>1707</v>
      </c>
      <c r="K809" s="3" t="s">
        <v>243</v>
      </c>
      <c r="L809" s="3" t="s">
        <v>1709</v>
      </c>
      <c r="M809" s="3"/>
      <c r="N809" s="128">
        <v>100</v>
      </c>
      <c r="O809" s="4"/>
      <c r="P809" s="4"/>
      <c r="Q809" s="4"/>
      <c r="R809" s="4"/>
      <c r="S809" s="3"/>
      <c r="T809" s="3"/>
      <c r="U809" s="3"/>
      <c r="V809" s="3"/>
      <c r="W809" s="3"/>
    </row>
    <row r="810" spans="1:26" x14ac:dyDescent="0.3">
      <c r="A810" s="3">
        <v>27</v>
      </c>
      <c r="B810" s="3" t="s">
        <v>1675</v>
      </c>
      <c r="C810" s="3" t="s">
        <v>245</v>
      </c>
      <c r="D810" s="3"/>
      <c r="E810" s="3" t="s">
        <v>245</v>
      </c>
      <c r="F810" s="3" t="s">
        <v>1630</v>
      </c>
      <c r="G810" s="3"/>
      <c r="H810" s="3">
        <v>3030</v>
      </c>
      <c r="I810" s="3">
        <v>0</v>
      </c>
      <c r="J810" s="3" t="s">
        <v>1676</v>
      </c>
      <c r="K810" s="3" t="s">
        <v>243</v>
      </c>
      <c r="L810" s="3" t="s">
        <v>1710</v>
      </c>
      <c r="M810" s="3"/>
      <c r="N810" s="4">
        <v>50</v>
      </c>
      <c r="O810" s="4">
        <v>50</v>
      </c>
      <c r="P810" s="4">
        <v>0</v>
      </c>
      <c r="Q810" s="4">
        <v>0</v>
      </c>
      <c r="R810" s="4">
        <v>0</v>
      </c>
      <c r="S810" s="3" t="s">
        <v>50</v>
      </c>
      <c r="T810" s="3" t="s">
        <v>245</v>
      </c>
      <c r="U810" s="3"/>
      <c r="V810" s="3" t="s">
        <v>245</v>
      </c>
      <c r="W810" s="3"/>
    </row>
    <row r="811" spans="1:26" x14ac:dyDescent="0.3">
      <c r="A811" s="3">
        <v>27</v>
      </c>
      <c r="B811" s="3" t="s">
        <v>1675</v>
      </c>
      <c r="C811" s="3" t="s">
        <v>245</v>
      </c>
      <c r="D811" s="3"/>
      <c r="E811" s="3" t="s">
        <v>245</v>
      </c>
      <c r="F811" s="3" t="s">
        <v>1630</v>
      </c>
      <c r="G811" s="3"/>
      <c r="H811" s="3">
        <v>4000</v>
      </c>
      <c r="I811" s="3">
        <v>0</v>
      </c>
      <c r="J811" s="3" t="s">
        <v>1676</v>
      </c>
      <c r="K811" s="3" t="s">
        <v>243</v>
      </c>
      <c r="L811" s="3" t="s">
        <v>1711</v>
      </c>
      <c r="M811" s="3"/>
      <c r="N811" s="4">
        <v>7082</v>
      </c>
      <c r="O811" s="4">
        <v>5497</v>
      </c>
      <c r="P811" s="4">
        <v>3256</v>
      </c>
      <c r="Q811" s="4">
        <v>0</v>
      </c>
      <c r="R811" s="4">
        <v>0</v>
      </c>
      <c r="S811" s="3" t="s">
        <v>267</v>
      </c>
      <c r="T811" s="3" t="s">
        <v>1712</v>
      </c>
      <c r="U811" s="3" t="s">
        <v>1713</v>
      </c>
      <c r="V811" s="3" t="s">
        <v>1714</v>
      </c>
      <c r="W811" s="3" t="s">
        <v>1715</v>
      </c>
    </row>
    <row r="812" spans="1:26" x14ac:dyDescent="0.3">
      <c r="A812" s="3">
        <v>27</v>
      </c>
      <c r="B812" s="3" t="s">
        <v>1675</v>
      </c>
      <c r="C812" s="3" t="s">
        <v>245</v>
      </c>
      <c r="D812" s="3"/>
      <c r="E812" s="3" t="s">
        <v>245</v>
      </c>
      <c r="F812" s="3" t="s">
        <v>1630</v>
      </c>
      <c r="G812" s="3"/>
      <c r="H812" s="3">
        <v>4000</v>
      </c>
      <c r="I812" s="3">
        <v>0</v>
      </c>
      <c r="J812" s="3" t="s">
        <v>1676</v>
      </c>
      <c r="K812" s="3" t="s">
        <v>243</v>
      </c>
      <c r="L812" s="3" t="s">
        <v>1716</v>
      </c>
      <c r="M812" s="3" t="s">
        <v>1717</v>
      </c>
      <c r="N812" s="4">
        <v>5</v>
      </c>
      <c r="O812" s="4">
        <v>5</v>
      </c>
      <c r="P812" s="4">
        <v>5</v>
      </c>
      <c r="Q812" s="4">
        <v>0</v>
      </c>
      <c r="R812" s="4">
        <v>0</v>
      </c>
      <c r="S812" s="3" t="s">
        <v>50</v>
      </c>
      <c r="T812" s="3" t="s">
        <v>245</v>
      </c>
      <c r="U812" s="3"/>
      <c r="V812" s="3" t="s">
        <v>245</v>
      </c>
      <c r="W812" s="3"/>
    </row>
    <row r="813" spans="1:26" x14ac:dyDescent="0.3">
      <c r="A813" s="3">
        <v>27</v>
      </c>
      <c r="B813" s="3" t="s">
        <v>1675</v>
      </c>
      <c r="C813" s="3" t="s">
        <v>245</v>
      </c>
      <c r="D813" s="3"/>
      <c r="E813" s="3" t="s">
        <v>245</v>
      </c>
      <c r="F813" s="3" t="s">
        <v>1630</v>
      </c>
      <c r="G813" s="3"/>
      <c r="H813" s="3">
        <v>4000</v>
      </c>
      <c r="I813" s="3">
        <v>0</v>
      </c>
      <c r="J813" s="3" t="s">
        <v>1676</v>
      </c>
      <c r="K813" s="3" t="s">
        <v>243</v>
      </c>
      <c r="L813" s="3" t="s">
        <v>1718</v>
      </c>
      <c r="M813" s="3" t="s">
        <v>1719</v>
      </c>
      <c r="N813" s="4">
        <v>0</v>
      </c>
      <c r="O813" s="4">
        <v>0</v>
      </c>
      <c r="P813" s="4">
        <v>0</v>
      </c>
      <c r="Q813" s="4">
        <v>0</v>
      </c>
      <c r="R813" s="4">
        <v>0</v>
      </c>
      <c r="S813" s="3" t="s">
        <v>50</v>
      </c>
      <c r="T813" s="3" t="s">
        <v>245</v>
      </c>
      <c r="U813" s="3"/>
      <c r="V813" s="3" t="s">
        <v>245</v>
      </c>
      <c r="W813" s="3"/>
    </row>
    <row r="814" spans="1:26" x14ac:dyDescent="0.3">
      <c r="A814" s="3">
        <v>27</v>
      </c>
      <c r="B814" s="3" t="s">
        <v>1675</v>
      </c>
      <c r="C814" s="3" t="s">
        <v>245</v>
      </c>
      <c r="D814" s="3"/>
      <c r="E814" s="3" t="s">
        <v>245</v>
      </c>
      <c r="F814" s="3" t="s">
        <v>1630</v>
      </c>
      <c r="G814" s="3"/>
      <c r="H814" s="3">
        <v>4000</v>
      </c>
      <c r="I814" s="3">
        <v>0</v>
      </c>
      <c r="J814" s="3" t="s">
        <v>1676</v>
      </c>
      <c r="K814" s="3" t="s">
        <v>243</v>
      </c>
      <c r="L814" s="6" t="s">
        <v>1720</v>
      </c>
      <c r="M814" s="3" t="s">
        <v>1721</v>
      </c>
      <c r="N814" s="4">
        <v>0</v>
      </c>
      <c r="O814" s="4">
        <v>0</v>
      </c>
      <c r="P814" s="4">
        <v>0</v>
      </c>
      <c r="Q814" s="4">
        <v>0</v>
      </c>
      <c r="R814" s="4">
        <v>0</v>
      </c>
      <c r="S814" s="3" t="s">
        <v>568</v>
      </c>
      <c r="T814" s="3" t="s">
        <v>245</v>
      </c>
      <c r="U814" s="3"/>
      <c r="V814" s="3" t="s">
        <v>245</v>
      </c>
      <c r="W814" s="3"/>
    </row>
    <row r="815" spans="1:26" x14ac:dyDescent="0.3">
      <c r="A815" s="3">
        <v>27</v>
      </c>
      <c r="B815" s="3" t="s">
        <v>1675</v>
      </c>
      <c r="C815" s="3" t="s">
        <v>245</v>
      </c>
      <c r="D815" s="3"/>
      <c r="E815" s="3" t="s">
        <v>245</v>
      </c>
      <c r="F815" s="3" t="s">
        <v>1630</v>
      </c>
      <c r="G815" s="3"/>
      <c r="H815" s="3">
        <v>4000</v>
      </c>
      <c r="I815" s="3">
        <v>0</v>
      </c>
      <c r="J815" s="3" t="s">
        <v>1676</v>
      </c>
      <c r="K815" s="3" t="s">
        <v>243</v>
      </c>
      <c r="L815" s="6" t="s">
        <v>1722</v>
      </c>
      <c r="M815" s="3" t="s">
        <v>1723</v>
      </c>
      <c r="N815" s="4">
        <v>424</v>
      </c>
      <c r="O815" s="4">
        <v>0</v>
      </c>
      <c r="P815" s="4">
        <v>0</v>
      </c>
      <c r="Q815" s="4">
        <v>0</v>
      </c>
      <c r="R815" s="4">
        <v>0</v>
      </c>
      <c r="S815" s="3" t="s">
        <v>568</v>
      </c>
      <c r="T815" s="3" t="s">
        <v>245</v>
      </c>
      <c r="U815" s="3"/>
      <c r="V815" s="3" t="s">
        <v>245</v>
      </c>
      <c r="W815" s="3"/>
    </row>
    <row r="816" spans="1:26" x14ac:dyDescent="0.3">
      <c r="A816" s="3">
        <v>27</v>
      </c>
      <c r="B816" s="3" t="s">
        <v>1675</v>
      </c>
      <c r="C816" s="3" t="s">
        <v>245</v>
      </c>
      <c r="D816" s="3"/>
      <c r="E816" s="3" t="s">
        <v>245</v>
      </c>
      <c r="F816" s="3" t="s">
        <v>1630</v>
      </c>
      <c r="G816" s="3"/>
      <c r="H816" s="3">
        <v>4420</v>
      </c>
      <c r="I816" s="3">
        <v>0</v>
      </c>
      <c r="J816" s="3" t="s">
        <v>1676</v>
      </c>
      <c r="K816" s="3" t="s">
        <v>243</v>
      </c>
      <c r="L816" s="6" t="s">
        <v>1724</v>
      </c>
      <c r="M816" s="3" t="s">
        <v>1725</v>
      </c>
      <c r="N816" s="4">
        <v>94</v>
      </c>
      <c r="O816" s="4">
        <v>0</v>
      </c>
      <c r="P816" s="4">
        <v>0</v>
      </c>
      <c r="Q816" s="4">
        <v>0</v>
      </c>
      <c r="R816" s="4">
        <v>0</v>
      </c>
      <c r="S816" s="3" t="s">
        <v>568</v>
      </c>
      <c r="T816" s="3" t="s">
        <v>245</v>
      </c>
      <c r="U816" s="3"/>
      <c r="V816" s="3" t="s">
        <v>245</v>
      </c>
      <c r="W816" s="3"/>
    </row>
    <row r="817" spans="1:26" x14ac:dyDescent="0.3">
      <c r="A817" s="3">
        <v>27</v>
      </c>
      <c r="B817" s="3" t="s">
        <v>1675</v>
      </c>
      <c r="C817" s="3" t="s">
        <v>245</v>
      </c>
      <c r="D817" s="3"/>
      <c r="E817" s="3" t="s">
        <v>245</v>
      </c>
      <c r="F817" s="3" t="s">
        <v>1630</v>
      </c>
      <c r="G817" s="3"/>
      <c r="H817" s="3">
        <v>4120</v>
      </c>
      <c r="I817" s="3">
        <v>0</v>
      </c>
      <c r="J817" s="3" t="s">
        <v>1676</v>
      </c>
      <c r="K817" s="3" t="s">
        <v>243</v>
      </c>
      <c r="L817" s="6" t="s">
        <v>1726</v>
      </c>
      <c r="M817" s="3" t="s">
        <v>1725</v>
      </c>
      <c r="N817" s="4"/>
      <c r="O817" s="4"/>
      <c r="P817" s="4"/>
      <c r="Q817" s="4"/>
      <c r="R817" s="4"/>
      <c r="S817" s="3" t="s">
        <v>568</v>
      </c>
      <c r="T817" s="3" t="s">
        <v>245</v>
      </c>
      <c r="U817" s="3"/>
      <c r="V817" s="3" t="s">
        <v>245</v>
      </c>
      <c r="W817" s="6" t="s">
        <v>1727</v>
      </c>
    </row>
    <row r="818" spans="1:26" x14ac:dyDescent="0.3">
      <c r="A818" s="3">
        <v>27</v>
      </c>
      <c r="B818" s="3" t="s">
        <v>1675</v>
      </c>
      <c r="C818" s="3" t="s">
        <v>245</v>
      </c>
      <c r="D818" s="3"/>
      <c r="E818" s="3" t="s">
        <v>245</v>
      </c>
      <c r="F818" s="3" t="s">
        <v>1630</v>
      </c>
      <c r="G818" s="3"/>
      <c r="H818" s="3">
        <v>4010</v>
      </c>
      <c r="I818" s="3">
        <v>0</v>
      </c>
      <c r="J818" s="3" t="s">
        <v>1676</v>
      </c>
      <c r="K818" s="3" t="s">
        <v>243</v>
      </c>
      <c r="L818" s="6" t="s">
        <v>1726</v>
      </c>
      <c r="M818" s="3" t="s">
        <v>1728</v>
      </c>
      <c r="N818" s="4"/>
      <c r="O818" s="4"/>
      <c r="P818" s="4"/>
      <c r="Q818" s="4"/>
      <c r="R818" s="4"/>
      <c r="S818" s="3" t="s">
        <v>568</v>
      </c>
      <c r="T818" s="3" t="s">
        <v>245</v>
      </c>
      <c r="U818" s="3"/>
      <c r="V818" s="3" t="s">
        <v>245</v>
      </c>
      <c r="W818" s="6" t="s">
        <v>1727</v>
      </c>
    </row>
    <row r="819" spans="1:26" x14ac:dyDescent="0.3">
      <c r="A819" s="3">
        <v>27</v>
      </c>
      <c r="B819" s="3" t="s">
        <v>1675</v>
      </c>
      <c r="C819" s="3" t="s">
        <v>245</v>
      </c>
      <c r="D819" s="3"/>
      <c r="E819" s="3" t="s">
        <v>245</v>
      </c>
      <c r="F819" s="3" t="s">
        <v>1630</v>
      </c>
      <c r="G819" s="3"/>
      <c r="H819" s="3">
        <v>4040</v>
      </c>
      <c r="I819" s="3">
        <v>0</v>
      </c>
      <c r="J819" s="3" t="s">
        <v>1676</v>
      </c>
      <c r="K819" s="3" t="s">
        <v>243</v>
      </c>
      <c r="L819" s="6" t="s">
        <v>1726</v>
      </c>
      <c r="M819" s="3" t="s">
        <v>1729</v>
      </c>
      <c r="N819" s="4"/>
      <c r="O819" s="4"/>
      <c r="P819" s="4"/>
      <c r="Q819" s="4"/>
      <c r="R819" s="4"/>
      <c r="S819" s="3" t="s">
        <v>568</v>
      </c>
      <c r="T819" s="3" t="s">
        <v>245</v>
      </c>
      <c r="U819" s="3"/>
      <c r="V819" s="3" t="s">
        <v>245</v>
      </c>
      <c r="W819" s="6" t="s">
        <v>1727</v>
      </c>
    </row>
    <row r="820" spans="1:26" x14ac:dyDescent="0.3">
      <c r="A820" s="3">
        <v>27</v>
      </c>
      <c r="B820" s="3" t="s">
        <v>1675</v>
      </c>
      <c r="C820" s="3" t="s">
        <v>245</v>
      </c>
      <c r="D820" s="3"/>
      <c r="E820" s="3" t="s">
        <v>245</v>
      </c>
      <c r="F820" s="3" t="s">
        <v>1630</v>
      </c>
      <c r="G820" s="3"/>
      <c r="H820" s="9">
        <v>4430</v>
      </c>
      <c r="I820" s="3">
        <v>0</v>
      </c>
      <c r="J820" s="3" t="s">
        <v>1676</v>
      </c>
      <c r="K820" s="3" t="s">
        <v>243</v>
      </c>
      <c r="L820" s="3" t="s">
        <v>1730</v>
      </c>
      <c r="M820" s="3"/>
      <c r="N820" s="4">
        <v>25</v>
      </c>
      <c r="O820" s="4">
        <v>25</v>
      </c>
      <c r="P820" s="4">
        <v>0</v>
      </c>
      <c r="Q820" s="4">
        <v>0</v>
      </c>
      <c r="R820" s="4">
        <v>0</v>
      </c>
      <c r="S820" s="3" t="s">
        <v>50</v>
      </c>
      <c r="T820" s="3" t="s">
        <v>245</v>
      </c>
      <c r="U820" s="3"/>
      <c r="V820" s="3" t="s">
        <v>245</v>
      </c>
      <c r="W820" s="3" t="s">
        <v>1731</v>
      </c>
    </row>
    <row r="821" spans="1:26" x14ac:dyDescent="0.3">
      <c r="A821" s="3">
        <v>27</v>
      </c>
      <c r="B821" s="3" t="s">
        <v>1675</v>
      </c>
      <c r="C821" s="3" t="s">
        <v>245</v>
      </c>
      <c r="D821" s="3"/>
      <c r="E821" s="3" t="s">
        <v>245</v>
      </c>
      <c r="F821" s="3" t="s">
        <v>1630</v>
      </c>
      <c r="G821" s="3"/>
      <c r="H821" s="9">
        <v>4430</v>
      </c>
      <c r="I821" s="3">
        <v>0</v>
      </c>
      <c r="J821" s="3" t="s">
        <v>1676</v>
      </c>
      <c r="K821" s="3" t="s">
        <v>243</v>
      </c>
      <c r="L821" s="3" t="s">
        <v>1732</v>
      </c>
      <c r="M821" s="3"/>
      <c r="N821" s="4">
        <v>25</v>
      </c>
      <c r="O821" s="4">
        <v>1900</v>
      </c>
      <c r="P821" s="4">
        <v>0</v>
      </c>
      <c r="Q821" s="4">
        <v>0</v>
      </c>
      <c r="R821" s="4">
        <v>0</v>
      </c>
      <c r="S821" s="3" t="s">
        <v>50</v>
      </c>
      <c r="T821" s="3" t="s">
        <v>245</v>
      </c>
      <c r="U821" s="3"/>
      <c r="V821" s="3" t="s">
        <v>245</v>
      </c>
      <c r="W821" s="3" t="s">
        <v>1733</v>
      </c>
    </row>
    <row r="822" spans="1:26" x14ac:dyDescent="0.3">
      <c r="A822" s="3">
        <v>27</v>
      </c>
      <c r="B822" s="3" t="s">
        <v>1675</v>
      </c>
      <c r="C822" s="3" t="s">
        <v>245</v>
      </c>
      <c r="D822" s="3"/>
      <c r="E822" s="3" t="s">
        <v>245</v>
      </c>
      <c r="F822" s="3" t="s">
        <v>1630</v>
      </c>
      <c r="G822" s="3"/>
      <c r="H822" s="3">
        <v>4420</v>
      </c>
      <c r="I822" s="3">
        <v>0</v>
      </c>
      <c r="J822" s="3" t="s">
        <v>1676</v>
      </c>
      <c r="K822" s="3" t="s">
        <v>243</v>
      </c>
      <c r="L822" s="9" t="s">
        <v>1734</v>
      </c>
      <c r="M822" s="3" t="s">
        <v>1735</v>
      </c>
      <c r="N822" s="4"/>
      <c r="O822" s="4"/>
      <c r="P822" s="4">
        <v>0</v>
      </c>
      <c r="Q822" s="4">
        <v>0</v>
      </c>
      <c r="R822" s="4">
        <v>0</v>
      </c>
      <c r="S822" s="3" t="s">
        <v>50</v>
      </c>
      <c r="T822" s="3" t="s">
        <v>245</v>
      </c>
      <c r="U822" s="3"/>
      <c r="V822" s="3" t="s">
        <v>245</v>
      </c>
      <c r="W822" s="6" t="s">
        <v>1736</v>
      </c>
    </row>
    <row r="823" spans="1:26" x14ac:dyDescent="0.3">
      <c r="A823" s="3">
        <v>27</v>
      </c>
      <c r="B823" s="3" t="s">
        <v>1675</v>
      </c>
      <c r="C823" s="3" t="s">
        <v>245</v>
      </c>
      <c r="D823" s="3"/>
      <c r="E823" s="3" t="s">
        <v>245</v>
      </c>
      <c r="F823" s="3" t="s">
        <v>1630</v>
      </c>
      <c r="G823" s="3"/>
      <c r="H823" s="3">
        <v>4420</v>
      </c>
      <c r="I823" s="3">
        <v>0</v>
      </c>
      <c r="J823" s="3" t="s">
        <v>1676</v>
      </c>
      <c r="K823" s="3" t="s">
        <v>243</v>
      </c>
      <c r="L823" s="9" t="s">
        <v>1734</v>
      </c>
      <c r="M823" s="3" t="s">
        <v>1737</v>
      </c>
      <c r="N823" s="4"/>
      <c r="O823" s="4"/>
      <c r="P823" s="4">
        <v>0</v>
      </c>
      <c r="Q823" s="4">
        <v>0</v>
      </c>
      <c r="R823" s="4">
        <v>0</v>
      </c>
      <c r="S823" s="3" t="s">
        <v>50</v>
      </c>
      <c r="T823" s="3" t="s">
        <v>245</v>
      </c>
      <c r="U823" s="3"/>
      <c r="V823" s="3" t="s">
        <v>245</v>
      </c>
      <c r="W823" s="6" t="s">
        <v>1736</v>
      </c>
    </row>
    <row r="824" spans="1:26" x14ac:dyDescent="0.3">
      <c r="A824" s="3">
        <v>27</v>
      </c>
      <c r="B824" s="3" t="s">
        <v>1675</v>
      </c>
      <c r="C824" s="3" t="s">
        <v>245</v>
      </c>
      <c r="D824" s="3"/>
      <c r="E824" s="3" t="s">
        <v>245</v>
      </c>
      <c r="F824" s="3" t="s">
        <v>1630</v>
      </c>
      <c r="G824" s="3"/>
      <c r="H824" s="9">
        <v>4430</v>
      </c>
      <c r="I824" s="3">
        <v>0</v>
      </c>
      <c r="J824" s="3" t="s">
        <v>1676</v>
      </c>
      <c r="K824" s="3" t="s">
        <v>243</v>
      </c>
      <c r="L824" s="3" t="s">
        <v>1738</v>
      </c>
      <c r="M824" s="3"/>
      <c r="N824" s="4">
        <v>2</v>
      </c>
      <c r="O824" s="4">
        <v>2</v>
      </c>
      <c r="P824" s="4">
        <v>2</v>
      </c>
      <c r="Q824" s="4">
        <v>0</v>
      </c>
      <c r="R824" s="4"/>
      <c r="S824" s="3" t="s">
        <v>50</v>
      </c>
      <c r="T824" s="3" t="s">
        <v>245</v>
      </c>
      <c r="U824" s="3" t="s">
        <v>245</v>
      </c>
      <c r="V824" s="3" t="s">
        <v>245</v>
      </c>
      <c r="W824" s="3" t="s">
        <v>1739</v>
      </c>
    </row>
    <row r="825" spans="1:26" x14ac:dyDescent="0.3">
      <c r="A825" s="3">
        <v>27</v>
      </c>
      <c r="B825" s="3" t="s">
        <v>1675</v>
      </c>
      <c r="C825" s="3" t="s">
        <v>245</v>
      </c>
      <c r="D825" s="3"/>
      <c r="E825" s="3" t="s">
        <v>245</v>
      </c>
      <c r="F825" s="3" t="s">
        <v>1630</v>
      </c>
      <c r="G825" s="3"/>
      <c r="H825" s="3">
        <v>4000</v>
      </c>
      <c r="I825" s="3">
        <v>0</v>
      </c>
      <c r="J825" s="3" t="s">
        <v>1676</v>
      </c>
      <c r="K825" s="3" t="s">
        <v>243</v>
      </c>
      <c r="L825" s="6" t="s">
        <v>1740</v>
      </c>
      <c r="M825" s="3"/>
      <c r="N825" s="4"/>
      <c r="O825" s="4">
        <v>0</v>
      </c>
      <c r="P825" s="4">
        <v>0</v>
      </c>
      <c r="Q825" s="4">
        <v>0</v>
      </c>
      <c r="R825" s="4">
        <v>0</v>
      </c>
      <c r="S825" s="3" t="s">
        <v>50</v>
      </c>
      <c r="T825" s="3" t="s">
        <v>245</v>
      </c>
      <c r="U825" s="3"/>
      <c r="V825" s="3" t="s">
        <v>245</v>
      </c>
      <c r="W825" s="6" t="s">
        <v>1736</v>
      </c>
    </row>
    <row r="826" spans="1:26" x14ac:dyDescent="0.3">
      <c r="A826" s="3">
        <v>27</v>
      </c>
      <c r="B826" s="3" t="s">
        <v>1675</v>
      </c>
      <c r="C826" s="3" t="s">
        <v>245</v>
      </c>
      <c r="D826" s="3"/>
      <c r="E826" s="3" t="s">
        <v>245</v>
      </c>
      <c r="F826" s="3" t="s">
        <v>1630</v>
      </c>
      <c r="G826" s="3"/>
      <c r="H826" s="3">
        <v>4410</v>
      </c>
      <c r="I826" s="3">
        <v>0</v>
      </c>
      <c r="J826" s="3" t="s">
        <v>1676</v>
      </c>
      <c r="K826" s="3" t="s">
        <v>243</v>
      </c>
      <c r="L826" s="9" t="s">
        <v>1741</v>
      </c>
      <c r="M826" s="3"/>
      <c r="N826" s="4"/>
      <c r="O826" s="4"/>
      <c r="P826" s="4"/>
      <c r="Q826" s="4"/>
      <c r="R826" s="4">
        <v>0</v>
      </c>
      <c r="S826" s="3" t="s">
        <v>50</v>
      </c>
      <c r="T826" s="3" t="s">
        <v>245</v>
      </c>
      <c r="U826" s="3"/>
      <c r="V826" s="3" t="s">
        <v>245</v>
      </c>
      <c r="W826" s="6" t="s">
        <v>1736</v>
      </c>
    </row>
    <row r="827" spans="1:26" x14ac:dyDescent="0.3">
      <c r="A827" s="3">
        <v>27</v>
      </c>
      <c r="B827" s="3" t="s">
        <v>1675</v>
      </c>
      <c r="C827" s="3" t="s">
        <v>245</v>
      </c>
      <c r="D827" s="3"/>
      <c r="E827" s="3" t="s">
        <v>245</v>
      </c>
      <c r="F827" s="3" t="s">
        <v>1630</v>
      </c>
      <c r="G827" s="3"/>
      <c r="H827" s="3">
        <v>4420</v>
      </c>
      <c r="I827" s="3">
        <v>0</v>
      </c>
      <c r="J827" s="3" t="s">
        <v>1676</v>
      </c>
      <c r="K827" s="3" t="s">
        <v>243</v>
      </c>
      <c r="L827" s="9" t="s">
        <v>1742</v>
      </c>
      <c r="M827" s="3"/>
      <c r="N827" s="4"/>
      <c r="O827" s="4"/>
      <c r="P827" s="4"/>
      <c r="Q827" s="4"/>
      <c r="R827" s="4">
        <v>0</v>
      </c>
      <c r="S827" s="3" t="s">
        <v>50</v>
      </c>
      <c r="T827" s="3" t="s">
        <v>245</v>
      </c>
      <c r="U827" s="3"/>
      <c r="V827" s="3" t="s">
        <v>245</v>
      </c>
      <c r="W827" s="6" t="s">
        <v>1736</v>
      </c>
    </row>
    <row r="828" spans="1:26" x14ac:dyDescent="0.3">
      <c r="A828" s="3">
        <v>43</v>
      </c>
      <c r="B828" s="3" t="s">
        <v>1243</v>
      </c>
      <c r="C828" s="3" t="s">
        <v>1268</v>
      </c>
      <c r="D828" s="3" t="s">
        <v>1743</v>
      </c>
      <c r="E828" s="3" t="s">
        <v>1573</v>
      </c>
      <c r="F828" s="3" t="s">
        <v>458</v>
      </c>
      <c r="G828" s="3" t="s">
        <v>1744</v>
      </c>
      <c r="H828" s="3">
        <v>4000</v>
      </c>
      <c r="I828" s="3">
        <v>0</v>
      </c>
      <c r="J828" s="3" t="s">
        <v>1110</v>
      </c>
      <c r="K828" s="3" t="s">
        <v>243</v>
      </c>
      <c r="L828" s="3" t="s">
        <v>1745</v>
      </c>
      <c r="M828" s="3" t="s">
        <v>1745</v>
      </c>
      <c r="N828" s="22">
        <v>21000</v>
      </c>
      <c r="O828" s="22">
        <v>3000</v>
      </c>
      <c r="P828" s="22">
        <v>3000</v>
      </c>
      <c r="Q828" s="22">
        <v>0</v>
      </c>
      <c r="R828" s="22">
        <v>0</v>
      </c>
      <c r="S828" s="22" t="s">
        <v>24</v>
      </c>
      <c r="T828" s="22" t="s">
        <v>24</v>
      </c>
      <c r="U828" s="22"/>
      <c r="V828" s="22" t="s">
        <v>1746</v>
      </c>
      <c r="W828" s="3" t="s">
        <v>1747</v>
      </c>
      <c r="X828" s="5" t="s">
        <v>1249</v>
      </c>
      <c r="Y828" s="28">
        <f>N828-Z828</f>
        <v>18000</v>
      </c>
      <c r="Z828" s="5">
        <v>3000</v>
      </c>
    </row>
    <row r="829" spans="1:26" x14ac:dyDescent="0.3">
      <c r="A829" s="129">
        <v>75212</v>
      </c>
      <c r="B829" s="16" t="s">
        <v>729</v>
      </c>
      <c r="C829" s="16" t="s">
        <v>26</v>
      </c>
      <c r="D829" s="16" t="s">
        <v>26</v>
      </c>
      <c r="E829" s="16" t="s">
        <v>26</v>
      </c>
      <c r="F829" s="16" t="s">
        <v>26</v>
      </c>
      <c r="G829" s="16" t="s">
        <v>26</v>
      </c>
      <c r="H829" s="130">
        <v>4000</v>
      </c>
      <c r="I829" s="16">
        <v>0</v>
      </c>
      <c r="J829" s="40" t="s">
        <v>1748</v>
      </c>
      <c r="K829" s="16" t="s">
        <v>243</v>
      </c>
      <c r="L829" s="16" t="s">
        <v>1749</v>
      </c>
      <c r="M829" s="16" t="s">
        <v>1750</v>
      </c>
      <c r="N829" s="41">
        <v>190</v>
      </c>
      <c r="O829" s="41">
        <v>0</v>
      </c>
      <c r="P829" s="41">
        <v>0</v>
      </c>
      <c r="Q829" s="41">
        <v>0</v>
      </c>
      <c r="R829" s="41">
        <v>0</v>
      </c>
      <c r="S829" s="16" t="s">
        <v>1751</v>
      </c>
      <c r="T829" s="15" t="s">
        <v>26</v>
      </c>
      <c r="U829" s="16"/>
      <c r="V829" s="16" t="s">
        <v>26</v>
      </c>
      <c r="W829" s="15"/>
      <c r="X829" s="131"/>
      <c r="Y829" s="43" t="s">
        <v>831</v>
      </c>
      <c r="Z829" s="44" t="s">
        <v>750</v>
      </c>
    </row>
    <row r="830" spans="1:26" x14ac:dyDescent="0.3">
      <c r="A830" s="129">
        <v>75212</v>
      </c>
      <c r="B830" s="16" t="s">
        <v>729</v>
      </c>
      <c r="C830" s="16" t="s">
        <v>26</v>
      </c>
      <c r="D830" s="16" t="s">
        <v>26</v>
      </c>
      <c r="E830" s="16" t="s">
        <v>26</v>
      </c>
      <c r="F830" s="16" t="s">
        <v>26</v>
      </c>
      <c r="G830" s="16" t="s">
        <v>26</v>
      </c>
      <c r="H830" s="16">
        <v>4550</v>
      </c>
      <c r="I830" s="16">
        <v>0</v>
      </c>
      <c r="J830" s="40" t="s">
        <v>1752</v>
      </c>
      <c r="K830" s="16" t="s">
        <v>243</v>
      </c>
      <c r="L830" s="16" t="s">
        <v>1753</v>
      </c>
      <c r="M830" s="16" t="s">
        <v>1750</v>
      </c>
      <c r="N830" s="41">
        <v>55</v>
      </c>
      <c r="O830" s="41">
        <v>40</v>
      </c>
      <c r="P830" s="41">
        <v>40</v>
      </c>
      <c r="Q830" s="132">
        <v>42</v>
      </c>
      <c r="R830" s="41">
        <v>0</v>
      </c>
      <c r="S830" s="16" t="s">
        <v>1751</v>
      </c>
      <c r="T830" s="15" t="s">
        <v>26</v>
      </c>
      <c r="U830" s="16"/>
      <c r="V830" s="16" t="s">
        <v>26</v>
      </c>
      <c r="W830" s="15"/>
      <c r="X830" s="131"/>
      <c r="Y830" s="43" t="s">
        <v>831</v>
      </c>
      <c r="Z830" s="44" t="s">
        <v>750</v>
      </c>
    </row>
    <row r="831" spans="1:26" x14ac:dyDescent="0.3">
      <c r="A831" s="129">
        <v>75212</v>
      </c>
      <c r="B831" s="16" t="s">
        <v>729</v>
      </c>
      <c r="C831" s="16" t="s">
        <v>26</v>
      </c>
      <c r="D831" s="16" t="s">
        <v>26</v>
      </c>
      <c r="E831" s="16" t="s">
        <v>26</v>
      </c>
      <c r="F831" s="16" t="s">
        <v>26</v>
      </c>
      <c r="G831" s="16" t="s">
        <v>1754</v>
      </c>
      <c r="H831" s="16">
        <v>4000</v>
      </c>
      <c r="I831" s="16">
        <v>0</v>
      </c>
      <c r="J831" s="40" t="s">
        <v>1755</v>
      </c>
      <c r="K831" s="16" t="s">
        <v>243</v>
      </c>
      <c r="L831" s="16" t="s">
        <v>1756</v>
      </c>
      <c r="M831" s="16"/>
      <c r="N831" s="41">
        <v>427</v>
      </c>
      <c r="O831" s="41">
        <v>100</v>
      </c>
      <c r="P831" s="41">
        <v>40</v>
      </c>
      <c r="Q831" s="133">
        <v>60</v>
      </c>
      <c r="R831" s="41">
        <v>0</v>
      </c>
      <c r="S831" s="16" t="s">
        <v>1751</v>
      </c>
      <c r="T831" s="16" t="s">
        <v>24</v>
      </c>
      <c r="U831" s="16"/>
      <c r="V831" s="16"/>
      <c r="W831" s="15"/>
      <c r="X831" s="134"/>
      <c r="Y831" s="43" t="s">
        <v>831</v>
      </c>
      <c r="Z831" s="44" t="s">
        <v>750</v>
      </c>
    </row>
    <row r="832" spans="1:26" x14ac:dyDescent="0.3">
      <c r="A832" s="129">
        <v>75212</v>
      </c>
      <c r="B832" s="16" t="s">
        <v>729</v>
      </c>
      <c r="C832" s="16" t="s">
        <v>26</v>
      </c>
      <c r="D832" s="16" t="s">
        <v>26</v>
      </c>
      <c r="E832" s="16" t="s">
        <v>26</v>
      </c>
      <c r="F832" s="16" t="s">
        <v>26</v>
      </c>
      <c r="G832" s="16" t="s">
        <v>1754</v>
      </c>
      <c r="H832" s="16">
        <v>4000</v>
      </c>
      <c r="I832" s="16">
        <v>0</v>
      </c>
      <c r="J832" s="40" t="s">
        <v>1757</v>
      </c>
      <c r="K832" s="16" t="s">
        <v>243</v>
      </c>
      <c r="L832" s="16" t="s">
        <v>1756</v>
      </c>
      <c r="M832" s="16"/>
      <c r="N832" s="41">
        <v>3</v>
      </c>
      <c r="O832" s="41">
        <v>2</v>
      </c>
      <c r="P832" s="41">
        <v>3</v>
      </c>
      <c r="Q832" s="133">
        <v>3</v>
      </c>
      <c r="R832" s="41">
        <v>0</v>
      </c>
      <c r="S832" s="16" t="s">
        <v>1751</v>
      </c>
      <c r="T832" s="16" t="s">
        <v>24</v>
      </c>
      <c r="U832" s="16"/>
      <c r="V832" s="16"/>
      <c r="W832" s="15"/>
      <c r="X832" s="134"/>
      <c r="Y832" s="43" t="s">
        <v>831</v>
      </c>
      <c r="Z832" s="44" t="s">
        <v>750</v>
      </c>
    </row>
    <row r="833" spans="1:26" x14ac:dyDescent="0.3">
      <c r="A833" s="135" t="s">
        <v>1758</v>
      </c>
      <c r="B833" s="15" t="s">
        <v>729</v>
      </c>
      <c r="C833" s="15" t="s">
        <v>26</v>
      </c>
      <c r="D833" s="15" t="s">
        <v>26</v>
      </c>
      <c r="E833" s="15" t="s">
        <v>26</v>
      </c>
      <c r="F833" s="16" t="s">
        <v>26</v>
      </c>
      <c r="G833" s="15" t="s">
        <v>26</v>
      </c>
      <c r="H833" s="15">
        <v>4000</v>
      </c>
      <c r="I833" s="15">
        <v>0</v>
      </c>
      <c r="J833" s="40" t="s">
        <v>1707</v>
      </c>
      <c r="K833" s="16" t="s">
        <v>243</v>
      </c>
      <c r="L833" s="15" t="s">
        <v>835</v>
      </c>
      <c r="M833" s="15" t="s">
        <v>836</v>
      </c>
      <c r="N833" s="41">
        <v>261</v>
      </c>
      <c r="O833" s="41">
        <v>0</v>
      </c>
      <c r="P833" s="41">
        <v>0</v>
      </c>
      <c r="Q833" s="41">
        <v>0</v>
      </c>
      <c r="R833" s="41">
        <v>0</v>
      </c>
      <c r="S833" s="15" t="s">
        <v>568</v>
      </c>
      <c r="T833" s="15" t="s">
        <v>26</v>
      </c>
      <c r="U833" s="15"/>
      <c r="V833" s="15" t="s">
        <v>26</v>
      </c>
      <c r="W833" s="15"/>
      <c r="X833" s="42">
        <v>4300</v>
      </c>
      <c r="Y833" s="43" t="s">
        <v>831</v>
      </c>
      <c r="Z833" s="44" t="s">
        <v>837</v>
      </c>
    </row>
    <row r="834" spans="1:26" x14ac:dyDescent="0.3">
      <c r="A834" s="26" t="s">
        <v>1758</v>
      </c>
      <c r="B834" s="26" t="s">
        <v>1109</v>
      </c>
      <c r="C834" s="26"/>
      <c r="D834" s="26"/>
      <c r="E834" s="26"/>
      <c r="F834" s="26"/>
      <c r="G834" s="26"/>
      <c r="H834" s="26">
        <v>4000</v>
      </c>
      <c r="I834" s="26">
        <v>0</v>
      </c>
      <c r="J834" s="26" t="s">
        <v>1707</v>
      </c>
      <c r="K834" s="3"/>
      <c r="L834" s="26" t="s">
        <v>1199</v>
      </c>
      <c r="M834" s="26" t="s">
        <v>1759</v>
      </c>
      <c r="N834" s="106">
        <v>129</v>
      </c>
      <c r="O834" s="22" t="s">
        <v>420</v>
      </c>
      <c r="P834" s="22" t="s">
        <v>420</v>
      </c>
      <c r="Q834" s="22" t="s">
        <v>420</v>
      </c>
      <c r="R834" s="22" t="s">
        <v>420</v>
      </c>
      <c r="S834" s="3" t="s">
        <v>50</v>
      </c>
      <c r="T834" s="3"/>
      <c r="U834" s="3"/>
      <c r="V834" s="3"/>
      <c r="W834" s="3" t="s">
        <v>1201</v>
      </c>
      <c r="Y834" s="28">
        <f>N834-Z834</f>
        <v>129</v>
      </c>
      <c r="Z834" s="29"/>
    </row>
    <row r="835" spans="1:26" x14ac:dyDescent="0.3">
      <c r="A835" s="136" t="s">
        <v>1758</v>
      </c>
      <c r="B835" s="3" t="s">
        <v>1202</v>
      </c>
      <c r="C835" s="3" t="s">
        <v>458</v>
      </c>
      <c r="D835" s="3" t="s">
        <v>458</v>
      </c>
      <c r="E835" s="3" t="s">
        <v>458</v>
      </c>
      <c r="F835" s="3" t="s">
        <v>458</v>
      </c>
      <c r="G835" s="3" t="s">
        <v>458</v>
      </c>
      <c r="H835" s="3">
        <v>4000</v>
      </c>
      <c r="I835" s="3">
        <v>0</v>
      </c>
      <c r="J835" s="3" t="s">
        <v>1707</v>
      </c>
      <c r="K835" s="3"/>
      <c r="L835" s="3" t="s">
        <v>1237</v>
      </c>
      <c r="M835" s="3" t="s">
        <v>1238</v>
      </c>
      <c r="N835" s="4">
        <v>126</v>
      </c>
      <c r="O835" s="4">
        <v>0</v>
      </c>
      <c r="P835" s="4">
        <v>0</v>
      </c>
      <c r="Q835" s="4">
        <v>0</v>
      </c>
      <c r="R835" s="4">
        <v>0</v>
      </c>
      <c r="S835" s="3" t="s">
        <v>50</v>
      </c>
      <c r="T835" s="3" t="s">
        <v>50</v>
      </c>
      <c r="U835" s="3"/>
      <c r="V835" s="3" t="s">
        <v>458</v>
      </c>
      <c r="W835" s="6" t="s">
        <v>1239</v>
      </c>
    </row>
    <row r="836" spans="1:26" x14ac:dyDescent="0.3">
      <c r="A836" s="3" t="s">
        <v>1758</v>
      </c>
      <c r="B836" s="3" t="s">
        <v>1629</v>
      </c>
      <c r="C836" s="3" t="s">
        <v>1760</v>
      </c>
      <c r="D836" s="3" t="s">
        <v>1761</v>
      </c>
      <c r="E836" s="3" t="s">
        <v>1637</v>
      </c>
      <c r="F836" s="3" t="s">
        <v>1633</v>
      </c>
      <c r="G836" s="3" t="s">
        <v>1638</v>
      </c>
      <c r="H836" s="3">
        <v>4000</v>
      </c>
      <c r="I836" s="3" t="s">
        <v>1762</v>
      </c>
      <c r="J836" s="3" t="s">
        <v>1763</v>
      </c>
      <c r="K836" s="3" t="s">
        <v>243</v>
      </c>
      <c r="L836" s="3" t="s">
        <v>1761</v>
      </c>
      <c r="M836" s="3" t="s">
        <v>1761</v>
      </c>
      <c r="N836" s="4">
        <v>593</v>
      </c>
      <c r="O836" s="4">
        <v>0</v>
      </c>
      <c r="P836" s="4">
        <v>0</v>
      </c>
      <c r="Q836" s="4"/>
      <c r="R836" s="4"/>
      <c r="S836" s="3" t="s">
        <v>50</v>
      </c>
      <c r="T836" s="3" t="s">
        <v>24</v>
      </c>
      <c r="U836" s="3" t="s">
        <v>1635</v>
      </c>
      <c r="V836" s="3" t="s">
        <v>1635</v>
      </c>
      <c r="W836" s="3"/>
      <c r="Y836" s="30">
        <f t="shared" ref="Y836:Y841" si="8">N836-Z836</f>
        <v>0</v>
      </c>
      <c r="Z836" s="5">
        <v>593</v>
      </c>
    </row>
    <row r="837" spans="1:26" x14ac:dyDescent="0.3">
      <c r="A837" s="3" t="s">
        <v>1758</v>
      </c>
      <c r="B837" s="3" t="s">
        <v>1629</v>
      </c>
      <c r="C837" s="3" t="s">
        <v>1760</v>
      </c>
      <c r="D837" s="3" t="s">
        <v>1764</v>
      </c>
      <c r="E837" s="3" t="s">
        <v>1637</v>
      </c>
      <c r="F837" s="3" t="s">
        <v>1633</v>
      </c>
      <c r="G837" s="3">
        <v>2025</v>
      </c>
      <c r="H837" s="3">
        <v>4000</v>
      </c>
      <c r="I837" s="3" t="s">
        <v>1762</v>
      </c>
      <c r="J837" s="3" t="s">
        <v>1763</v>
      </c>
      <c r="K837" s="3" t="s">
        <v>243</v>
      </c>
      <c r="L837" s="3" t="s">
        <v>1764</v>
      </c>
      <c r="M837" s="3" t="s">
        <v>1764</v>
      </c>
      <c r="N837" s="4">
        <v>216</v>
      </c>
      <c r="O837" s="4">
        <v>0</v>
      </c>
      <c r="P837" s="4">
        <v>0</v>
      </c>
      <c r="Q837" s="4"/>
      <c r="R837" s="4"/>
      <c r="S837" s="3" t="s">
        <v>1634</v>
      </c>
      <c r="T837" s="3" t="s">
        <v>24</v>
      </c>
      <c r="U837" s="3" t="s">
        <v>1635</v>
      </c>
      <c r="V837" s="3" t="s">
        <v>1635</v>
      </c>
      <c r="W837" s="3"/>
      <c r="Y837" s="30">
        <f t="shared" si="8"/>
        <v>0</v>
      </c>
      <c r="Z837" s="5">
        <v>216</v>
      </c>
    </row>
    <row r="838" spans="1:26" x14ac:dyDescent="0.3">
      <c r="A838" s="3" t="s">
        <v>1758</v>
      </c>
      <c r="B838" s="3" t="s">
        <v>1629</v>
      </c>
      <c r="C838" s="3" t="s">
        <v>1760</v>
      </c>
      <c r="D838" s="3" t="s">
        <v>1765</v>
      </c>
      <c r="E838" s="3" t="s">
        <v>1637</v>
      </c>
      <c r="F838" s="3" t="s">
        <v>1633</v>
      </c>
      <c r="G838" s="3">
        <v>2025</v>
      </c>
      <c r="H838" s="3">
        <v>4000</v>
      </c>
      <c r="I838" s="3" t="s">
        <v>1766</v>
      </c>
      <c r="J838" s="3" t="s">
        <v>1763</v>
      </c>
      <c r="K838" s="3" t="s">
        <v>243</v>
      </c>
      <c r="L838" s="3" t="s">
        <v>1765</v>
      </c>
      <c r="M838" s="3" t="s">
        <v>1765</v>
      </c>
      <c r="N838" s="4">
        <v>101</v>
      </c>
      <c r="O838" s="4">
        <v>0</v>
      </c>
      <c r="P838" s="4">
        <v>0</v>
      </c>
      <c r="Q838" s="4"/>
      <c r="R838" s="4"/>
      <c r="S838" s="3" t="s">
        <v>1634</v>
      </c>
      <c r="T838" s="3" t="s">
        <v>24</v>
      </c>
      <c r="U838" s="3" t="s">
        <v>1635</v>
      </c>
      <c r="V838" s="3" t="s">
        <v>1635</v>
      </c>
      <c r="W838" s="3"/>
      <c r="Y838" s="30">
        <f t="shared" si="8"/>
        <v>0</v>
      </c>
      <c r="Z838" s="5">
        <v>101</v>
      </c>
    </row>
    <row r="839" spans="1:26" x14ac:dyDescent="0.3">
      <c r="A839" s="3" t="s">
        <v>1758</v>
      </c>
      <c r="B839" s="3" t="s">
        <v>1629</v>
      </c>
      <c r="C839" s="3" t="s">
        <v>1760</v>
      </c>
      <c r="D839" s="3" t="s">
        <v>1767</v>
      </c>
      <c r="E839" s="3" t="s">
        <v>1633</v>
      </c>
      <c r="F839" s="3" t="s">
        <v>1633</v>
      </c>
      <c r="G839" s="3">
        <v>2025</v>
      </c>
      <c r="H839" s="3">
        <v>4000</v>
      </c>
      <c r="I839" s="3" t="s">
        <v>1762</v>
      </c>
      <c r="J839" s="3" t="s">
        <v>1763</v>
      </c>
      <c r="K839" s="3" t="s">
        <v>243</v>
      </c>
      <c r="L839" s="3" t="s">
        <v>1767</v>
      </c>
      <c r="M839" s="3" t="s">
        <v>1767</v>
      </c>
      <c r="N839" s="4">
        <v>60</v>
      </c>
      <c r="O839" s="4">
        <v>0</v>
      </c>
      <c r="P839" s="4">
        <v>0</v>
      </c>
      <c r="Q839" s="4"/>
      <c r="R839" s="4"/>
      <c r="S839" s="3" t="s">
        <v>1633</v>
      </c>
      <c r="T839" s="3" t="s">
        <v>1633</v>
      </c>
      <c r="U839" s="3" t="s">
        <v>1633</v>
      </c>
      <c r="V839" s="3" t="s">
        <v>1633</v>
      </c>
      <c r="W839" s="3"/>
      <c r="Y839" s="30">
        <f t="shared" si="8"/>
        <v>0</v>
      </c>
      <c r="Z839" s="5">
        <v>60</v>
      </c>
    </row>
    <row r="840" spans="1:26" x14ac:dyDescent="0.3">
      <c r="A840" s="3" t="s">
        <v>1758</v>
      </c>
      <c r="B840" s="3" t="s">
        <v>1629</v>
      </c>
      <c r="C840" s="3" t="s">
        <v>1760</v>
      </c>
      <c r="D840" s="3" t="s">
        <v>1768</v>
      </c>
      <c r="E840" s="3" t="s">
        <v>1633</v>
      </c>
      <c r="F840" s="3" t="s">
        <v>1633</v>
      </c>
      <c r="G840" s="3">
        <v>2025</v>
      </c>
      <c r="H840" s="3">
        <v>4420</v>
      </c>
      <c r="I840" s="3" t="s">
        <v>1762</v>
      </c>
      <c r="J840" s="3" t="s">
        <v>1763</v>
      </c>
      <c r="K840" s="3" t="s">
        <v>243</v>
      </c>
      <c r="L840" s="3" t="s">
        <v>1768</v>
      </c>
      <c r="M840" s="3" t="s">
        <v>1768</v>
      </c>
      <c r="N840" s="4">
        <v>1660</v>
      </c>
      <c r="O840" s="4">
        <v>0</v>
      </c>
      <c r="P840" s="4">
        <v>0</v>
      </c>
      <c r="Q840" s="4"/>
      <c r="R840" s="4"/>
      <c r="S840" s="3" t="s">
        <v>1633</v>
      </c>
      <c r="T840" s="3" t="s">
        <v>1633</v>
      </c>
      <c r="U840" s="3" t="s">
        <v>1633</v>
      </c>
      <c r="V840" s="3" t="s">
        <v>1633</v>
      </c>
      <c r="W840" s="3"/>
      <c r="Y840" s="30">
        <f t="shared" si="8"/>
        <v>0</v>
      </c>
      <c r="Z840" s="5">
        <v>1660</v>
      </c>
    </row>
    <row r="841" spans="1:26" x14ac:dyDescent="0.3">
      <c r="A841" s="3" t="s">
        <v>1758</v>
      </c>
      <c r="B841" s="3" t="s">
        <v>1629</v>
      </c>
      <c r="C841" s="3" t="s">
        <v>1760</v>
      </c>
      <c r="D841" s="3" t="s">
        <v>1769</v>
      </c>
      <c r="E841" s="3" t="s">
        <v>1633</v>
      </c>
      <c r="F841" s="3" t="s">
        <v>1633</v>
      </c>
      <c r="G841" s="3">
        <v>2025</v>
      </c>
      <c r="H841" s="3">
        <v>4410</v>
      </c>
      <c r="I841" s="3" t="s">
        <v>1762</v>
      </c>
      <c r="J841" s="3" t="s">
        <v>1763</v>
      </c>
      <c r="K841" s="3" t="s">
        <v>243</v>
      </c>
      <c r="L841" s="3" t="s">
        <v>1769</v>
      </c>
      <c r="M841" s="3" t="s">
        <v>1769</v>
      </c>
      <c r="N841" s="4">
        <v>235</v>
      </c>
      <c r="O841" s="4">
        <v>0</v>
      </c>
      <c r="P841" s="4">
        <v>0</v>
      </c>
      <c r="Q841" s="4"/>
      <c r="R841" s="4"/>
      <c r="S841" s="3" t="s">
        <v>1633</v>
      </c>
      <c r="T841" s="3" t="s">
        <v>1633</v>
      </c>
      <c r="U841" s="3" t="s">
        <v>1633</v>
      </c>
      <c r="V841" s="3" t="s">
        <v>1633</v>
      </c>
      <c r="W841" s="3"/>
      <c r="Y841" s="30">
        <f t="shared" si="8"/>
        <v>0</v>
      </c>
      <c r="Z841" s="5">
        <v>235</v>
      </c>
    </row>
    <row r="842" spans="1:26" x14ac:dyDescent="0.3">
      <c r="A842" s="136" t="s">
        <v>1758</v>
      </c>
      <c r="B842" s="3" t="s">
        <v>1675</v>
      </c>
      <c r="C842" s="3" t="s">
        <v>245</v>
      </c>
      <c r="D842" s="3"/>
      <c r="E842" s="3" t="s">
        <v>245</v>
      </c>
      <c r="F842" s="3" t="s">
        <v>1630</v>
      </c>
      <c r="G842" s="3"/>
      <c r="H842" s="3">
        <v>4000</v>
      </c>
      <c r="I842" s="3">
        <v>0</v>
      </c>
      <c r="J842" s="3" t="s">
        <v>1707</v>
      </c>
      <c r="K842" s="3" t="s">
        <v>243</v>
      </c>
      <c r="L842" s="3" t="s">
        <v>1770</v>
      </c>
      <c r="M842" s="3"/>
      <c r="N842" s="128">
        <v>288</v>
      </c>
      <c r="O842" s="4">
        <v>0</v>
      </c>
      <c r="P842" s="4">
        <v>0</v>
      </c>
      <c r="Q842" s="4">
        <v>0</v>
      </c>
      <c r="R842" s="4">
        <v>0</v>
      </c>
      <c r="S842" s="3" t="s">
        <v>568</v>
      </c>
      <c r="T842" s="3" t="s">
        <v>245</v>
      </c>
      <c r="U842" s="3"/>
      <c r="V842" s="3" t="s">
        <v>245</v>
      </c>
      <c r="W842" s="3"/>
    </row>
    <row r="843" spans="1:26" x14ac:dyDescent="0.3">
      <c r="A843" s="137" t="s">
        <v>1771</v>
      </c>
      <c r="B843" s="16" t="s">
        <v>729</v>
      </c>
      <c r="C843" s="16" t="s">
        <v>26</v>
      </c>
      <c r="D843" s="16" t="s">
        <v>26</v>
      </c>
      <c r="E843" s="16" t="s">
        <v>26</v>
      </c>
      <c r="F843" s="16" t="s">
        <v>26</v>
      </c>
      <c r="G843" s="16" t="s">
        <v>26</v>
      </c>
      <c r="H843" s="16">
        <v>2430</v>
      </c>
      <c r="I843" s="16">
        <v>0</v>
      </c>
      <c r="J843" s="40" t="s">
        <v>762</v>
      </c>
      <c r="K843" s="16" t="s">
        <v>243</v>
      </c>
      <c r="L843" s="16" t="s">
        <v>1772</v>
      </c>
      <c r="M843" s="16" t="s">
        <v>1773</v>
      </c>
      <c r="N843" s="41">
        <v>250000</v>
      </c>
      <c r="O843" s="41">
        <v>250000</v>
      </c>
      <c r="P843" s="41">
        <v>250000</v>
      </c>
      <c r="Q843" s="41">
        <v>0</v>
      </c>
      <c r="R843" s="41">
        <v>0</v>
      </c>
      <c r="S843" s="16" t="s">
        <v>1774</v>
      </c>
      <c r="T843" s="15" t="s">
        <v>26</v>
      </c>
      <c r="U843" s="16"/>
      <c r="V843" s="16" t="s">
        <v>26</v>
      </c>
      <c r="W843" s="15"/>
      <c r="X843" s="138" t="s">
        <v>1771</v>
      </c>
      <c r="Y843" s="43" t="s">
        <v>831</v>
      </c>
      <c r="Z843" s="44" t="s">
        <v>761</v>
      </c>
    </row>
    <row r="844" spans="1:26" x14ac:dyDescent="0.3">
      <c r="A844" s="139" t="s">
        <v>1775</v>
      </c>
      <c r="B844" s="15" t="s">
        <v>729</v>
      </c>
      <c r="C844" s="15" t="s">
        <v>26</v>
      </c>
      <c r="D844" s="15" t="s">
        <v>26</v>
      </c>
      <c r="E844" s="15" t="s">
        <v>26</v>
      </c>
      <c r="F844" s="16" t="s">
        <v>26</v>
      </c>
      <c r="G844" s="15" t="s">
        <v>26</v>
      </c>
      <c r="H844" s="15">
        <v>2350</v>
      </c>
      <c r="I844" s="15" t="s">
        <v>1776</v>
      </c>
      <c r="J844" s="40" t="s">
        <v>26</v>
      </c>
      <c r="K844" s="16" t="s">
        <v>580</v>
      </c>
      <c r="L844" s="15" t="s">
        <v>1777</v>
      </c>
      <c r="M844" s="15" t="s">
        <v>1778</v>
      </c>
      <c r="N844" s="41">
        <v>0</v>
      </c>
      <c r="O844" s="41">
        <v>0</v>
      </c>
      <c r="P844" s="41">
        <v>0</v>
      </c>
      <c r="Q844" s="41">
        <v>0</v>
      </c>
      <c r="R844" s="41">
        <v>0</v>
      </c>
      <c r="S844" s="15" t="s">
        <v>1776</v>
      </c>
      <c r="T844" s="15" t="s">
        <v>26</v>
      </c>
      <c r="U844" s="15"/>
      <c r="V844" s="15" t="s">
        <v>458</v>
      </c>
      <c r="W844" s="15"/>
      <c r="X844" s="42" t="s">
        <v>1775</v>
      </c>
      <c r="Y844" s="140" t="s">
        <v>831</v>
      </c>
      <c r="Z844" s="44" t="s">
        <v>845</v>
      </c>
    </row>
    <row r="845" spans="1:26" x14ac:dyDescent="0.3">
      <c r="A845" s="141" t="s">
        <v>1775</v>
      </c>
      <c r="B845" s="15" t="s">
        <v>729</v>
      </c>
      <c r="C845" s="15" t="s">
        <v>26</v>
      </c>
      <c r="D845" s="15" t="s">
        <v>26</v>
      </c>
      <c r="E845" s="15" t="s">
        <v>26</v>
      </c>
      <c r="F845" s="16" t="s">
        <v>26</v>
      </c>
      <c r="G845" s="16" t="s">
        <v>26</v>
      </c>
      <c r="H845" s="15">
        <v>2350</v>
      </c>
      <c r="I845" s="15" t="s">
        <v>1776</v>
      </c>
      <c r="J845" s="40" t="s">
        <v>26</v>
      </c>
      <c r="K845" s="16" t="s">
        <v>1779</v>
      </c>
      <c r="L845" s="71" t="s">
        <v>1780</v>
      </c>
      <c r="M845" s="71" t="s">
        <v>1781</v>
      </c>
      <c r="N845" s="72">
        <v>0</v>
      </c>
      <c r="O845" s="72">
        <v>0</v>
      </c>
      <c r="P845" s="72">
        <v>0</v>
      </c>
      <c r="Q845" s="72">
        <v>0</v>
      </c>
      <c r="R845" s="72">
        <v>0</v>
      </c>
      <c r="S845" s="15" t="s">
        <v>939</v>
      </c>
      <c r="T845" s="15" t="s">
        <v>26</v>
      </c>
      <c r="U845" s="15" t="s">
        <v>1782</v>
      </c>
      <c r="V845" s="15" t="s">
        <v>1783</v>
      </c>
      <c r="W845" s="15"/>
      <c r="X845" s="42" t="s">
        <v>1775</v>
      </c>
      <c r="Y845" s="43" t="s">
        <v>831</v>
      </c>
      <c r="Z845" s="44" t="s">
        <v>845</v>
      </c>
    </row>
    <row r="846" spans="1:26" x14ac:dyDescent="0.3">
      <c r="A846" s="141" t="s">
        <v>1775</v>
      </c>
      <c r="B846" s="15" t="s">
        <v>729</v>
      </c>
      <c r="C846" s="15" t="s">
        <v>26</v>
      </c>
      <c r="D846" s="15" t="s">
        <v>26</v>
      </c>
      <c r="E846" s="15" t="s">
        <v>26</v>
      </c>
      <c r="F846" s="16" t="s">
        <v>26</v>
      </c>
      <c r="G846" s="16" t="s">
        <v>26</v>
      </c>
      <c r="H846" s="15">
        <v>6490</v>
      </c>
      <c r="I846" s="15" t="s">
        <v>1776</v>
      </c>
      <c r="J846" s="40" t="s">
        <v>26</v>
      </c>
      <c r="K846" s="16" t="s">
        <v>1779</v>
      </c>
      <c r="L846" s="71" t="s">
        <v>1780</v>
      </c>
      <c r="M846" s="71" t="s">
        <v>1781</v>
      </c>
      <c r="N846" s="72">
        <v>0</v>
      </c>
      <c r="O846" s="72">
        <v>0</v>
      </c>
      <c r="P846" s="72">
        <v>0</v>
      </c>
      <c r="Q846" s="72">
        <v>0</v>
      </c>
      <c r="R846" s="72">
        <v>0</v>
      </c>
      <c r="S846" s="15" t="s">
        <v>939</v>
      </c>
      <c r="T846" s="15" t="s">
        <v>26</v>
      </c>
      <c r="U846" s="15" t="s">
        <v>1782</v>
      </c>
      <c r="V846" s="15" t="s">
        <v>1783</v>
      </c>
      <c r="W846" s="15"/>
      <c r="X846" s="42" t="s">
        <v>1775</v>
      </c>
      <c r="Y846" s="43" t="s">
        <v>831</v>
      </c>
      <c r="Z846" s="44" t="s">
        <v>845</v>
      </c>
    </row>
    <row r="847" spans="1:26" x14ac:dyDescent="0.3">
      <c r="A847" s="3" t="s">
        <v>1775</v>
      </c>
      <c r="B847" s="3" t="s">
        <v>1202</v>
      </c>
      <c r="C847" s="3" t="s">
        <v>458</v>
      </c>
      <c r="D847" s="3" t="s">
        <v>458</v>
      </c>
      <c r="E847" s="3" t="s">
        <v>458</v>
      </c>
      <c r="F847" s="3" t="s">
        <v>458</v>
      </c>
      <c r="G847" s="3" t="s">
        <v>458</v>
      </c>
      <c r="H847" s="3">
        <v>2350</v>
      </c>
      <c r="I847" s="3">
        <v>0</v>
      </c>
      <c r="J847" s="3" t="s">
        <v>1784</v>
      </c>
      <c r="K847" s="3"/>
      <c r="L847" s="3" t="s">
        <v>1785</v>
      </c>
      <c r="M847" s="3" t="s">
        <v>1786</v>
      </c>
      <c r="N847" s="4">
        <v>129400</v>
      </c>
      <c r="O847" s="4"/>
      <c r="P847" s="4"/>
      <c r="Q847" s="4"/>
      <c r="R847" s="4"/>
      <c r="S847" s="3" t="s">
        <v>1776</v>
      </c>
      <c r="T847" s="3" t="s">
        <v>50</v>
      </c>
      <c r="U847" s="3"/>
      <c r="V847" s="3" t="s">
        <v>1210</v>
      </c>
      <c r="W847" s="3"/>
    </row>
    <row r="848" spans="1:26" x14ac:dyDescent="0.3">
      <c r="A848" s="9" t="s">
        <v>1245</v>
      </c>
      <c r="B848" s="3" t="s">
        <v>560</v>
      </c>
      <c r="C848" s="3"/>
      <c r="D848" s="3"/>
      <c r="E848" s="3"/>
      <c r="F848" s="3"/>
      <c r="G848" s="3"/>
      <c r="H848" s="3">
        <v>4530</v>
      </c>
      <c r="I848" s="3">
        <v>0</v>
      </c>
      <c r="J848" s="3" t="s">
        <v>561</v>
      </c>
      <c r="K848" s="3"/>
      <c r="L848" s="3" t="s">
        <v>1787</v>
      </c>
      <c r="M848" s="9" t="s">
        <v>1788</v>
      </c>
      <c r="N848" s="4">
        <v>6967</v>
      </c>
      <c r="O848" s="4">
        <v>790</v>
      </c>
      <c r="P848" s="4">
        <v>0</v>
      </c>
      <c r="Q848" s="4">
        <v>0</v>
      </c>
      <c r="R848" s="4">
        <v>0</v>
      </c>
      <c r="S848" s="3" t="s">
        <v>1245</v>
      </c>
      <c r="T848" s="3" t="s">
        <v>24</v>
      </c>
      <c r="U848" s="3" t="s">
        <v>1789</v>
      </c>
      <c r="V848" s="3"/>
      <c r="W848" s="9" t="s">
        <v>1790</v>
      </c>
      <c r="X848" s="31" t="s">
        <v>1791</v>
      </c>
      <c r="Y848" s="30">
        <f t="shared" ref="Y848:Y856" si="9">N848-Z848</f>
        <v>6967</v>
      </c>
      <c r="Z848" s="5">
        <v>0</v>
      </c>
    </row>
    <row r="849" spans="1:26" x14ac:dyDescent="0.3">
      <c r="A849" s="9" t="s">
        <v>1245</v>
      </c>
      <c r="B849" s="3" t="s">
        <v>560</v>
      </c>
      <c r="C849" s="3"/>
      <c r="D849" s="3"/>
      <c r="E849" s="3"/>
      <c r="F849" s="3"/>
      <c r="G849" s="3"/>
      <c r="H849" s="3">
        <v>4530</v>
      </c>
      <c r="I849" s="3">
        <v>0</v>
      </c>
      <c r="J849" s="3" t="s">
        <v>561</v>
      </c>
      <c r="K849" s="3"/>
      <c r="L849" s="3" t="s">
        <v>1792</v>
      </c>
      <c r="M849" s="9" t="s">
        <v>1793</v>
      </c>
      <c r="N849" s="4">
        <v>143</v>
      </c>
      <c r="O849" s="4">
        <v>0</v>
      </c>
      <c r="P849" s="4">
        <v>0</v>
      </c>
      <c r="Q849" s="4">
        <v>0</v>
      </c>
      <c r="R849" s="4">
        <v>0</v>
      </c>
      <c r="S849" s="3" t="s">
        <v>1245</v>
      </c>
      <c r="T849" s="3"/>
      <c r="U849" s="3"/>
      <c r="V849" s="3"/>
      <c r="W849" s="9" t="s">
        <v>1794</v>
      </c>
      <c r="X849" s="31" t="s">
        <v>1791</v>
      </c>
      <c r="Y849" s="30">
        <f t="shared" si="9"/>
        <v>143</v>
      </c>
      <c r="Z849" s="5">
        <v>0</v>
      </c>
    </row>
    <row r="850" spans="1:26" x14ac:dyDescent="0.3">
      <c r="A850" s="9" t="s">
        <v>1245</v>
      </c>
      <c r="B850" s="3" t="s">
        <v>560</v>
      </c>
      <c r="C850" s="3"/>
      <c r="D850" s="3"/>
      <c r="E850" s="3"/>
      <c r="F850" s="3"/>
      <c r="G850" s="3"/>
      <c r="H850" s="9">
        <v>4000</v>
      </c>
      <c r="I850" s="3">
        <v>0</v>
      </c>
      <c r="J850" s="3" t="s">
        <v>561</v>
      </c>
      <c r="K850" s="3"/>
      <c r="L850" s="3" t="s">
        <v>1795</v>
      </c>
      <c r="M850" s="9" t="s">
        <v>1796</v>
      </c>
      <c r="N850" s="4"/>
      <c r="O850" s="4"/>
      <c r="P850" s="4"/>
      <c r="Q850" s="4"/>
      <c r="R850" s="4"/>
      <c r="S850" s="3" t="s">
        <v>1245</v>
      </c>
      <c r="T850" s="3" t="s">
        <v>24</v>
      </c>
      <c r="U850" s="3" t="s">
        <v>1789</v>
      </c>
      <c r="V850" s="3"/>
      <c r="W850" s="9" t="s">
        <v>1797</v>
      </c>
      <c r="X850" s="31" t="s">
        <v>1791</v>
      </c>
      <c r="Y850" s="30">
        <f t="shared" si="9"/>
        <v>0</v>
      </c>
    </row>
    <row r="851" spans="1:26" x14ac:dyDescent="0.3">
      <c r="A851" s="9" t="s">
        <v>1245</v>
      </c>
      <c r="B851" s="3" t="s">
        <v>560</v>
      </c>
      <c r="C851" s="3"/>
      <c r="D851" s="3"/>
      <c r="E851" s="3"/>
      <c r="F851" s="3"/>
      <c r="G851" s="3"/>
      <c r="H851" s="3">
        <v>4000</v>
      </c>
      <c r="I851" s="3">
        <v>0</v>
      </c>
      <c r="J851" s="3" t="s">
        <v>561</v>
      </c>
      <c r="K851" s="3"/>
      <c r="L851" s="3" t="s">
        <v>1798</v>
      </c>
      <c r="M851" s="9" t="s">
        <v>1799</v>
      </c>
      <c r="N851" s="4">
        <v>5760</v>
      </c>
      <c r="O851" s="4">
        <v>2880</v>
      </c>
      <c r="P851" s="4">
        <v>0</v>
      </c>
      <c r="Q851" s="4">
        <v>0</v>
      </c>
      <c r="R851" s="4">
        <v>0</v>
      </c>
      <c r="S851" s="3" t="s">
        <v>24</v>
      </c>
      <c r="T851" s="3"/>
      <c r="U851" s="3"/>
      <c r="V851" s="3"/>
      <c r="W851" s="9"/>
      <c r="X851" s="31" t="s">
        <v>1791</v>
      </c>
      <c r="Y851" s="30">
        <f t="shared" si="9"/>
        <v>5260</v>
      </c>
      <c r="Z851" s="5">
        <v>500</v>
      </c>
    </row>
    <row r="852" spans="1:26" x14ac:dyDescent="0.3">
      <c r="A852" s="9" t="s">
        <v>1245</v>
      </c>
      <c r="B852" s="3" t="s">
        <v>560</v>
      </c>
      <c r="C852" s="3"/>
      <c r="D852" s="3"/>
      <c r="E852" s="3"/>
      <c r="F852" s="3"/>
      <c r="G852" s="3"/>
      <c r="H852" s="3">
        <v>2830</v>
      </c>
      <c r="I852" s="3">
        <v>0</v>
      </c>
      <c r="J852" s="3" t="s">
        <v>561</v>
      </c>
      <c r="K852" s="3"/>
      <c r="L852" s="3" t="s">
        <v>1800</v>
      </c>
      <c r="M852" s="9" t="s">
        <v>1801</v>
      </c>
      <c r="N852" s="4"/>
      <c r="O852" s="4"/>
      <c r="P852" s="4"/>
      <c r="Q852" s="4"/>
      <c r="R852" s="4"/>
      <c r="S852" s="3" t="s">
        <v>1245</v>
      </c>
      <c r="T852" s="3" t="s">
        <v>50</v>
      </c>
      <c r="U852" s="3"/>
      <c r="V852" s="3"/>
      <c r="W852" s="9" t="s">
        <v>1802</v>
      </c>
      <c r="X852" s="31" t="s">
        <v>1791</v>
      </c>
      <c r="Y852" s="30">
        <f t="shared" si="9"/>
        <v>0</v>
      </c>
    </row>
    <row r="853" spans="1:26" s="29" customFormat="1" x14ac:dyDescent="0.3">
      <c r="A853" s="9" t="s">
        <v>1245</v>
      </c>
      <c r="B853" s="3" t="s">
        <v>560</v>
      </c>
      <c r="C853" s="3"/>
      <c r="D853" s="3"/>
      <c r="E853" s="3"/>
      <c r="F853" s="3"/>
      <c r="G853" s="3"/>
      <c r="H853" s="3">
        <v>2830</v>
      </c>
      <c r="I853" s="3">
        <v>0</v>
      </c>
      <c r="J853" s="3" t="s">
        <v>561</v>
      </c>
      <c r="K853" s="3"/>
      <c r="L853" s="3" t="s">
        <v>1803</v>
      </c>
      <c r="M853" s="9" t="s">
        <v>1804</v>
      </c>
      <c r="N853" s="4"/>
      <c r="O853" s="4"/>
      <c r="P853" s="4"/>
      <c r="Q853" s="4"/>
      <c r="R853" s="4"/>
      <c r="S853" s="3" t="s">
        <v>50</v>
      </c>
      <c r="T853" s="3" t="s">
        <v>1805</v>
      </c>
      <c r="U853" s="3"/>
      <c r="V853" s="3"/>
      <c r="W853" s="9" t="s">
        <v>1806</v>
      </c>
      <c r="X853" s="31" t="s">
        <v>1791</v>
      </c>
      <c r="Y853" s="30">
        <f t="shared" si="9"/>
        <v>0</v>
      </c>
      <c r="Z853" s="5"/>
    </row>
    <row r="854" spans="1:26" x14ac:dyDescent="0.3">
      <c r="A854" s="9" t="s">
        <v>1245</v>
      </c>
      <c r="B854" s="3" t="s">
        <v>560</v>
      </c>
      <c r="C854" s="3"/>
      <c r="D854" s="3"/>
      <c r="E854" s="3"/>
      <c r="F854" s="3"/>
      <c r="G854" s="3"/>
      <c r="H854" s="3">
        <v>4530</v>
      </c>
      <c r="I854" s="3">
        <v>0</v>
      </c>
      <c r="J854" s="3" t="s">
        <v>561</v>
      </c>
      <c r="K854" s="3"/>
      <c r="L854" s="3" t="s">
        <v>1807</v>
      </c>
      <c r="M854" s="9" t="s">
        <v>1808</v>
      </c>
      <c r="N854" s="4">
        <v>490259</v>
      </c>
      <c r="O854" s="4">
        <v>0</v>
      </c>
      <c r="P854" s="4">
        <v>0</v>
      </c>
      <c r="Q854" s="4">
        <v>0</v>
      </c>
      <c r="R854" s="4">
        <v>0</v>
      </c>
      <c r="S854" s="3" t="s">
        <v>830</v>
      </c>
      <c r="T854" s="3" t="s">
        <v>50</v>
      </c>
      <c r="U854" s="3"/>
      <c r="V854" s="3"/>
      <c r="W854" s="3" t="s">
        <v>1809</v>
      </c>
      <c r="X854" s="31" t="s">
        <v>1791</v>
      </c>
      <c r="Y854" s="30">
        <f t="shared" si="9"/>
        <v>490259</v>
      </c>
      <c r="Z854" s="5">
        <v>0</v>
      </c>
    </row>
    <row r="855" spans="1:26" x14ac:dyDescent="0.3">
      <c r="A855" s="9" t="s">
        <v>1245</v>
      </c>
      <c r="B855" s="3" t="s">
        <v>560</v>
      </c>
      <c r="C855" s="3"/>
      <c r="D855" s="3"/>
      <c r="E855" s="3"/>
      <c r="F855" s="3"/>
      <c r="G855" s="3"/>
      <c r="H855" s="3">
        <v>4530</v>
      </c>
      <c r="I855" s="3">
        <v>0</v>
      </c>
      <c r="J855" s="3" t="s">
        <v>561</v>
      </c>
      <c r="K855" s="3"/>
      <c r="L855" s="3" t="s">
        <v>1810</v>
      </c>
      <c r="M855" s="9" t="s">
        <v>1811</v>
      </c>
      <c r="N855" s="4">
        <v>41295</v>
      </c>
      <c r="O855" s="4">
        <v>0</v>
      </c>
      <c r="P855" s="4">
        <v>0</v>
      </c>
      <c r="Q855" s="4">
        <v>0</v>
      </c>
      <c r="R855" s="4">
        <v>0</v>
      </c>
      <c r="S855" s="3" t="s">
        <v>830</v>
      </c>
      <c r="T855" s="3" t="s">
        <v>50</v>
      </c>
      <c r="U855" s="3"/>
      <c r="V855" s="3"/>
      <c r="W855" s="3" t="s">
        <v>1809</v>
      </c>
      <c r="X855" s="31" t="s">
        <v>1791</v>
      </c>
      <c r="Y855" s="30">
        <f t="shared" si="9"/>
        <v>41295</v>
      </c>
      <c r="Z855" s="5">
        <v>0</v>
      </c>
    </row>
    <row r="856" spans="1:26" x14ac:dyDescent="0.3">
      <c r="A856" s="9" t="s">
        <v>1245</v>
      </c>
      <c r="B856" s="3" t="s">
        <v>560</v>
      </c>
      <c r="C856" s="3"/>
      <c r="D856" s="3"/>
      <c r="E856" s="3"/>
      <c r="F856" s="3"/>
      <c r="G856" s="3"/>
      <c r="H856" s="3">
        <v>4530</v>
      </c>
      <c r="I856" s="3">
        <v>0</v>
      </c>
      <c r="J856" s="3" t="s">
        <v>561</v>
      </c>
      <c r="K856" s="3"/>
      <c r="L856" s="3" t="s">
        <v>1812</v>
      </c>
      <c r="M856" s="9" t="s">
        <v>1813</v>
      </c>
      <c r="N856" s="4">
        <v>349717</v>
      </c>
      <c r="O856" s="4">
        <v>0</v>
      </c>
      <c r="P856" s="4">
        <v>0</v>
      </c>
      <c r="Q856" s="4">
        <v>0</v>
      </c>
      <c r="R856" s="4">
        <v>0</v>
      </c>
      <c r="S856" s="3" t="s">
        <v>830</v>
      </c>
      <c r="T856" s="3" t="s">
        <v>50</v>
      </c>
      <c r="U856" s="3"/>
      <c r="V856" s="3"/>
      <c r="W856" s="3" t="s">
        <v>1809</v>
      </c>
      <c r="X856" s="31" t="s">
        <v>1791</v>
      </c>
      <c r="Y856" s="30">
        <f t="shared" si="9"/>
        <v>349717</v>
      </c>
      <c r="Z856" s="5">
        <v>0</v>
      </c>
    </row>
    <row r="857" spans="1:26" x14ac:dyDescent="0.3">
      <c r="A857" s="142" t="s">
        <v>1245</v>
      </c>
      <c r="B857" s="16" t="s">
        <v>729</v>
      </c>
      <c r="C857" s="16" t="s">
        <v>26</v>
      </c>
      <c r="D857" s="16" t="s">
        <v>26</v>
      </c>
      <c r="E857" s="16" t="s">
        <v>26</v>
      </c>
      <c r="F857" s="16" t="s">
        <v>26</v>
      </c>
      <c r="G857" s="16" t="s">
        <v>26</v>
      </c>
      <c r="H857" s="16">
        <v>4000</v>
      </c>
      <c r="I857" s="16">
        <v>0</v>
      </c>
      <c r="J857" s="40" t="s">
        <v>743</v>
      </c>
      <c r="K857" s="16" t="s">
        <v>243</v>
      </c>
      <c r="L857" s="16" t="s">
        <v>1814</v>
      </c>
      <c r="M857" s="16" t="s">
        <v>852</v>
      </c>
      <c r="N857" s="41">
        <v>0</v>
      </c>
      <c r="O857" s="41">
        <v>0</v>
      </c>
      <c r="P857" s="41">
        <v>0</v>
      </c>
      <c r="Q857" s="41">
        <v>0</v>
      </c>
      <c r="R857" s="41">
        <v>0</v>
      </c>
      <c r="S857" s="16" t="s">
        <v>1245</v>
      </c>
      <c r="T857" s="15" t="s">
        <v>26</v>
      </c>
      <c r="U857" s="16"/>
      <c r="V857" s="16" t="s">
        <v>458</v>
      </c>
      <c r="W857" s="15"/>
      <c r="X857" s="138">
        <v>4210</v>
      </c>
      <c r="Y857" s="43" t="s">
        <v>796</v>
      </c>
      <c r="Z857" s="44" t="s">
        <v>845</v>
      </c>
    </row>
    <row r="858" spans="1:26" x14ac:dyDescent="0.3">
      <c r="A858" s="363" t="s">
        <v>1815</v>
      </c>
      <c r="B858" s="363"/>
      <c r="C858" s="363"/>
      <c r="D858" s="363"/>
      <c r="E858" s="363"/>
      <c r="F858" s="363"/>
      <c r="G858" s="363"/>
      <c r="H858" s="363"/>
      <c r="I858" s="363"/>
      <c r="J858" s="363"/>
      <c r="K858" s="363"/>
      <c r="L858" s="363"/>
      <c r="M858" s="363"/>
      <c r="N858" s="143">
        <f>SUBTOTAL(9,N2:N857)</f>
        <v>2810537.9999998966</v>
      </c>
      <c r="O858" s="144">
        <f>SUBTOTAL(9,O2:O857)</f>
        <v>1053655</v>
      </c>
      <c r="P858" s="144">
        <f>SUBTOTAL(9,P2:P857)</f>
        <v>1049926</v>
      </c>
      <c r="Q858" s="143">
        <f>SUBTOTAL(9,Q2:Q857)</f>
        <v>796948</v>
      </c>
      <c r="R858" s="143">
        <f>SUBTOTAL(9,R2:R857)</f>
        <v>421898</v>
      </c>
      <c r="S858" s="3"/>
      <c r="T858" s="3"/>
      <c r="U858" s="3"/>
      <c r="V858" s="3"/>
      <c r="W858" s="3"/>
    </row>
    <row r="859" spans="1:26" x14ac:dyDescent="0.3">
      <c r="A859" s="145"/>
      <c r="B859" s="145"/>
      <c r="C859" s="145"/>
      <c r="D859" s="145"/>
      <c r="E859" s="145"/>
      <c r="F859" s="145"/>
      <c r="G859" s="145"/>
      <c r="H859" s="145"/>
      <c r="I859" s="145"/>
      <c r="J859" s="145"/>
      <c r="K859" s="145"/>
      <c r="L859" s="145"/>
      <c r="M859" s="145" t="s">
        <v>1816</v>
      </c>
      <c r="N859" s="146">
        <f>SUM(N2:N827)</f>
        <v>1511652.9999998964</v>
      </c>
      <c r="O859" s="146">
        <f>SUM(O2:O827)</f>
        <v>796843</v>
      </c>
      <c r="P859" s="146">
        <f t="shared" ref="P859:Q859" si="10">SUM(P2:P827)</f>
        <v>796843</v>
      </c>
      <c r="Q859" s="146">
        <f t="shared" si="10"/>
        <v>796843</v>
      </c>
      <c r="R859" s="146"/>
    </row>
    <row r="860" spans="1:26" x14ac:dyDescent="0.3">
      <c r="M860" s="147" t="s">
        <v>1817</v>
      </c>
      <c r="N860" s="148">
        <f>D910</f>
        <v>1261903</v>
      </c>
      <c r="O860" s="148">
        <f>E910</f>
        <v>547093</v>
      </c>
      <c r="P860" s="148">
        <f t="shared" ref="P860:Q860" si="11">F910</f>
        <v>547093</v>
      </c>
      <c r="Q860" s="148">
        <f t="shared" si="11"/>
        <v>547093</v>
      </c>
    </row>
    <row r="861" spans="1:26" x14ac:dyDescent="0.3">
      <c r="M861" s="147" t="s">
        <v>1818</v>
      </c>
      <c r="N861" s="149">
        <f>N860-N859</f>
        <v>-249749.99999989639</v>
      </c>
      <c r="O861" s="149">
        <f>O860-O859</f>
        <v>-249750</v>
      </c>
      <c r="P861" s="149">
        <f t="shared" ref="P861:Q861" si="12">P860-P859</f>
        <v>-249750</v>
      </c>
      <c r="Q861" s="149">
        <f t="shared" si="12"/>
        <v>-249750</v>
      </c>
      <c r="R861" s="149"/>
    </row>
    <row r="865" spans="3:11" x14ac:dyDescent="0.3">
      <c r="C865" s="56"/>
      <c r="D865" s="56"/>
    </row>
    <row r="866" spans="3:11" x14ac:dyDescent="0.3">
      <c r="H866" s="5" t="s">
        <v>1819</v>
      </c>
    </row>
    <row r="867" spans="3:11" x14ac:dyDescent="0.3">
      <c r="C867" s="160" t="s">
        <v>1820</v>
      </c>
      <c r="D867" s="56" t="s">
        <v>1821</v>
      </c>
      <c r="E867" s="56" t="s">
        <v>1822</v>
      </c>
      <c r="F867" s="56" t="s">
        <v>1823</v>
      </c>
      <c r="G867" s="56" t="s">
        <v>1824</v>
      </c>
      <c r="H867" s="56"/>
      <c r="I867" s="56"/>
      <c r="J867" s="56"/>
      <c r="K867" s="56"/>
    </row>
    <row r="868" spans="3:11" x14ac:dyDescent="0.3">
      <c r="C868" s="150">
        <v>27</v>
      </c>
      <c r="D868" s="151">
        <v>1511652.9999998964</v>
      </c>
      <c r="E868" s="151">
        <v>796843</v>
      </c>
      <c r="F868" s="151">
        <v>796843</v>
      </c>
      <c r="G868" s="151">
        <v>796843</v>
      </c>
      <c r="H868" s="56"/>
      <c r="I868" s="56"/>
      <c r="J868" s="56"/>
      <c r="K868" s="56"/>
    </row>
    <row r="869" spans="3:11" x14ac:dyDescent="0.3">
      <c r="C869" s="152" t="s">
        <v>23</v>
      </c>
      <c r="D869" s="151">
        <v>48530</v>
      </c>
      <c r="E869" s="151">
        <v>19706</v>
      </c>
      <c r="F869" s="151">
        <v>19000</v>
      </c>
      <c r="G869" s="151">
        <v>19342</v>
      </c>
      <c r="H869" s="56"/>
      <c r="I869" s="56"/>
      <c r="J869" s="56"/>
      <c r="K869" s="56"/>
    </row>
    <row r="870" spans="3:11" x14ac:dyDescent="0.3">
      <c r="C870" s="152" t="s">
        <v>457</v>
      </c>
      <c r="D870" s="151">
        <v>4037</v>
      </c>
      <c r="E870" s="151">
        <v>4078</v>
      </c>
      <c r="F870" s="151">
        <v>4143</v>
      </c>
      <c r="G870" s="151">
        <v>4208</v>
      </c>
      <c r="H870" s="56"/>
      <c r="I870" s="56"/>
      <c r="J870" s="56"/>
      <c r="K870" s="56"/>
    </row>
    <row r="871" spans="3:11" x14ac:dyDescent="0.3">
      <c r="C871" s="152" t="s">
        <v>515</v>
      </c>
      <c r="D871" s="151">
        <v>504</v>
      </c>
      <c r="E871" s="151">
        <v>518</v>
      </c>
      <c r="F871" s="151">
        <v>524</v>
      </c>
      <c r="G871" s="151">
        <v>0</v>
      </c>
      <c r="H871" s="56"/>
      <c r="I871" s="56"/>
      <c r="J871" s="56"/>
      <c r="K871" s="56"/>
    </row>
    <row r="872" spans="3:11" x14ac:dyDescent="0.3">
      <c r="C872" s="152" t="s">
        <v>539</v>
      </c>
      <c r="D872" s="151">
        <v>5990</v>
      </c>
      <c r="E872" s="151">
        <v>0</v>
      </c>
      <c r="F872" s="151">
        <v>0</v>
      </c>
      <c r="G872" s="151">
        <v>0</v>
      </c>
      <c r="H872" s="56"/>
      <c r="I872" s="56"/>
      <c r="J872" s="56"/>
      <c r="K872" s="56"/>
    </row>
    <row r="873" spans="3:11" x14ac:dyDescent="0.3">
      <c r="C873" s="152" t="s">
        <v>560</v>
      </c>
      <c r="D873" s="151">
        <v>79500</v>
      </c>
      <c r="E873" s="151">
        <v>56715</v>
      </c>
      <c r="F873" s="151">
        <v>54415</v>
      </c>
      <c r="G873" s="151">
        <v>54335</v>
      </c>
      <c r="H873" s="56"/>
      <c r="I873" s="56"/>
      <c r="J873" s="56"/>
      <c r="K873" s="56"/>
    </row>
    <row r="874" spans="3:11" x14ac:dyDescent="0.3">
      <c r="C874" s="152" t="s">
        <v>619</v>
      </c>
      <c r="D874" s="151">
        <v>41532</v>
      </c>
      <c r="E874" s="151">
        <v>21565</v>
      </c>
      <c r="F874" s="151">
        <v>15100</v>
      </c>
      <c r="G874" s="151">
        <v>14000</v>
      </c>
      <c r="H874" s="56"/>
      <c r="I874" s="56"/>
      <c r="J874" s="56"/>
      <c r="K874" s="56"/>
    </row>
    <row r="875" spans="3:11" x14ac:dyDescent="0.3">
      <c r="C875" s="152" t="s">
        <v>729</v>
      </c>
      <c r="D875" s="151">
        <v>197787</v>
      </c>
      <c r="E875" s="151">
        <v>185510</v>
      </c>
      <c r="F875" s="151">
        <v>184406</v>
      </c>
      <c r="G875" s="151">
        <v>115808</v>
      </c>
      <c r="H875" s="56"/>
      <c r="I875" s="153"/>
      <c r="J875" s="56"/>
      <c r="K875" s="56"/>
    </row>
    <row r="876" spans="3:11" x14ac:dyDescent="0.3">
      <c r="C876" s="152" t="s">
        <v>1089</v>
      </c>
      <c r="D876" s="151">
        <v>277</v>
      </c>
      <c r="E876" s="151">
        <v>187</v>
      </c>
      <c r="F876" s="151">
        <v>187</v>
      </c>
      <c r="G876" s="151">
        <v>187</v>
      </c>
      <c r="H876" s="56"/>
      <c r="I876" s="56"/>
      <c r="J876" s="56"/>
      <c r="K876" s="56"/>
    </row>
    <row r="877" spans="3:11" x14ac:dyDescent="0.3">
      <c r="C877" s="152" t="s">
        <v>1109</v>
      </c>
      <c r="D877" s="151">
        <v>15282</v>
      </c>
      <c r="E877" s="151">
        <v>26229</v>
      </c>
      <c r="F877" s="151">
        <v>22356</v>
      </c>
      <c r="G877" s="151">
        <v>21917</v>
      </c>
      <c r="H877" s="56"/>
      <c r="I877" s="56"/>
      <c r="J877" s="56"/>
      <c r="K877" s="56"/>
    </row>
    <row r="878" spans="3:11" x14ac:dyDescent="0.3">
      <c r="C878" s="152" t="s">
        <v>1202</v>
      </c>
      <c r="D878" s="151">
        <v>218881</v>
      </c>
      <c r="E878" s="151">
        <v>181616</v>
      </c>
      <c r="F878" s="151">
        <v>181616</v>
      </c>
      <c r="G878" s="151">
        <v>181616</v>
      </c>
      <c r="H878" s="56"/>
      <c r="I878" s="56"/>
      <c r="J878" s="56"/>
      <c r="K878" s="56"/>
    </row>
    <row r="879" spans="3:11" x14ac:dyDescent="0.3">
      <c r="C879" s="152" t="s">
        <v>1243</v>
      </c>
      <c r="D879" s="151">
        <v>771669.99999989639</v>
      </c>
      <c r="E879" s="151">
        <v>177125</v>
      </c>
      <c r="F879" s="151">
        <v>195565</v>
      </c>
      <c r="G879" s="151">
        <v>286113</v>
      </c>
      <c r="H879" s="56"/>
      <c r="I879" s="56"/>
      <c r="J879" s="56"/>
      <c r="K879" s="56"/>
    </row>
    <row r="880" spans="3:11" x14ac:dyDescent="0.3">
      <c r="C880" s="152" t="s">
        <v>1629</v>
      </c>
      <c r="D880" s="151">
        <v>9308</v>
      </c>
      <c r="E880" s="151">
        <v>7806</v>
      </c>
      <c r="F880" s="151">
        <v>7456</v>
      </c>
      <c r="G880" s="151">
        <v>1500</v>
      </c>
      <c r="H880" s="56"/>
      <c r="I880" s="56"/>
      <c r="J880" s="56"/>
      <c r="K880" s="56"/>
    </row>
    <row r="881" spans="3:13" x14ac:dyDescent="0.3">
      <c r="C881" s="152" t="s">
        <v>1675</v>
      </c>
      <c r="D881" s="151">
        <v>9328</v>
      </c>
      <c r="E881" s="151">
        <v>13756</v>
      </c>
      <c r="F881" s="151">
        <v>9653</v>
      </c>
      <c r="G881" s="151">
        <v>0</v>
      </c>
      <c r="H881" s="56"/>
      <c r="I881" s="56"/>
      <c r="J881" s="56"/>
      <c r="K881" s="56"/>
    </row>
    <row r="882" spans="3:13" x14ac:dyDescent="0.3">
      <c r="C882" s="152" t="s">
        <v>1058</v>
      </c>
      <c r="D882" s="151">
        <v>4110</v>
      </c>
      <c r="E882" s="151">
        <v>4215</v>
      </c>
      <c r="F882" s="151">
        <v>4605</v>
      </c>
      <c r="G882" s="151"/>
      <c r="H882" s="56"/>
      <c r="I882" s="56"/>
      <c r="J882" s="56"/>
      <c r="K882" s="56"/>
    </row>
    <row r="883" spans="3:13" x14ac:dyDescent="0.3">
      <c r="C883" s="152" t="s">
        <v>419</v>
      </c>
      <c r="D883" s="151">
        <v>104917</v>
      </c>
      <c r="E883" s="151">
        <v>97817</v>
      </c>
      <c r="F883" s="151">
        <v>97817</v>
      </c>
      <c r="G883" s="151">
        <v>97817</v>
      </c>
      <c r="H883" s="56"/>
    </row>
    <row r="884" spans="3:13" x14ac:dyDescent="0.3">
      <c r="C884" s="150">
        <v>43</v>
      </c>
      <c r="D884" s="151">
        <v>21000</v>
      </c>
      <c r="E884" s="151">
        <v>3000</v>
      </c>
      <c r="F884" s="151">
        <v>3000</v>
      </c>
      <c r="G884" s="151">
        <v>0</v>
      </c>
      <c r="H884" s="56"/>
    </row>
    <row r="885" spans="3:13" x14ac:dyDescent="0.3">
      <c r="C885" s="152" t="s">
        <v>1243</v>
      </c>
      <c r="D885" s="151">
        <v>21000</v>
      </c>
      <c r="E885" s="151">
        <v>3000</v>
      </c>
      <c r="F885" s="151">
        <v>3000</v>
      </c>
      <c r="G885" s="151">
        <v>0</v>
      </c>
      <c r="H885" s="56"/>
    </row>
    <row r="886" spans="3:13" x14ac:dyDescent="0.3">
      <c r="C886" s="150">
        <v>75212</v>
      </c>
      <c r="D886" s="151">
        <v>675</v>
      </c>
      <c r="E886" s="151">
        <v>142</v>
      </c>
      <c r="F886" s="151">
        <v>83</v>
      </c>
      <c r="G886" s="151">
        <v>105</v>
      </c>
      <c r="H886" s="56"/>
    </row>
    <row r="887" spans="3:13" x14ac:dyDescent="0.3">
      <c r="C887" s="152" t="s">
        <v>729</v>
      </c>
      <c r="D887" s="151">
        <v>675</v>
      </c>
      <c r="E887" s="151">
        <v>142</v>
      </c>
      <c r="F887" s="151">
        <v>83</v>
      </c>
      <c r="G887" s="151">
        <v>105</v>
      </c>
      <c r="H887" s="56"/>
      <c r="M887" s="5">
        <f>GETPIVOTDATA("Suma z 2025",$C$867,"część","27/KPRM","departament","DWM")-L887</f>
        <v>2865</v>
      </c>
    </row>
    <row r="888" spans="3:13" x14ac:dyDescent="0.3">
      <c r="C888" s="150" t="s">
        <v>1758</v>
      </c>
      <c r="D888" s="151">
        <v>3669</v>
      </c>
      <c r="E888" s="151">
        <v>0</v>
      </c>
      <c r="F888" s="151">
        <v>0</v>
      </c>
      <c r="G888" s="151">
        <v>0</v>
      </c>
      <c r="H888" s="56"/>
    </row>
    <row r="889" spans="3:13" x14ac:dyDescent="0.3">
      <c r="C889" s="152" t="s">
        <v>729</v>
      </c>
      <c r="D889" s="151">
        <v>261</v>
      </c>
      <c r="E889" s="151">
        <v>0</v>
      </c>
      <c r="F889" s="151">
        <v>0</v>
      </c>
      <c r="G889" s="151">
        <v>0</v>
      </c>
      <c r="H889" s="56"/>
    </row>
    <row r="890" spans="3:13" x14ac:dyDescent="0.3">
      <c r="C890" s="152" t="s">
        <v>1109</v>
      </c>
      <c r="D890" s="151">
        <v>129</v>
      </c>
      <c r="E890" s="151">
        <v>0</v>
      </c>
      <c r="F890" s="151">
        <v>0</v>
      </c>
      <c r="G890" s="151">
        <v>0</v>
      </c>
      <c r="H890" s="56"/>
    </row>
    <row r="891" spans="3:13" x14ac:dyDescent="0.3">
      <c r="C891" s="152" t="s">
        <v>1202</v>
      </c>
      <c r="D891" s="151">
        <v>126</v>
      </c>
      <c r="E891" s="151">
        <v>0</v>
      </c>
      <c r="F891" s="151">
        <v>0</v>
      </c>
      <c r="G891" s="151">
        <v>0</v>
      </c>
      <c r="H891" s="56"/>
    </row>
    <row r="892" spans="3:13" x14ac:dyDescent="0.3">
      <c r="C892" s="152" t="s">
        <v>1629</v>
      </c>
      <c r="D892" s="151">
        <v>2865</v>
      </c>
      <c r="E892" s="151">
        <v>0</v>
      </c>
      <c r="F892" s="151">
        <v>0</v>
      </c>
      <c r="G892" s="151"/>
      <c r="H892" s="56"/>
    </row>
    <row r="893" spans="3:13" x14ac:dyDescent="0.3">
      <c r="C893" s="152" t="s">
        <v>1675</v>
      </c>
      <c r="D893" s="151">
        <v>288</v>
      </c>
      <c r="E893" s="151">
        <v>0</v>
      </c>
      <c r="F893" s="151">
        <v>0</v>
      </c>
      <c r="G893" s="151">
        <v>0</v>
      </c>
      <c r="H893" s="56"/>
    </row>
    <row r="894" spans="3:13" x14ac:dyDescent="0.3">
      <c r="C894" s="150" t="s">
        <v>1771</v>
      </c>
      <c r="D894" s="151">
        <v>250000</v>
      </c>
      <c r="E894" s="151">
        <v>250000</v>
      </c>
      <c r="F894" s="151">
        <v>250000</v>
      </c>
      <c r="G894" s="151">
        <v>0</v>
      </c>
      <c r="H894" s="56"/>
    </row>
    <row r="895" spans="3:13" x14ac:dyDescent="0.3">
      <c r="C895" s="152" t="s">
        <v>729</v>
      </c>
      <c r="D895" s="151">
        <v>250000</v>
      </c>
      <c r="E895" s="151">
        <v>250000</v>
      </c>
      <c r="F895" s="151">
        <v>250000</v>
      </c>
      <c r="G895" s="151">
        <v>0</v>
      </c>
      <c r="H895" s="56"/>
    </row>
    <row r="896" spans="3:13" x14ac:dyDescent="0.3">
      <c r="C896" s="150" t="s">
        <v>1775</v>
      </c>
      <c r="D896" s="151">
        <v>129400</v>
      </c>
      <c r="E896" s="151">
        <v>0</v>
      </c>
      <c r="F896" s="151">
        <v>0</v>
      </c>
      <c r="G896" s="151">
        <v>0</v>
      </c>
      <c r="H896" s="56"/>
    </row>
    <row r="897" spans="3:8" x14ac:dyDescent="0.3">
      <c r="C897" s="152" t="s">
        <v>729</v>
      </c>
      <c r="D897" s="151">
        <v>0</v>
      </c>
      <c r="E897" s="151">
        <v>0</v>
      </c>
      <c r="F897" s="151">
        <v>0</v>
      </c>
      <c r="G897" s="151">
        <v>0</v>
      </c>
      <c r="H897" s="56"/>
    </row>
    <row r="898" spans="3:8" x14ac:dyDescent="0.3">
      <c r="C898" s="152" t="s">
        <v>1202</v>
      </c>
      <c r="D898" s="151">
        <v>129400</v>
      </c>
      <c r="E898" s="151"/>
      <c r="F898" s="151"/>
      <c r="G898" s="151"/>
      <c r="H898" s="56"/>
    </row>
    <row r="899" spans="3:8" x14ac:dyDescent="0.3">
      <c r="C899" s="150" t="s">
        <v>1245</v>
      </c>
      <c r="D899" s="151">
        <v>894141</v>
      </c>
      <c r="E899" s="151">
        <v>3670</v>
      </c>
      <c r="F899" s="151">
        <v>0</v>
      </c>
      <c r="G899" s="151">
        <v>0</v>
      </c>
    </row>
    <row r="900" spans="3:8" x14ac:dyDescent="0.3">
      <c r="C900" s="152" t="s">
        <v>560</v>
      </c>
      <c r="D900" s="151">
        <v>894141</v>
      </c>
      <c r="E900" s="151">
        <v>3670</v>
      </c>
      <c r="F900" s="151">
        <v>0</v>
      </c>
      <c r="G900" s="151">
        <v>0</v>
      </c>
    </row>
    <row r="901" spans="3:8" x14ac:dyDescent="0.3">
      <c r="C901" s="152" t="s">
        <v>729</v>
      </c>
      <c r="D901" s="151">
        <v>0</v>
      </c>
      <c r="E901" s="151">
        <v>0</v>
      </c>
      <c r="F901" s="151">
        <v>0</v>
      </c>
      <c r="G901" s="151">
        <v>0</v>
      </c>
    </row>
    <row r="902" spans="3:8" x14ac:dyDescent="0.3">
      <c r="C902" s="150" t="s">
        <v>1825</v>
      </c>
      <c r="D902" s="151">
        <v>2810537.9999998966</v>
      </c>
      <c r="E902" s="151">
        <v>1053655</v>
      </c>
      <c r="F902" s="151">
        <v>1049926</v>
      </c>
      <c r="G902" s="151">
        <v>796948</v>
      </c>
    </row>
    <row r="903" spans="3:8" x14ac:dyDescent="0.3">
      <c r="C903"/>
      <c r="D903"/>
      <c r="E903"/>
      <c r="F903"/>
      <c r="G903"/>
    </row>
    <row r="904" spans="3:8" x14ac:dyDescent="0.3">
      <c r="C904" s="150"/>
      <c r="D904" s="151"/>
      <c r="E904" s="151"/>
      <c r="F904" s="151"/>
      <c r="G904" s="151"/>
    </row>
    <row r="905" spans="3:8" x14ac:dyDescent="0.3">
      <c r="C905" s="56"/>
      <c r="D905" s="56"/>
      <c r="E905" s="56"/>
      <c r="F905" s="56"/>
    </row>
    <row r="906" spans="3:8" x14ac:dyDescent="0.3">
      <c r="C906" s="56"/>
      <c r="D906" s="56"/>
      <c r="E906" s="56"/>
      <c r="F906" s="56"/>
    </row>
    <row r="907" spans="3:8" x14ac:dyDescent="0.3">
      <c r="C907" s="56"/>
      <c r="D907" s="154">
        <v>2025</v>
      </c>
      <c r="E907" s="154">
        <v>2026</v>
      </c>
      <c r="F907" s="154">
        <v>2027</v>
      </c>
      <c r="G907" s="154">
        <v>2028</v>
      </c>
    </row>
    <row r="908" spans="3:8" x14ac:dyDescent="0.3">
      <c r="C908" s="155" t="s">
        <v>1826</v>
      </c>
      <c r="D908" s="153">
        <v>796421</v>
      </c>
      <c r="E908" s="153">
        <v>797111</v>
      </c>
      <c r="F908" s="153">
        <v>797111</v>
      </c>
      <c r="G908" s="153">
        <v>797111</v>
      </c>
    </row>
    <row r="909" spans="3:8" x14ac:dyDescent="0.3">
      <c r="C909" s="155" t="s">
        <v>1827</v>
      </c>
      <c r="D909" s="153">
        <f>D908+715500</f>
        <v>1511921</v>
      </c>
      <c r="E909" s="153">
        <v>797111</v>
      </c>
      <c r="F909" s="153">
        <v>797111</v>
      </c>
      <c r="G909" s="153">
        <v>797111</v>
      </c>
    </row>
    <row r="910" spans="3:8" x14ac:dyDescent="0.3">
      <c r="C910" s="155" t="s">
        <v>1828</v>
      </c>
      <c r="D910" s="153">
        <f>D909-250000-18</f>
        <v>1261903</v>
      </c>
      <c r="E910" s="153">
        <f>E908-250000-18</f>
        <v>547093</v>
      </c>
      <c r="F910" s="153">
        <f>F908-250000-18</f>
        <v>547093</v>
      </c>
      <c r="G910" s="153">
        <f>G908-250000-18</f>
        <v>547093</v>
      </c>
    </row>
    <row r="911" spans="3:8" x14ac:dyDescent="0.3">
      <c r="C911" s="56"/>
      <c r="E911" s="56"/>
      <c r="F911" s="56"/>
    </row>
    <row r="912" spans="3:8" x14ac:dyDescent="0.3">
      <c r="C912" s="155" t="s">
        <v>1829</v>
      </c>
      <c r="D912" s="156">
        <f>D910-GETPIVOTDATA("Suma z 2025",$C$867,"część",27)</f>
        <v>-249749.99999989639</v>
      </c>
      <c r="E912" s="156">
        <f>E910-GETPIVOTDATA("Suma z 2026",$C$867,"część",27)</f>
        <v>-249750</v>
      </c>
      <c r="F912" s="156">
        <f>F910-GETPIVOTDATA("Suma z 2027",$C$867,"część",27)</f>
        <v>-249750</v>
      </c>
      <c r="G912" s="156">
        <f>G910-GETPIVOTDATA("Suma z 2028",$C$867,"część",27)</f>
        <v>-249750</v>
      </c>
    </row>
    <row r="913" spans="3:6" x14ac:dyDescent="0.3">
      <c r="C913" s="56"/>
      <c r="E913" s="56"/>
      <c r="F913" s="56"/>
    </row>
    <row r="914" spans="3:6" x14ac:dyDescent="0.3">
      <c r="C914" s="56"/>
      <c r="D914" s="56"/>
      <c r="E914" s="56"/>
      <c r="F914" s="56"/>
    </row>
    <row r="915" spans="3:6" x14ac:dyDescent="0.3">
      <c r="C915" s="56"/>
      <c r="D915" s="56"/>
      <c r="E915" s="56"/>
      <c r="F915" s="56"/>
    </row>
    <row r="916" spans="3:6" x14ac:dyDescent="0.3">
      <c r="C916" s="56"/>
      <c r="D916" s="56"/>
      <c r="E916" s="56"/>
      <c r="F916" s="56"/>
    </row>
    <row r="917" spans="3:6" x14ac:dyDescent="0.3">
      <c r="C917" s="56"/>
      <c r="D917" s="56"/>
      <c r="E917" s="56"/>
      <c r="F917" s="56"/>
    </row>
    <row r="918" spans="3:6" x14ac:dyDescent="0.3">
      <c r="C918" s="56"/>
      <c r="D918" s="56"/>
      <c r="E918" s="56"/>
      <c r="F918" s="56"/>
    </row>
    <row r="919" spans="3:6" x14ac:dyDescent="0.3">
      <c r="C919" s="56"/>
      <c r="D919" s="56"/>
      <c r="E919" s="56"/>
      <c r="F919" s="56"/>
    </row>
    <row r="920" spans="3:6" x14ac:dyDescent="0.3">
      <c r="C920" s="56"/>
      <c r="D920" s="56"/>
      <c r="E920" s="56"/>
      <c r="F920" s="56"/>
    </row>
    <row r="921" spans="3:6" x14ac:dyDescent="0.3">
      <c r="C921" s="56"/>
      <c r="D921" s="56"/>
      <c r="E921" s="56"/>
      <c r="F921" s="56"/>
    </row>
    <row r="922" spans="3:6" x14ac:dyDescent="0.3">
      <c r="C922" s="56"/>
      <c r="D922" s="56"/>
      <c r="E922" s="56"/>
      <c r="F922" s="56"/>
    </row>
    <row r="923" spans="3:6" x14ac:dyDescent="0.3">
      <c r="C923" s="56"/>
      <c r="D923" s="56"/>
      <c r="E923" s="56"/>
      <c r="F923" s="56"/>
    </row>
    <row r="924" spans="3:6" x14ac:dyDescent="0.3">
      <c r="C924" s="56"/>
      <c r="D924" s="56"/>
      <c r="E924" s="56"/>
      <c r="F924" s="56"/>
    </row>
    <row r="925" spans="3:6" x14ac:dyDescent="0.3">
      <c r="C925" s="56"/>
      <c r="D925" s="56"/>
      <c r="E925" s="56"/>
      <c r="F925" s="56"/>
    </row>
    <row r="926" spans="3:6" x14ac:dyDescent="0.3">
      <c r="C926" s="56"/>
      <c r="D926" s="56"/>
      <c r="E926" s="56"/>
      <c r="F926" s="56"/>
    </row>
    <row r="927" spans="3:6" x14ac:dyDescent="0.3">
      <c r="C927" s="56"/>
      <c r="D927" s="56"/>
      <c r="E927" s="56"/>
      <c r="F927" s="56"/>
    </row>
    <row r="928" spans="3:6" x14ac:dyDescent="0.3">
      <c r="C928" s="56"/>
      <c r="D928" s="56"/>
      <c r="E928" s="56"/>
      <c r="F928" s="56"/>
    </row>
    <row r="929" spans="3:6" x14ac:dyDescent="0.3">
      <c r="C929" s="56"/>
      <c r="D929" s="56"/>
      <c r="E929" s="56"/>
      <c r="F929" s="56"/>
    </row>
    <row r="930" spans="3:6" x14ac:dyDescent="0.3">
      <c r="C930" s="56"/>
      <c r="D930" s="56"/>
      <c r="E930" s="56"/>
      <c r="F930" s="56"/>
    </row>
    <row r="931" spans="3:6" x14ac:dyDescent="0.3">
      <c r="C931" s="56"/>
      <c r="D931" s="56"/>
      <c r="E931" s="56"/>
      <c r="F931" s="56"/>
    </row>
    <row r="932" spans="3:6" x14ac:dyDescent="0.3">
      <c r="C932" s="56"/>
      <c r="D932" s="56"/>
      <c r="E932" s="56"/>
      <c r="F932" s="56"/>
    </row>
    <row r="933" spans="3:6" x14ac:dyDescent="0.3">
      <c r="C933" s="56"/>
      <c r="D933" s="56"/>
      <c r="E933" s="56"/>
      <c r="F933" s="56"/>
    </row>
    <row r="934" spans="3:6" x14ac:dyDescent="0.3">
      <c r="C934" s="56"/>
      <c r="D934" s="56"/>
      <c r="E934" s="56"/>
      <c r="F934" s="56"/>
    </row>
    <row r="935" spans="3:6" x14ac:dyDescent="0.3">
      <c r="C935" s="56"/>
      <c r="D935" s="56"/>
      <c r="E935" s="56"/>
      <c r="F935" s="56"/>
    </row>
    <row r="936" spans="3:6" x14ac:dyDescent="0.3">
      <c r="C936" s="56"/>
      <c r="D936" s="56"/>
      <c r="E936" s="56"/>
      <c r="F936" s="56"/>
    </row>
    <row r="937" spans="3:6" x14ac:dyDescent="0.3">
      <c r="C937" s="56"/>
      <c r="D937" s="56"/>
      <c r="E937" s="56"/>
      <c r="F937" s="56"/>
    </row>
    <row r="938" spans="3:6" x14ac:dyDescent="0.3">
      <c r="C938" s="56"/>
      <c r="D938" s="56"/>
      <c r="E938" s="56"/>
      <c r="F938" s="56"/>
    </row>
    <row r="939" spans="3:6" x14ac:dyDescent="0.3">
      <c r="C939" s="56"/>
      <c r="D939" s="56"/>
      <c r="E939" s="56"/>
      <c r="F939" s="56"/>
    </row>
    <row r="940" spans="3:6" x14ac:dyDescent="0.3">
      <c r="C940" s="56"/>
      <c r="D940" s="56"/>
      <c r="E940" s="56"/>
      <c r="F940" s="56"/>
    </row>
    <row r="941" spans="3:6" x14ac:dyDescent="0.3">
      <c r="C941" s="56"/>
      <c r="D941" s="56"/>
      <c r="E941" s="56"/>
      <c r="F941" s="56"/>
    </row>
    <row r="942" spans="3:6" x14ac:dyDescent="0.3">
      <c r="C942" s="56"/>
      <c r="D942" s="56"/>
      <c r="E942" s="56"/>
      <c r="F942" s="56"/>
    </row>
    <row r="943" spans="3:6" x14ac:dyDescent="0.3">
      <c r="C943" s="56"/>
      <c r="D943" s="56"/>
      <c r="E943" s="56"/>
      <c r="F943" s="56"/>
    </row>
    <row r="944" spans="3:6" x14ac:dyDescent="0.3">
      <c r="C944" s="56"/>
      <c r="D944" s="56"/>
      <c r="E944" s="56"/>
      <c r="F944" s="56"/>
    </row>
    <row r="945" spans="3:6" x14ac:dyDescent="0.3">
      <c r="C945" s="56"/>
      <c r="D945" s="56"/>
      <c r="E945" s="56"/>
      <c r="F945" s="56"/>
    </row>
    <row r="946" spans="3:6" x14ac:dyDescent="0.3">
      <c r="C946" s="56"/>
      <c r="D946" s="56"/>
      <c r="E946" s="56"/>
      <c r="F946" s="56"/>
    </row>
    <row r="947" spans="3:6" x14ac:dyDescent="0.3">
      <c r="C947" s="56"/>
      <c r="D947" s="56"/>
      <c r="E947" s="56"/>
      <c r="F947" s="56"/>
    </row>
    <row r="948" spans="3:6" x14ac:dyDescent="0.3">
      <c r="C948" s="56"/>
      <c r="D948" s="56"/>
      <c r="E948" s="56"/>
      <c r="F948" s="56"/>
    </row>
    <row r="949" spans="3:6" x14ac:dyDescent="0.3">
      <c r="C949" s="56"/>
      <c r="D949" s="56"/>
      <c r="E949" s="56"/>
      <c r="F949" s="56"/>
    </row>
    <row r="950" spans="3:6" x14ac:dyDescent="0.3">
      <c r="C950" s="56"/>
      <c r="D950" s="56"/>
      <c r="E950" s="56"/>
      <c r="F950" s="56"/>
    </row>
    <row r="951" spans="3:6" x14ac:dyDescent="0.3">
      <c r="C951" s="56"/>
      <c r="D951" s="56"/>
      <c r="E951" s="56"/>
      <c r="F951" s="56"/>
    </row>
    <row r="952" spans="3:6" x14ac:dyDescent="0.3">
      <c r="C952" s="56"/>
      <c r="D952" s="56"/>
      <c r="E952" s="56"/>
      <c r="F952" s="56"/>
    </row>
    <row r="953" spans="3:6" x14ac:dyDescent="0.3">
      <c r="C953" s="56"/>
      <c r="D953" s="56"/>
      <c r="E953" s="56"/>
      <c r="F953" s="56"/>
    </row>
    <row r="954" spans="3:6" x14ac:dyDescent="0.3">
      <c r="C954" s="56"/>
      <c r="D954" s="56"/>
      <c r="E954" s="56"/>
      <c r="F954" s="56"/>
    </row>
    <row r="955" spans="3:6" x14ac:dyDescent="0.3">
      <c r="C955" s="56"/>
      <c r="D955" s="56"/>
      <c r="E955" s="56"/>
      <c r="F955" s="56"/>
    </row>
    <row r="956" spans="3:6" x14ac:dyDescent="0.3">
      <c r="C956" s="56"/>
      <c r="D956" s="56"/>
      <c r="E956" s="56"/>
      <c r="F956" s="56"/>
    </row>
    <row r="957" spans="3:6" x14ac:dyDescent="0.3">
      <c r="C957" s="56"/>
      <c r="D957" s="56"/>
      <c r="E957" s="56"/>
      <c r="F957" s="56"/>
    </row>
    <row r="958" spans="3:6" x14ac:dyDescent="0.3">
      <c r="C958" s="56"/>
      <c r="D958" s="56"/>
      <c r="E958" s="56"/>
      <c r="F958" s="56"/>
    </row>
    <row r="959" spans="3:6" x14ac:dyDescent="0.3">
      <c r="C959" s="56"/>
      <c r="D959" s="56"/>
      <c r="E959" s="56"/>
      <c r="F959" s="56"/>
    </row>
    <row r="960" spans="3:6" x14ac:dyDescent="0.3">
      <c r="C960" s="56"/>
      <c r="D960" s="56"/>
      <c r="E960" s="56"/>
      <c r="F960" s="56"/>
    </row>
    <row r="961" spans="3:6" x14ac:dyDescent="0.3">
      <c r="C961" s="56"/>
      <c r="D961" s="56"/>
      <c r="E961" s="56"/>
      <c r="F961" s="56"/>
    </row>
    <row r="962" spans="3:6" x14ac:dyDescent="0.3">
      <c r="C962" s="56"/>
      <c r="D962" s="56"/>
      <c r="E962" s="56"/>
      <c r="F962" s="56"/>
    </row>
    <row r="963" spans="3:6" x14ac:dyDescent="0.3">
      <c r="C963" s="56"/>
      <c r="D963" s="56"/>
      <c r="E963" s="56"/>
      <c r="F963" s="56"/>
    </row>
    <row r="964" spans="3:6" x14ac:dyDescent="0.3">
      <c r="C964" s="56"/>
      <c r="D964" s="56"/>
      <c r="E964" s="56"/>
      <c r="F964" s="56"/>
    </row>
    <row r="965" spans="3:6" x14ac:dyDescent="0.3">
      <c r="C965" s="56"/>
      <c r="D965" s="56"/>
      <c r="E965" s="56"/>
      <c r="F965" s="56"/>
    </row>
    <row r="966" spans="3:6" x14ac:dyDescent="0.3">
      <c r="C966" s="56"/>
      <c r="D966" s="56"/>
      <c r="E966" s="56"/>
      <c r="F966" s="56"/>
    </row>
    <row r="967" spans="3:6" x14ac:dyDescent="0.3">
      <c r="C967" s="56"/>
      <c r="D967" s="56"/>
      <c r="E967" s="56"/>
      <c r="F967" s="56"/>
    </row>
    <row r="968" spans="3:6" x14ac:dyDescent="0.3">
      <c r="C968" s="56"/>
      <c r="D968" s="56"/>
      <c r="E968" s="56"/>
      <c r="F968" s="56"/>
    </row>
    <row r="969" spans="3:6" x14ac:dyDescent="0.3">
      <c r="C969" s="56"/>
      <c r="D969" s="56"/>
      <c r="E969" s="56"/>
      <c r="F969" s="56"/>
    </row>
    <row r="970" spans="3:6" x14ac:dyDescent="0.3">
      <c r="C970" s="56"/>
      <c r="D970" s="56"/>
      <c r="E970" s="56"/>
      <c r="F970" s="56"/>
    </row>
    <row r="971" spans="3:6" x14ac:dyDescent="0.3">
      <c r="C971" s="56"/>
      <c r="D971" s="56"/>
      <c r="E971" s="56"/>
      <c r="F971" s="56"/>
    </row>
    <row r="972" spans="3:6" x14ac:dyDescent="0.3">
      <c r="C972" s="56"/>
      <c r="D972" s="56"/>
      <c r="E972" s="56"/>
      <c r="F972" s="56"/>
    </row>
    <row r="973" spans="3:6" x14ac:dyDescent="0.3">
      <c r="C973" s="56"/>
      <c r="D973" s="56"/>
      <c r="E973" s="56"/>
      <c r="F973" s="56"/>
    </row>
    <row r="974" spans="3:6" x14ac:dyDescent="0.3">
      <c r="C974" s="56"/>
      <c r="D974" s="56"/>
      <c r="E974" s="56"/>
      <c r="F974" s="56"/>
    </row>
    <row r="975" spans="3:6" x14ac:dyDescent="0.3">
      <c r="C975" s="56"/>
      <c r="D975" s="56"/>
      <c r="E975" s="56"/>
      <c r="F975" s="56"/>
    </row>
    <row r="976" spans="3:6" x14ac:dyDescent="0.3">
      <c r="C976" s="56"/>
      <c r="D976" s="56"/>
      <c r="E976" s="56"/>
      <c r="F976" s="56"/>
    </row>
    <row r="977" spans="3:6" x14ac:dyDescent="0.3">
      <c r="C977" s="56"/>
      <c r="D977" s="56"/>
      <c r="E977" s="56"/>
      <c r="F977" s="56"/>
    </row>
    <row r="978" spans="3:6" x14ac:dyDescent="0.3">
      <c r="C978" s="56"/>
      <c r="D978" s="56"/>
      <c r="E978" s="56"/>
      <c r="F978" s="56"/>
    </row>
    <row r="979" spans="3:6" x14ac:dyDescent="0.3">
      <c r="C979" s="56"/>
      <c r="D979" s="56"/>
      <c r="E979" s="56"/>
      <c r="F979" s="56"/>
    </row>
    <row r="980" spans="3:6" x14ac:dyDescent="0.3">
      <c r="C980" s="56"/>
      <c r="D980" s="56"/>
      <c r="E980" s="56"/>
      <c r="F980" s="56"/>
    </row>
    <row r="981" spans="3:6" x14ac:dyDescent="0.3">
      <c r="C981" s="56"/>
      <c r="D981" s="56"/>
      <c r="E981" s="56"/>
      <c r="F981" s="56"/>
    </row>
    <row r="982" spans="3:6" x14ac:dyDescent="0.3">
      <c r="C982" s="56"/>
      <c r="D982" s="56"/>
      <c r="E982" s="56"/>
      <c r="F982" s="56"/>
    </row>
    <row r="983" spans="3:6" x14ac:dyDescent="0.3">
      <c r="C983" s="56"/>
      <c r="D983" s="56"/>
      <c r="E983" s="56"/>
      <c r="F983" s="56"/>
    </row>
    <row r="984" spans="3:6" x14ac:dyDescent="0.3">
      <c r="C984" s="56"/>
      <c r="D984" s="56"/>
      <c r="E984" s="56"/>
      <c r="F984" s="56"/>
    </row>
    <row r="985" spans="3:6" x14ac:dyDescent="0.3">
      <c r="C985" s="56"/>
      <c r="D985" s="56"/>
      <c r="E985" s="56"/>
      <c r="F985" s="56"/>
    </row>
    <row r="986" spans="3:6" x14ac:dyDescent="0.3">
      <c r="C986" s="56"/>
      <c r="D986" s="56"/>
      <c r="E986" s="56"/>
      <c r="F986" s="56"/>
    </row>
    <row r="987" spans="3:6" x14ac:dyDescent="0.3">
      <c r="C987" s="56"/>
      <c r="D987" s="56"/>
      <c r="E987" s="56"/>
      <c r="F987" s="56"/>
    </row>
    <row r="988" spans="3:6" x14ac:dyDescent="0.3">
      <c r="C988" s="56"/>
      <c r="D988" s="56"/>
      <c r="E988" s="56"/>
      <c r="F988" s="56"/>
    </row>
    <row r="989" spans="3:6" x14ac:dyDescent="0.3">
      <c r="C989" s="56"/>
      <c r="D989" s="56"/>
      <c r="E989" s="56"/>
      <c r="F989" s="56"/>
    </row>
    <row r="990" spans="3:6" x14ac:dyDescent="0.3">
      <c r="C990" s="56"/>
      <c r="D990" s="56"/>
      <c r="E990" s="56"/>
      <c r="F990" s="56"/>
    </row>
    <row r="991" spans="3:6" x14ac:dyDescent="0.3">
      <c r="C991" s="56"/>
      <c r="D991" s="56"/>
      <c r="E991" s="56"/>
      <c r="F991" s="56"/>
    </row>
    <row r="992" spans="3:6" x14ac:dyDescent="0.3">
      <c r="C992" s="56"/>
      <c r="D992" s="56"/>
      <c r="E992" s="56"/>
      <c r="F992" s="56"/>
    </row>
    <row r="993" spans="3:6" x14ac:dyDescent="0.3">
      <c r="C993" s="56"/>
      <c r="D993" s="56"/>
      <c r="E993" s="56"/>
      <c r="F993" s="56"/>
    </row>
    <row r="994" spans="3:6" x14ac:dyDescent="0.3">
      <c r="C994" s="56"/>
      <c r="D994" s="56"/>
      <c r="E994" s="56"/>
      <c r="F994" s="56"/>
    </row>
    <row r="995" spans="3:6" x14ac:dyDescent="0.3">
      <c r="C995" s="56"/>
      <c r="D995" s="56"/>
      <c r="E995" s="56"/>
      <c r="F995" s="56"/>
    </row>
    <row r="996" spans="3:6" x14ac:dyDescent="0.3">
      <c r="C996" s="56"/>
      <c r="D996" s="56"/>
      <c r="E996" s="56"/>
      <c r="F996" s="56"/>
    </row>
    <row r="997" spans="3:6" x14ac:dyDescent="0.3">
      <c r="C997" s="56"/>
      <c r="D997" s="56"/>
      <c r="E997" s="56"/>
      <c r="F997" s="56"/>
    </row>
    <row r="998" spans="3:6" x14ac:dyDescent="0.3">
      <c r="C998" s="56"/>
      <c r="D998" s="56"/>
      <c r="E998" s="56"/>
      <c r="F998" s="56"/>
    </row>
    <row r="999" spans="3:6" x14ac:dyDescent="0.3">
      <c r="C999" s="56"/>
      <c r="D999" s="56"/>
      <c r="E999" s="56"/>
      <c r="F999" s="56"/>
    </row>
    <row r="1000" spans="3:6" x14ac:dyDescent="0.3">
      <c r="C1000" s="56"/>
      <c r="D1000" s="56"/>
      <c r="E1000" s="56"/>
      <c r="F1000" s="56"/>
    </row>
    <row r="1001" spans="3:6" x14ac:dyDescent="0.3">
      <c r="C1001" s="56"/>
      <c r="D1001" s="56"/>
      <c r="E1001" s="56"/>
      <c r="F1001" s="56"/>
    </row>
    <row r="1002" spans="3:6" x14ac:dyDescent="0.3">
      <c r="C1002" s="56"/>
      <c r="D1002" s="56"/>
      <c r="E1002" s="56"/>
      <c r="F1002" s="56"/>
    </row>
    <row r="1003" spans="3:6" x14ac:dyDescent="0.3">
      <c r="C1003" s="56"/>
      <c r="D1003" s="56"/>
      <c r="E1003" s="56"/>
      <c r="F1003" s="56"/>
    </row>
    <row r="1004" spans="3:6" x14ac:dyDescent="0.3">
      <c r="C1004" s="56"/>
      <c r="D1004" s="56"/>
      <c r="E1004" s="56"/>
      <c r="F1004" s="56"/>
    </row>
    <row r="1005" spans="3:6" x14ac:dyDescent="0.3">
      <c r="C1005" s="56"/>
      <c r="D1005" s="56"/>
      <c r="E1005" s="56"/>
      <c r="F1005" s="56"/>
    </row>
    <row r="1006" spans="3:6" x14ac:dyDescent="0.3">
      <c r="C1006" s="56"/>
      <c r="D1006" s="56"/>
      <c r="E1006" s="56"/>
      <c r="F1006" s="56"/>
    </row>
    <row r="1007" spans="3:6" x14ac:dyDescent="0.3">
      <c r="C1007" s="56"/>
      <c r="D1007" s="56"/>
      <c r="E1007" s="56"/>
      <c r="F1007" s="56"/>
    </row>
    <row r="1008" spans="3:6" x14ac:dyDescent="0.3">
      <c r="C1008" s="56"/>
      <c r="D1008" s="56"/>
      <c r="E1008" s="56"/>
      <c r="F1008" s="56"/>
    </row>
    <row r="1009" spans="3:6" x14ac:dyDescent="0.3">
      <c r="C1009" s="56"/>
      <c r="D1009" s="56"/>
      <c r="E1009" s="56"/>
      <c r="F1009" s="56"/>
    </row>
    <row r="1010" spans="3:6" x14ac:dyDescent="0.3">
      <c r="C1010" s="56"/>
      <c r="D1010" s="56"/>
      <c r="E1010" s="56"/>
      <c r="F1010" s="56"/>
    </row>
    <row r="1011" spans="3:6" x14ac:dyDescent="0.3">
      <c r="C1011" s="56"/>
      <c r="D1011" s="56"/>
      <c r="E1011" s="56"/>
      <c r="F1011" s="56"/>
    </row>
    <row r="1012" spans="3:6" x14ac:dyDescent="0.3">
      <c r="C1012" s="56"/>
      <c r="D1012" s="56"/>
      <c r="E1012" s="56"/>
      <c r="F1012" s="56"/>
    </row>
    <row r="1013" spans="3:6" x14ac:dyDescent="0.3">
      <c r="C1013" s="56"/>
      <c r="D1013" s="56"/>
      <c r="E1013" s="56"/>
      <c r="F1013" s="56"/>
    </row>
    <row r="1014" spans="3:6" x14ac:dyDescent="0.3">
      <c r="C1014" s="56"/>
      <c r="D1014" s="56"/>
      <c r="E1014" s="56"/>
      <c r="F1014" s="56"/>
    </row>
    <row r="1015" spans="3:6" x14ac:dyDescent="0.3">
      <c r="C1015" s="56"/>
      <c r="D1015" s="56"/>
      <c r="E1015" s="56"/>
      <c r="F1015" s="56"/>
    </row>
    <row r="1016" spans="3:6" x14ac:dyDescent="0.3">
      <c r="C1016" s="56"/>
      <c r="D1016" s="56"/>
      <c r="E1016" s="56"/>
      <c r="F1016" s="56"/>
    </row>
    <row r="1017" spans="3:6" x14ac:dyDescent="0.3">
      <c r="C1017" s="56"/>
      <c r="D1017" s="56"/>
      <c r="E1017" s="56"/>
      <c r="F1017" s="56"/>
    </row>
    <row r="1018" spans="3:6" x14ac:dyDescent="0.3">
      <c r="C1018" s="56"/>
      <c r="D1018" s="56"/>
      <c r="E1018" s="56"/>
      <c r="F1018" s="56"/>
    </row>
    <row r="1019" spans="3:6" x14ac:dyDescent="0.3">
      <c r="C1019" s="56"/>
      <c r="D1019" s="56"/>
      <c r="E1019" s="56"/>
      <c r="F1019" s="56"/>
    </row>
    <row r="1020" spans="3:6" x14ac:dyDescent="0.3">
      <c r="C1020" s="56"/>
      <c r="D1020" s="56"/>
      <c r="E1020" s="56"/>
      <c r="F1020" s="56"/>
    </row>
    <row r="1021" spans="3:6" x14ac:dyDescent="0.3">
      <c r="C1021" s="56"/>
      <c r="D1021" s="56"/>
      <c r="E1021" s="56"/>
      <c r="F1021" s="56"/>
    </row>
    <row r="1022" spans="3:6" x14ac:dyDescent="0.3">
      <c r="C1022" s="56"/>
      <c r="D1022" s="56"/>
      <c r="E1022" s="56"/>
      <c r="F1022" s="56"/>
    </row>
    <row r="1023" spans="3:6" x14ac:dyDescent="0.3">
      <c r="C1023" s="56"/>
      <c r="D1023" s="56"/>
      <c r="E1023" s="56"/>
      <c r="F1023" s="56"/>
    </row>
    <row r="1024" spans="3:6" x14ac:dyDescent="0.3">
      <c r="C1024" s="56"/>
      <c r="D1024" s="56"/>
      <c r="E1024" s="56"/>
      <c r="F1024" s="56"/>
    </row>
    <row r="1025" spans="3:6" x14ac:dyDescent="0.3">
      <c r="C1025" s="56"/>
      <c r="D1025" s="56"/>
      <c r="E1025" s="56"/>
      <c r="F1025" s="56"/>
    </row>
    <row r="1026" spans="3:6" x14ac:dyDescent="0.3">
      <c r="C1026" s="56"/>
      <c r="D1026" s="56"/>
      <c r="E1026" s="56"/>
      <c r="F1026" s="56"/>
    </row>
    <row r="1027" spans="3:6" x14ac:dyDescent="0.3">
      <c r="C1027" s="56"/>
      <c r="D1027" s="56"/>
      <c r="E1027" s="56"/>
      <c r="F1027" s="56"/>
    </row>
    <row r="1028" spans="3:6" x14ac:dyDescent="0.3">
      <c r="C1028" s="56"/>
      <c r="D1028" s="56"/>
      <c r="E1028" s="56"/>
      <c r="F1028" s="56"/>
    </row>
    <row r="1029" spans="3:6" x14ac:dyDescent="0.3">
      <c r="C1029" s="56"/>
      <c r="D1029" s="56"/>
      <c r="E1029" s="56"/>
      <c r="F1029" s="56"/>
    </row>
    <row r="1030" spans="3:6" x14ac:dyDescent="0.3">
      <c r="C1030" s="56"/>
      <c r="D1030" s="56"/>
      <c r="E1030" s="56"/>
      <c r="F1030" s="56"/>
    </row>
    <row r="1031" spans="3:6" x14ac:dyDescent="0.3">
      <c r="C1031" s="56"/>
      <c r="D1031" s="56"/>
      <c r="E1031" s="56"/>
      <c r="F1031" s="56"/>
    </row>
    <row r="1032" spans="3:6" x14ac:dyDescent="0.3">
      <c r="C1032" s="56"/>
      <c r="D1032" s="56"/>
      <c r="E1032" s="56"/>
      <c r="F1032" s="56"/>
    </row>
    <row r="1033" spans="3:6" x14ac:dyDescent="0.3">
      <c r="C1033" s="56"/>
      <c r="D1033" s="56"/>
      <c r="E1033" s="56"/>
      <c r="F1033" s="56"/>
    </row>
    <row r="1034" spans="3:6" x14ac:dyDescent="0.3">
      <c r="C1034" s="56"/>
      <c r="D1034" s="56"/>
      <c r="E1034" s="56"/>
      <c r="F1034" s="56"/>
    </row>
    <row r="1035" spans="3:6" x14ac:dyDescent="0.3">
      <c r="C1035" s="56"/>
      <c r="D1035" s="56"/>
      <c r="E1035" s="56"/>
      <c r="F1035" s="56"/>
    </row>
    <row r="1036" spans="3:6" x14ac:dyDescent="0.3">
      <c r="C1036" s="56"/>
      <c r="D1036" s="56"/>
      <c r="E1036" s="56"/>
      <c r="F1036" s="56"/>
    </row>
    <row r="1037" spans="3:6" x14ac:dyDescent="0.3">
      <c r="C1037" s="56"/>
      <c r="D1037" s="56"/>
      <c r="E1037" s="56"/>
      <c r="F1037" s="56"/>
    </row>
    <row r="1038" spans="3:6" x14ac:dyDescent="0.3">
      <c r="C1038" s="56"/>
      <c r="D1038" s="56"/>
      <c r="E1038" s="56"/>
      <c r="F1038" s="56"/>
    </row>
    <row r="1039" spans="3:6" x14ac:dyDescent="0.3">
      <c r="C1039" s="56"/>
      <c r="D1039" s="56"/>
      <c r="E1039" s="56"/>
      <c r="F1039" s="56"/>
    </row>
    <row r="1040" spans="3:6" x14ac:dyDescent="0.3">
      <c r="C1040" s="56"/>
      <c r="D1040" s="56"/>
      <c r="E1040" s="56"/>
      <c r="F1040" s="56"/>
    </row>
    <row r="1041" spans="3:6" x14ac:dyDescent="0.3">
      <c r="C1041" s="56"/>
      <c r="D1041" s="56"/>
      <c r="E1041" s="56"/>
      <c r="F1041" s="56"/>
    </row>
    <row r="1042" spans="3:6" x14ac:dyDescent="0.3">
      <c r="C1042" s="56"/>
      <c r="D1042" s="56"/>
      <c r="E1042" s="56"/>
      <c r="F1042" s="56"/>
    </row>
    <row r="1043" spans="3:6" x14ac:dyDescent="0.3">
      <c r="C1043" s="56"/>
      <c r="D1043" s="56"/>
      <c r="E1043" s="56"/>
      <c r="F1043" s="56"/>
    </row>
    <row r="1044" spans="3:6" x14ac:dyDescent="0.3">
      <c r="C1044" s="56"/>
      <c r="D1044" s="56"/>
      <c r="E1044" s="56"/>
      <c r="F1044" s="56"/>
    </row>
    <row r="1045" spans="3:6" x14ac:dyDescent="0.3">
      <c r="C1045" s="56"/>
      <c r="D1045" s="56"/>
      <c r="E1045" s="56"/>
      <c r="F1045" s="56"/>
    </row>
    <row r="1046" spans="3:6" x14ac:dyDescent="0.3">
      <c r="C1046" s="56"/>
      <c r="D1046" s="56"/>
      <c r="E1046" s="56"/>
      <c r="F1046" s="56"/>
    </row>
    <row r="1047" spans="3:6" x14ac:dyDescent="0.3">
      <c r="C1047" s="56"/>
      <c r="D1047" s="56"/>
      <c r="E1047" s="56"/>
      <c r="F1047" s="56"/>
    </row>
    <row r="1048" spans="3:6" x14ac:dyDescent="0.3">
      <c r="C1048" s="56"/>
      <c r="D1048" s="56"/>
      <c r="E1048" s="56"/>
      <c r="F1048" s="56"/>
    </row>
    <row r="1049" spans="3:6" x14ac:dyDescent="0.3">
      <c r="C1049" s="56"/>
      <c r="D1049" s="56"/>
      <c r="E1049" s="56"/>
      <c r="F1049" s="56"/>
    </row>
    <row r="1050" spans="3:6" x14ac:dyDescent="0.3">
      <c r="C1050" s="56"/>
      <c r="D1050" s="56"/>
      <c r="E1050" s="56"/>
      <c r="F1050" s="56"/>
    </row>
    <row r="1051" spans="3:6" x14ac:dyDescent="0.3">
      <c r="C1051" s="56"/>
      <c r="D1051" s="56"/>
      <c r="E1051" s="56"/>
      <c r="F1051" s="56"/>
    </row>
    <row r="1052" spans="3:6" x14ac:dyDescent="0.3">
      <c r="C1052" s="56"/>
      <c r="D1052" s="56"/>
      <c r="E1052" s="56"/>
      <c r="F1052" s="56"/>
    </row>
    <row r="1053" spans="3:6" x14ac:dyDescent="0.3">
      <c r="C1053" s="56"/>
      <c r="D1053" s="56"/>
      <c r="E1053" s="56"/>
      <c r="F1053" s="56"/>
    </row>
    <row r="1054" spans="3:6" x14ac:dyDescent="0.3">
      <c r="C1054" s="56"/>
      <c r="D1054" s="56"/>
      <c r="E1054" s="56"/>
      <c r="F1054" s="56"/>
    </row>
    <row r="1055" spans="3:6" x14ac:dyDescent="0.3">
      <c r="C1055" s="56"/>
      <c r="D1055" s="56"/>
      <c r="E1055" s="56"/>
      <c r="F1055" s="56"/>
    </row>
    <row r="1056" spans="3:6" x14ac:dyDescent="0.3">
      <c r="C1056" s="56"/>
      <c r="D1056" s="56"/>
      <c r="E1056" s="56"/>
      <c r="F1056" s="56"/>
    </row>
    <row r="1057" spans="3:6" x14ac:dyDescent="0.3">
      <c r="C1057" s="56"/>
      <c r="D1057" s="56"/>
      <c r="E1057" s="56"/>
      <c r="F1057" s="56"/>
    </row>
    <row r="1058" spans="3:6" x14ac:dyDescent="0.3">
      <c r="C1058" s="56"/>
      <c r="D1058" s="56"/>
      <c r="E1058" s="56"/>
      <c r="F1058" s="56"/>
    </row>
    <row r="1059" spans="3:6" x14ac:dyDescent="0.3">
      <c r="C1059" s="56"/>
      <c r="D1059" s="56"/>
      <c r="E1059" s="56"/>
      <c r="F1059" s="56"/>
    </row>
    <row r="1060" spans="3:6" x14ac:dyDescent="0.3">
      <c r="C1060" s="56"/>
      <c r="D1060" s="56"/>
      <c r="E1060" s="56"/>
      <c r="F1060" s="56"/>
    </row>
    <row r="1061" spans="3:6" x14ac:dyDescent="0.3">
      <c r="C1061" s="56"/>
      <c r="D1061" s="56"/>
      <c r="E1061" s="56"/>
      <c r="F1061" s="56"/>
    </row>
    <row r="1062" spans="3:6" x14ac:dyDescent="0.3">
      <c r="C1062" s="56"/>
      <c r="D1062" s="56"/>
      <c r="E1062" s="56"/>
      <c r="F1062" s="56"/>
    </row>
    <row r="1063" spans="3:6" x14ac:dyDescent="0.3">
      <c r="C1063" s="56"/>
      <c r="D1063" s="56"/>
      <c r="E1063" s="56"/>
      <c r="F1063" s="56"/>
    </row>
    <row r="1064" spans="3:6" x14ac:dyDescent="0.3">
      <c r="C1064" s="56"/>
      <c r="D1064" s="56"/>
      <c r="E1064" s="56"/>
      <c r="F1064" s="56"/>
    </row>
    <row r="1065" spans="3:6" x14ac:dyDescent="0.3">
      <c r="C1065" s="56"/>
      <c r="D1065" s="56"/>
      <c r="E1065" s="56"/>
      <c r="F1065" s="56"/>
    </row>
    <row r="1066" spans="3:6" x14ac:dyDescent="0.3">
      <c r="C1066" s="56"/>
      <c r="D1066" s="56"/>
      <c r="E1066" s="56"/>
      <c r="F1066" s="56"/>
    </row>
    <row r="1067" spans="3:6" x14ac:dyDescent="0.3">
      <c r="C1067" s="56"/>
      <c r="D1067" s="56"/>
      <c r="E1067" s="56"/>
      <c r="F1067" s="56"/>
    </row>
    <row r="1068" spans="3:6" x14ac:dyDescent="0.3">
      <c r="C1068" s="56"/>
      <c r="D1068" s="56"/>
      <c r="E1068" s="56"/>
      <c r="F1068" s="56"/>
    </row>
    <row r="1069" spans="3:6" x14ac:dyDescent="0.3">
      <c r="C1069" s="56"/>
      <c r="D1069" s="56"/>
      <c r="E1069" s="56"/>
      <c r="F1069" s="56"/>
    </row>
    <row r="1070" spans="3:6" x14ac:dyDescent="0.3">
      <c r="C1070" s="56"/>
      <c r="D1070" s="56"/>
      <c r="E1070" s="56"/>
      <c r="F1070" s="56"/>
    </row>
    <row r="1071" spans="3:6" x14ac:dyDescent="0.3">
      <c r="C1071" s="56"/>
      <c r="D1071" s="56"/>
      <c r="E1071" s="56"/>
      <c r="F1071" s="56"/>
    </row>
    <row r="1072" spans="3:6" x14ac:dyDescent="0.3">
      <c r="C1072" s="56"/>
      <c r="D1072" s="56"/>
      <c r="E1072" s="56"/>
      <c r="F1072" s="56"/>
    </row>
    <row r="1073" spans="3:6" x14ac:dyDescent="0.3">
      <c r="C1073" s="56"/>
      <c r="D1073" s="56"/>
      <c r="E1073" s="56"/>
      <c r="F1073" s="56"/>
    </row>
    <row r="1074" spans="3:6" x14ac:dyDescent="0.3">
      <c r="C1074" s="56"/>
      <c r="D1074" s="56"/>
      <c r="E1074" s="56"/>
      <c r="F1074" s="56"/>
    </row>
    <row r="1075" spans="3:6" x14ac:dyDescent="0.3">
      <c r="C1075" s="56"/>
      <c r="D1075" s="56"/>
      <c r="E1075" s="56"/>
      <c r="F1075" s="56"/>
    </row>
    <row r="1076" spans="3:6" x14ac:dyDescent="0.3">
      <c r="C1076" s="56"/>
      <c r="D1076" s="56"/>
      <c r="E1076" s="56"/>
      <c r="F1076" s="56"/>
    </row>
    <row r="1077" spans="3:6" x14ac:dyDescent="0.3">
      <c r="C1077" s="56"/>
      <c r="D1077" s="56"/>
      <c r="E1077" s="56"/>
      <c r="F1077" s="56"/>
    </row>
    <row r="1078" spans="3:6" x14ac:dyDescent="0.3">
      <c r="C1078" s="56"/>
      <c r="D1078" s="56"/>
      <c r="E1078" s="56"/>
      <c r="F1078" s="56"/>
    </row>
    <row r="1079" spans="3:6" x14ac:dyDescent="0.3">
      <c r="C1079" s="56"/>
      <c r="D1079" s="56"/>
      <c r="E1079" s="56"/>
      <c r="F1079" s="56"/>
    </row>
    <row r="1080" spans="3:6" x14ac:dyDescent="0.3">
      <c r="C1080" s="56"/>
      <c r="D1080" s="56"/>
      <c r="E1080" s="56"/>
      <c r="F1080" s="56"/>
    </row>
    <row r="1081" spans="3:6" x14ac:dyDescent="0.3">
      <c r="C1081" s="56"/>
      <c r="D1081" s="56"/>
      <c r="E1081" s="56"/>
      <c r="F1081" s="56"/>
    </row>
    <row r="1082" spans="3:6" x14ac:dyDescent="0.3">
      <c r="C1082" s="56"/>
      <c r="D1082" s="56"/>
      <c r="E1082" s="56"/>
      <c r="F1082" s="56"/>
    </row>
    <row r="1083" spans="3:6" x14ac:dyDescent="0.3">
      <c r="C1083" s="56"/>
      <c r="D1083" s="56"/>
      <c r="E1083" s="56"/>
      <c r="F1083" s="56"/>
    </row>
    <row r="1084" spans="3:6" x14ac:dyDescent="0.3">
      <c r="C1084" s="56"/>
      <c r="D1084" s="56"/>
      <c r="E1084" s="56"/>
      <c r="F1084" s="56"/>
    </row>
    <row r="1085" spans="3:6" x14ac:dyDescent="0.3">
      <c r="C1085" s="56"/>
      <c r="D1085" s="56"/>
      <c r="E1085" s="56"/>
      <c r="F1085" s="56"/>
    </row>
    <row r="1086" spans="3:6" x14ac:dyDescent="0.3">
      <c r="C1086" s="56"/>
      <c r="D1086" s="56"/>
      <c r="E1086" s="56"/>
      <c r="F1086" s="56"/>
    </row>
    <row r="1087" spans="3:6" x14ac:dyDescent="0.3">
      <c r="C1087" s="56"/>
      <c r="D1087" s="56"/>
      <c r="E1087" s="56"/>
      <c r="F1087" s="56"/>
    </row>
    <row r="1088" spans="3:6" x14ac:dyDescent="0.3">
      <c r="C1088" s="56"/>
      <c r="D1088" s="56"/>
      <c r="E1088" s="56"/>
      <c r="F1088" s="56"/>
    </row>
    <row r="1089" spans="3:6" x14ac:dyDescent="0.3">
      <c r="C1089" s="56"/>
      <c r="D1089" s="56"/>
      <c r="E1089" s="56"/>
      <c r="F1089" s="56"/>
    </row>
    <row r="1090" spans="3:6" x14ac:dyDescent="0.3">
      <c r="C1090" s="56"/>
      <c r="D1090" s="56"/>
      <c r="E1090" s="56"/>
      <c r="F1090" s="56"/>
    </row>
    <row r="1091" spans="3:6" x14ac:dyDescent="0.3">
      <c r="C1091" s="56"/>
      <c r="D1091" s="56"/>
      <c r="E1091" s="56"/>
      <c r="F1091" s="56"/>
    </row>
    <row r="1092" spans="3:6" x14ac:dyDescent="0.3">
      <c r="C1092" s="56"/>
      <c r="D1092" s="56"/>
      <c r="E1092" s="56"/>
      <c r="F1092" s="56"/>
    </row>
    <row r="1093" spans="3:6" x14ac:dyDescent="0.3">
      <c r="C1093" s="56"/>
      <c r="D1093" s="56"/>
      <c r="E1093" s="56"/>
      <c r="F1093" s="56"/>
    </row>
    <row r="1094" spans="3:6" x14ac:dyDescent="0.3">
      <c r="C1094" s="56"/>
      <c r="D1094" s="56"/>
      <c r="E1094" s="56"/>
      <c r="F1094" s="56"/>
    </row>
    <row r="1095" spans="3:6" x14ac:dyDescent="0.3">
      <c r="C1095" s="56"/>
      <c r="D1095" s="56"/>
      <c r="E1095" s="56"/>
      <c r="F1095" s="56"/>
    </row>
    <row r="1096" spans="3:6" x14ac:dyDescent="0.3">
      <c r="C1096" s="56"/>
      <c r="D1096" s="56"/>
      <c r="E1096" s="56"/>
      <c r="F1096" s="56"/>
    </row>
    <row r="1097" spans="3:6" x14ac:dyDescent="0.3">
      <c r="C1097" s="56"/>
      <c r="D1097" s="56"/>
      <c r="E1097" s="56"/>
      <c r="F1097" s="56"/>
    </row>
    <row r="1098" spans="3:6" x14ac:dyDescent="0.3">
      <c r="C1098" s="56"/>
      <c r="D1098" s="56"/>
      <c r="E1098" s="56"/>
      <c r="F1098" s="56"/>
    </row>
    <row r="1099" spans="3:6" x14ac:dyDescent="0.3">
      <c r="C1099" s="56"/>
      <c r="D1099" s="56"/>
      <c r="E1099" s="56"/>
      <c r="F1099" s="56"/>
    </row>
    <row r="1100" spans="3:6" x14ac:dyDescent="0.3">
      <c r="C1100" s="56"/>
      <c r="D1100" s="56"/>
      <c r="E1100" s="56"/>
      <c r="F1100" s="56"/>
    </row>
    <row r="1101" spans="3:6" x14ac:dyDescent="0.3">
      <c r="C1101" s="56"/>
      <c r="D1101" s="56"/>
      <c r="E1101" s="56"/>
      <c r="F1101" s="56"/>
    </row>
    <row r="1102" spans="3:6" x14ac:dyDescent="0.3">
      <c r="C1102" s="56"/>
      <c r="D1102" s="56"/>
      <c r="E1102" s="56"/>
      <c r="F1102" s="56"/>
    </row>
    <row r="1103" spans="3:6" x14ac:dyDescent="0.3">
      <c r="C1103" s="56"/>
      <c r="D1103" s="56"/>
      <c r="E1103" s="56"/>
      <c r="F1103" s="56"/>
    </row>
    <row r="1104" spans="3:6" x14ac:dyDescent="0.3">
      <c r="C1104" s="56"/>
      <c r="D1104" s="56"/>
      <c r="E1104" s="56"/>
      <c r="F1104" s="56"/>
    </row>
    <row r="1105" spans="3:6" x14ac:dyDescent="0.3">
      <c r="C1105" s="56"/>
      <c r="D1105" s="56"/>
      <c r="E1105" s="56"/>
      <c r="F1105" s="56"/>
    </row>
    <row r="1106" spans="3:6" x14ac:dyDescent="0.3">
      <c r="C1106" s="56"/>
      <c r="D1106" s="56"/>
      <c r="E1106" s="56"/>
      <c r="F1106" s="56"/>
    </row>
    <row r="1107" spans="3:6" x14ac:dyDescent="0.3">
      <c r="C1107" s="56"/>
      <c r="D1107" s="56"/>
      <c r="E1107" s="56"/>
      <c r="F1107" s="56"/>
    </row>
    <row r="1108" spans="3:6" x14ac:dyDescent="0.3">
      <c r="C1108" s="56"/>
      <c r="D1108" s="56"/>
      <c r="E1108" s="56"/>
      <c r="F1108" s="56"/>
    </row>
    <row r="1109" spans="3:6" x14ac:dyDescent="0.3">
      <c r="C1109" s="56"/>
      <c r="D1109" s="56"/>
      <c r="E1109" s="56"/>
      <c r="F1109" s="56"/>
    </row>
    <row r="1110" spans="3:6" x14ac:dyDescent="0.3">
      <c r="C1110" s="56"/>
      <c r="D1110" s="56"/>
      <c r="E1110" s="56"/>
      <c r="F1110" s="56"/>
    </row>
    <row r="1111" spans="3:6" x14ac:dyDescent="0.3">
      <c r="C1111" s="56"/>
      <c r="D1111" s="56"/>
      <c r="E1111" s="56"/>
      <c r="F1111" s="56"/>
    </row>
    <row r="1112" spans="3:6" x14ac:dyDescent="0.3">
      <c r="C1112" s="56"/>
      <c r="D1112" s="56"/>
      <c r="E1112" s="56"/>
      <c r="F1112" s="56"/>
    </row>
    <row r="1113" spans="3:6" x14ac:dyDescent="0.3">
      <c r="C1113" s="56"/>
      <c r="D1113" s="56"/>
      <c r="E1113" s="56"/>
      <c r="F1113" s="56"/>
    </row>
    <row r="1114" spans="3:6" x14ac:dyDescent="0.3">
      <c r="C1114" s="56"/>
      <c r="D1114" s="56"/>
      <c r="E1114" s="56"/>
      <c r="F1114" s="56"/>
    </row>
    <row r="1115" spans="3:6" x14ac:dyDescent="0.3">
      <c r="C1115" s="56"/>
      <c r="D1115" s="56"/>
      <c r="E1115" s="56"/>
      <c r="F1115" s="56"/>
    </row>
    <row r="1116" spans="3:6" x14ac:dyDescent="0.3">
      <c r="C1116" s="56"/>
      <c r="D1116" s="56"/>
      <c r="E1116" s="56"/>
      <c r="F1116" s="56"/>
    </row>
    <row r="1117" spans="3:6" x14ac:dyDescent="0.3">
      <c r="C1117" s="56"/>
      <c r="D1117" s="56"/>
      <c r="E1117" s="56"/>
      <c r="F1117" s="56"/>
    </row>
    <row r="1118" spans="3:6" x14ac:dyDescent="0.3">
      <c r="C1118" s="56"/>
      <c r="D1118" s="56"/>
      <c r="E1118" s="56"/>
      <c r="F1118" s="56"/>
    </row>
    <row r="1119" spans="3:6" x14ac:dyDescent="0.3">
      <c r="C1119" s="56"/>
      <c r="D1119" s="56"/>
      <c r="E1119" s="56"/>
      <c r="F1119" s="56"/>
    </row>
    <row r="1120" spans="3:6" x14ac:dyDescent="0.3">
      <c r="C1120" s="56"/>
      <c r="D1120" s="56"/>
      <c r="E1120" s="56"/>
      <c r="F1120" s="56"/>
    </row>
    <row r="1121" spans="3:6" x14ac:dyDescent="0.3">
      <c r="C1121" s="56"/>
      <c r="D1121" s="56"/>
      <c r="E1121" s="56"/>
      <c r="F1121" s="56"/>
    </row>
    <row r="1122" spans="3:6" x14ac:dyDescent="0.3">
      <c r="C1122" s="56"/>
      <c r="D1122" s="56"/>
      <c r="E1122" s="56"/>
      <c r="F1122" s="56"/>
    </row>
    <row r="1123" spans="3:6" x14ac:dyDescent="0.3">
      <c r="C1123" s="56"/>
      <c r="D1123" s="56"/>
      <c r="E1123" s="56"/>
      <c r="F1123" s="56"/>
    </row>
    <row r="1124" spans="3:6" x14ac:dyDescent="0.3">
      <c r="C1124" s="56"/>
      <c r="D1124" s="56"/>
      <c r="E1124" s="56"/>
      <c r="F1124" s="56"/>
    </row>
    <row r="1125" spans="3:6" x14ac:dyDescent="0.3">
      <c r="C1125" s="56"/>
      <c r="D1125" s="56"/>
      <c r="E1125" s="56"/>
      <c r="F1125" s="56"/>
    </row>
    <row r="1126" spans="3:6" x14ac:dyDescent="0.3">
      <c r="C1126" s="56"/>
      <c r="D1126" s="56"/>
      <c r="E1126" s="56"/>
      <c r="F1126" s="56"/>
    </row>
    <row r="1127" spans="3:6" x14ac:dyDescent="0.3">
      <c r="C1127" s="56"/>
      <c r="D1127" s="56"/>
      <c r="E1127" s="56"/>
      <c r="F1127" s="56"/>
    </row>
    <row r="1128" spans="3:6" x14ac:dyDescent="0.3">
      <c r="C1128" s="56"/>
      <c r="D1128" s="56"/>
      <c r="E1128" s="56"/>
      <c r="F1128" s="56"/>
    </row>
    <row r="1129" spans="3:6" x14ac:dyDescent="0.3">
      <c r="C1129" s="56"/>
      <c r="D1129" s="56"/>
      <c r="E1129" s="56"/>
      <c r="F1129" s="56"/>
    </row>
    <row r="1130" spans="3:6" x14ac:dyDescent="0.3">
      <c r="C1130" s="56"/>
      <c r="D1130" s="56"/>
      <c r="E1130" s="56"/>
      <c r="F1130" s="56"/>
    </row>
    <row r="1131" spans="3:6" x14ac:dyDescent="0.3">
      <c r="C1131" s="56"/>
      <c r="D1131" s="56"/>
      <c r="E1131" s="56"/>
      <c r="F1131" s="56"/>
    </row>
    <row r="1132" spans="3:6" x14ac:dyDescent="0.3">
      <c r="C1132" s="56"/>
      <c r="D1132" s="56"/>
      <c r="E1132" s="56"/>
      <c r="F1132" s="56"/>
    </row>
    <row r="1133" spans="3:6" x14ac:dyDescent="0.3">
      <c r="C1133" s="56"/>
      <c r="D1133" s="56"/>
      <c r="E1133" s="56"/>
      <c r="F1133" s="56"/>
    </row>
    <row r="1134" spans="3:6" x14ac:dyDescent="0.3">
      <c r="C1134" s="56"/>
      <c r="D1134" s="56"/>
      <c r="E1134" s="56"/>
      <c r="F1134" s="56"/>
    </row>
    <row r="1135" spans="3:6" x14ac:dyDescent="0.3">
      <c r="C1135" s="56"/>
      <c r="D1135" s="56"/>
      <c r="E1135" s="56"/>
      <c r="F1135" s="56"/>
    </row>
    <row r="1136" spans="3:6" x14ac:dyDescent="0.3">
      <c r="C1136" s="56"/>
      <c r="D1136" s="56"/>
      <c r="E1136" s="56"/>
      <c r="F1136" s="56"/>
    </row>
    <row r="1137" spans="3:6" x14ac:dyDescent="0.3">
      <c r="C1137" s="56"/>
      <c r="D1137" s="56"/>
      <c r="E1137" s="56"/>
      <c r="F1137" s="56"/>
    </row>
    <row r="1138" spans="3:6" x14ac:dyDescent="0.3">
      <c r="C1138" s="56"/>
      <c r="D1138" s="56"/>
      <c r="E1138" s="56"/>
      <c r="F1138" s="56"/>
    </row>
    <row r="1139" spans="3:6" x14ac:dyDescent="0.3">
      <c r="C1139" s="56"/>
      <c r="D1139" s="56"/>
      <c r="E1139" s="56"/>
      <c r="F1139" s="56"/>
    </row>
    <row r="1140" spans="3:6" x14ac:dyDescent="0.3">
      <c r="C1140" s="56"/>
      <c r="D1140" s="56"/>
      <c r="E1140" s="56"/>
      <c r="F1140" s="56"/>
    </row>
    <row r="1141" spans="3:6" x14ac:dyDescent="0.3">
      <c r="C1141" s="56"/>
      <c r="D1141" s="56"/>
      <c r="E1141" s="56"/>
      <c r="F1141" s="56"/>
    </row>
    <row r="1142" spans="3:6" x14ac:dyDescent="0.3">
      <c r="C1142" s="56"/>
      <c r="D1142" s="56"/>
      <c r="E1142" s="56"/>
      <c r="F1142" s="56"/>
    </row>
    <row r="1143" spans="3:6" x14ac:dyDescent="0.3">
      <c r="C1143" s="56"/>
      <c r="D1143" s="56"/>
      <c r="E1143" s="56"/>
      <c r="F1143" s="56"/>
    </row>
    <row r="1144" spans="3:6" x14ac:dyDescent="0.3">
      <c r="C1144" s="56"/>
      <c r="D1144" s="56"/>
      <c r="E1144" s="56"/>
      <c r="F1144" s="56"/>
    </row>
    <row r="1145" spans="3:6" x14ac:dyDescent="0.3">
      <c r="C1145" s="56"/>
      <c r="D1145" s="56"/>
      <c r="E1145" s="56"/>
      <c r="F1145" s="56"/>
    </row>
    <row r="1146" spans="3:6" x14ac:dyDescent="0.3">
      <c r="C1146" s="56"/>
      <c r="D1146" s="56"/>
      <c r="E1146" s="56"/>
      <c r="F1146" s="56"/>
    </row>
    <row r="1147" spans="3:6" x14ac:dyDescent="0.3">
      <c r="C1147" s="56"/>
      <c r="D1147" s="56"/>
      <c r="E1147" s="56"/>
      <c r="F1147" s="56"/>
    </row>
    <row r="1148" spans="3:6" x14ac:dyDescent="0.3">
      <c r="C1148" s="56"/>
      <c r="D1148" s="56"/>
      <c r="E1148" s="56"/>
      <c r="F1148" s="56"/>
    </row>
    <row r="1149" spans="3:6" x14ac:dyDescent="0.3">
      <c r="C1149" s="56"/>
      <c r="D1149" s="56"/>
      <c r="E1149" s="56"/>
      <c r="F1149" s="56"/>
    </row>
    <row r="1150" spans="3:6" x14ac:dyDescent="0.3">
      <c r="C1150" s="56"/>
      <c r="D1150" s="56"/>
      <c r="E1150" s="56"/>
      <c r="F1150" s="56"/>
    </row>
    <row r="1151" spans="3:6" x14ac:dyDescent="0.3">
      <c r="C1151" s="56"/>
      <c r="D1151" s="56"/>
      <c r="E1151" s="56"/>
      <c r="F1151" s="56"/>
    </row>
    <row r="1152" spans="3:6" x14ac:dyDescent="0.3">
      <c r="C1152" s="56"/>
      <c r="D1152" s="56"/>
      <c r="E1152" s="56"/>
      <c r="F1152" s="56"/>
    </row>
    <row r="1153" spans="3:6" x14ac:dyDescent="0.3">
      <c r="C1153" s="56"/>
      <c r="D1153" s="56"/>
      <c r="E1153" s="56"/>
      <c r="F1153" s="56"/>
    </row>
    <row r="1154" spans="3:6" x14ac:dyDescent="0.3">
      <c r="C1154" s="56"/>
      <c r="D1154" s="56"/>
      <c r="E1154" s="56"/>
      <c r="F1154" s="56"/>
    </row>
    <row r="1155" spans="3:6" x14ac:dyDescent="0.3">
      <c r="C1155" s="56"/>
      <c r="D1155" s="56"/>
      <c r="E1155" s="56"/>
      <c r="F1155" s="56"/>
    </row>
    <row r="1156" spans="3:6" x14ac:dyDescent="0.3">
      <c r="C1156" s="56"/>
      <c r="D1156" s="56"/>
      <c r="E1156" s="56"/>
      <c r="F1156" s="56"/>
    </row>
    <row r="1157" spans="3:6" x14ac:dyDescent="0.3">
      <c r="C1157" s="56"/>
      <c r="D1157" s="56"/>
      <c r="E1157" s="56"/>
      <c r="F1157" s="56"/>
    </row>
    <row r="1158" spans="3:6" x14ac:dyDescent="0.3">
      <c r="C1158" s="56"/>
      <c r="D1158" s="56"/>
      <c r="E1158" s="56"/>
      <c r="F1158" s="56"/>
    </row>
    <row r="1159" spans="3:6" x14ac:dyDescent="0.3">
      <c r="C1159" s="56"/>
      <c r="D1159" s="56"/>
      <c r="E1159" s="56"/>
      <c r="F1159" s="56"/>
    </row>
    <row r="1160" spans="3:6" x14ac:dyDescent="0.3">
      <c r="C1160" s="56"/>
      <c r="D1160" s="56"/>
      <c r="E1160" s="56"/>
      <c r="F1160" s="56"/>
    </row>
    <row r="1161" spans="3:6" x14ac:dyDescent="0.3">
      <c r="C1161" s="56"/>
      <c r="D1161" s="56"/>
      <c r="E1161" s="56"/>
      <c r="F1161" s="56"/>
    </row>
    <row r="1162" spans="3:6" x14ac:dyDescent="0.3">
      <c r="C1162" s="56"/>
      <c r="D1162" s="56"/>
      <c r="E1162" s="56"/>
      <c r="F1162" s="56"/>
    </row>
    <row r="1163" spans="3:6" x14ac:dyDescent="0.3">
      <c r="C1163" s="56"/>
      <c r="D1163" s="56"/>
      <c r="E1163" s="56"/>
      <c r="F1163" s="56"/>
    </row>
    <row r="1164" spans="3:6" x14ac:dyDescent="0.3">
      <c r="C1164" s="56"/>
      <c r="D1164" s="56"/>
      <c r="E1164" s="56"/>
      <c r="F1164" s="56"/>
    </row>
    <row r="1165" spans="3:6" x14ac:dyDescent="0.3">
      <c r="C1165" s="56"/>
      <c r="D1165" s="56"/>
      <c r="E1165" s="56"/>
      <c r="F1165" s="56"/>
    </row>
    <row r="1166" spans="3:6" x14ac:dyDescent="0.3">
      <c r="C1166" s="56"/>
      <c r="D1166" s="56"/>
      <c r="E1166" s="56"/>
      <c r="F1166" s="56"/>
    </row>
    <row r="1167" spans="3:6" x14ac:dyDescent="0.3">
      <c r="C1167" s="56"/>
      <c r="D1167" s="56"/>
      <c r="E1167" s="56"/>
      <c r="F1167" s="56"/>
    </row>
    <row r="1168" spans="3:6" x14ac:dyDescent="0.3">
      <c r="C1168" s="56"/>
      <c r="D1168" s="56"/>
      <c r="E1168" s="56"/>
      <c r="F1168" s="56"/>
    </row>
    <row r="1169" spans="3:6" x14ac:dyDescent="0.3">
      <c r="C1169" s="56"/>
      <c r="D1169" s="56"/>
      <c r="E1169" s="56"/>
      <c r="F1169" s="56"/>
    </row>
    <row r="1170" spans="3:6" x14ac:dyDescent="0.3">
      <c r="C1170" s="56"/>
      <c r="D1170" s="56"/>
      <c r="E1170" s="56"/>
      <c r="F1170" s="56"/>
    </row>
    <row r="1171" spans="3:6" x14ac:dyDescent="0.3">
      <c r="C1171" s="56"/>
      <c r="D1171" s="56"/>
      <c r="E1171" s="56"/>
      <c r="F1171" s="56"/>
    </row>
    <row r="1172" spans="3:6" x14ac:dyDescent="0.3">
      <c r="C1172" s="56"/>
      <c r="D1172" s="56"/>
      <c r="E1172" s="56"/>
      <c r="F1172" s="56"/>
    </row>
    <row r="1173" spans="3:6" x14ac:dyDescent="0.3">
      <c r="C1173" s="56"/>
      <c r="D1173" s="56"/>
      <c r="E1173" s="56"/>
      <c r="F1173" s="56"/>
    </row>
    <row r="1174" spans="3:6" x14ac:dyDescent="0.3">
      <c r="C1174" s="56"/>
      <c r="D1174" s="56"/>
      <c r="E1174" s="56"/>
      <c r="F1174" s="56"/>
    </row>
    <row r="1175" spans="3:6" x14ac:dyDescent="0.3">
      <c r="C1175" s="56"/>
      <c r="D1175" s="56"/>
      <c r="E1175" s="56"/>
      <c r="F1175" s="56"/>
    </row>
    <row r="1176" spans="3:6" x14ac:dyDescent="0.3">
      <c r="C1176" s="56"/>
      <c r="D1176" s="56"/>
      <c r="E1176" s="56"/>
      <c r="F1176" s="56"/>
    </row>
    <row r="1177" spans="3:6" x14ac:dyDescent="0.3">
      <c r="C1177" s="56"/>
      <c r="D1177" s="56"/>
      <c r="E1177" s="56"/>
      <c r="F1177" s="56"/>
    </row>
    <row r="1178" spans="3:6" x14ac:dyDescent="0.3">
      <c r="C1178" s="56"/>
      <c r="D1178" s="56"/>
      <c r="E1178" s="56"/>
      <c r="F1178" s="56"/>
    </row>
    <row r="1179" spans="3:6" x14ac:dyDescent="0.3">
      <c r="C1179" s="56"/>
      <c r="D1179" s="56"/>
      <c r="E1179" s="56"/>
      <c r="F1179" s="56"/>
    </row>
    <row r="1180" spans="3:6" x14ac:dyDescent="0.3">
      <c r="C1180" s="56"/>
      <c r="D1180" s="56"/>
      <c r="E1180" s="56"/>
      <c r="F1180" s="56"/>
    </row>
    <row r="1181" spans="3:6" x14ac:dyDescent="0.3">
      <c r="C1181" s="56"/>
      <c r="D1181" s="56"/>
      <c r="E1181" s="56"/>
      <c r="F1181" s="56"/>
    </row>
    <row r="1182" spans="3:6" x14ac:dyDescent="0.3">
      <c r="C1182" s="56"/>
      <c r="D1182" s="56"/>
      <c r="E1182" s="56"/>
      <c r="F1182" s="56"/>
    </row>
    <row r="1183" spans="3:6" x14ac:dyDescent="0.3">
      <c r="C1183" s="56"/>
      <c r="D1183" s="56"/>
      <c r="E1183" s="56"/>
      <c r="F1183" s="56"/>
    </row>
    <row r="1184" spans="3:6" x14ac:dyDescent="0.3">
      <c r="C1184" s="56"/>
      <c r="D1184" s="56"/>
      <c r="E1184" s="56"/>
      <c r="F1184" s="56"/>
    </row>
    <row r="1185" spans="3:6" x14ac:dyDescent="0.3">
      <c r="C1185" s="56"/>
      <c r="D1185" s="56"/>
      <c r="E1185" s="56"/>
      <c r="F1185" s="56"/>
    </row>
    <row r="1186" spans="3:6" x14ac:dyDescent="0.3">
      <c r="C1186" s="56"/>
      <c r="D1186" s="56"/>
      <c r="E1186" s="56"/>
      <c r="F1186" s="56"/>
    </row>
    <row r="1187" spans="3:6" x14ac:dyDescent="0.3">
      <c r="C1187" s="56"/>
      <c r="D1187" s="56"/>
      <c r="E1187" s="56"/>
      <c r="F1187" s="56"/>
    </row>
    <row r="1188" spans="3:6" x14ac:dyDescent="0.3">
      <c r="C1188" s="56"/>
      <c r="D1188" s="56"/>
      <c r="E1188" s="56"/>
      <c r="F1188" s="56"/>
    </row>
    <row r="1189" spans="3:6" x14ac:dyDescent="0.3">
      <c r="C1189" s="56"/>
      <c r="D1189" s="56"/>
      <c r="E1189" s="56"/>
      <c r="F1189" s="56"/>
    </row>
    <row r="1190" spans="3:6" x14ac:dyDescent="0.3">
      <c r="C1190" s="56"/>
      <c r="D1190" s="56"/>
      <c r="E1190" s="56"/>
      <c r="F1190" s="56"/>
    </row>
    <row r="1191" spans="3:6" x14ac:dyDescent="0.3">
      <c r="C1191" s="56"/>
      <c r="D1191" s="56"/>
      <c r="E1191" s="56"/>
      <c r="F1191" s="56"/>
    </row>
    <row r="1192" spans="3:6" x14ac:dyDescent="0.3">
      <c r="C1192" s="56"/>
      <c r="D1192" s="56"/>
      <c r="E1192" s="56"/>
      <c r="F1192" s="56"/>
    </row>
    <row r="1193" spans="3:6" x14ac:dyDescent="0.3">
      <c r="C1193" s="56"/>
      <c r="D1193" s="56"/>
      <c r="E1193" s="56"/>
      <c r="F1193" s="56"/>
    </row>
    <row r="1194" spans="3:6" x14ac:dyDescent="0.3">
      <c r="C1194" s="56"/>
      <c r="D1194" s="56"/>
      <c r="E1194" s="56"/>
      <c r="F1194" s="56"/>
    </row>
    <row r="1195" spans="3:6" x14ac:dyDescent="0.3">
      <c r="C1195" s="56"/>
      <c r="D1195" s="56"/>
      <c r="E1195" s="56"/>
      <c r="F1195" s="56"/>
    </row>
    <row r="1196" spans="3:6" x14ac:dyDescent="0.3">
      <c r="C1196" s="56"/>
      <c r="D1196" s="56"/>
      <c r="E1196" s="56"/>
      <c r="F1196" s="56"/>
    </row>
    <row r="1197" spans="3:6" x14ac:dyDescent="0.3">
      <c r="C1197" s="56"/>
      <c r="D1197" s="56"/>
      <c r="E1197" s="56"/>
      <c r="F1197" s="56"/>
    </row>
    <row r="1198" spans="3:6" x14ac:dyDescent="0.3">
      <c r="C1198" s="56"/>
      <c r="D1198" s="56"/>
      <c r="E1198" s="56"/>
      <c r="F1198" s="56"/>
    </row>
    <row r="1199" spans="3:6" x14ac:dyDescent="0.3">
      <c r="C1199" s="56"/>
      <c r="D1199" s="56"/>
      <c r="E1199" s="56"/>
      <c r="F1199" s="56"/>
    </row>
    <row r="1200" spans="3:6" x14ac:dyDescent="0.3">
      <c r="C1200" s="56"/>
      <c r="D1200" s="56"/>
      <c r="E1200" s="56"/>
      <c r="F1200" s="56"/>
    </row>
    <row r="1201" spans="3:6" x14ac:dyDescent="0.3">
      <c r="C1201" s="56"/>
      <c r="D1201" s="56"/>
      <c r="E1201" s="56"/>
      <c r="F1201" s="56"/>
    </row>
    <row r="1202" spans="3:6" x14ac:dyDescent="0.3">
      <c r="C1202" s="56"/>
      <c r="D1202" s="56"/>
      <c r="E1202" s="56"/>
      <c r="F1202" s="56"/>
    </row>
    <row r="1203" spans="3:6" x14ac:dyDescent="0.3">
      <c r="C1203" s="56"/>
      <c r="D1203" s="56"/>
      <c r="E1203" s="56"/>
      <c r="F1203" s="56"/>
    </row>
    <row r="1204" spans="3:6" x14ac:dyDescent="0.3">
      <c r="C1204" s="56"/>
      <c r="D1204" s="56"/>
      <c r="E1204" s="56"/>
      <c r="F1204" s="56"/>
    </row>
    <row r="1205" spans="3:6" x14ac:dyDescent="0.3">
      <c r="C1205" s="56"/>
      <c r="D1205" s="56"/>
      <c r="E1205" s="56"/>
      <c r="F1205" s="56"/>
    </row>
    <row r="1206" spans="3:6" x14ac:dyDescent="0.3">
      <c r="C1206" s="56"/>
      <c r="D1206" s="56"/>
      <c r="E1206" s="56"/>
      <c r="F1206" s="56"/>
    </row>
    <row r="1207" spans="3:6" x14ac:dyDescent="0.3">
      <c r="C1207" s="56"/>
      <c r="D1207" s="56"/>
      <c r="E1207" s="56"/>
      <c r="F1207" s="56"/>
    </row>
    <row r="1208" spans="3:6" x14ac:dyDescent="0.3">
      <c r="C1208" s="56"/>
      <c r="D1208" s="56"/>
      <c r="E1208" s="56"/>
      <c r="F1208" s="56"/>
    </row>
    <row r="1209" spans="3:6" x14ac:dyDescent="0.3">
      <c r="C1209" s="56"/>
      <c r="D1209" s="56"/>
      <c r="E1209" s="56"/>
      <c r="F1209" s="56"/>
    </row>
    <row r="1210" spans="3:6" x14ac:dyDescent="0.3">
      <c r="C1210" s="56"/>
      <c r="D1210" s="56"/>
      <c r="E1210" s="56"/>
      <c r="F1210" s="56"/>
    </row>
    <row r="1211" spans="3:6" x14ac:dyDescent="0.3">
      <c r="C1211" s="56"/>
      <c r="D1211" s="56"/>
      <c r="E1211" s="56"/>
      <c r="F1211" s="56"/>
    </row>
    <row r="1212" spans="3:6" x14ac:dyDescent="0.3">
      <c r="C1212" s="56"/>
      <c r="D1212" s="56"/>
      <c r="E1212" s="56"/>
      <c r="F1212" s="56"/>
    </row>
    <row r="1213" spans="3:6" x14ac:dyDescent="0.3">
      <c r="C1213" s="56"/>
      <c r="D1213" s="56"/>
      <c r="E1213" s="56"/>
      <c r="F1213" s="56"/>
    </row>
    <row r="1214" spans="3:6" x14ac:dyDescent="0.3">
      <c r="C1214" s="56"/>
      <c r="D1214" s="56"/>
      <c r="E1214" s="56"/>
      <c r="F1214" s="56"/>
    </row>
    <row r="1215" spans="3:6" x14ac:dyDescent="0.3">
      <c r="C1215" s="56"/>
      <c r="D1215" s="56"/>
      <c r="E1215" s="56"/>
      <c r="F1215" s="56"/>
    </row>
    <row r="1216" spans="3:6" x14ac:dyDescent="0.3">
      <c r="C1216" s="56"/>
      <c r="D1216" s="56"/>
      <c r="E1216" s="56"/>
      <c r="F1216" s="56"/>
    </row>
    <row r="1217" spans="3:6" x14ac:dyDescent="0.3">
      <c r="C1217" s="56"/>
      <c r="D1217" s="56"/>
      <c r="E1217" s="56"/>
      <c r="F1217" s="56"/>
    </row>
    <row r="1218" spans="3:6" x14ac:dyDescent="0.3">
      <c r="C1218" s="56"/>
      <c r="D1218" s="56"/>
      <c r="E1218" s="56"/>
      <c r="F1218" s="56"/>
    </row>
    <row r="1219" spans="3:6" x14ac:dyDescent="0.3">
      <c r="C1219" s="56"/>
      <c r="D1219" s="56"/>
      <c r="E1219" s="56"/>
      <c r="F1219" s="56"/>
    </row>
    <row r="1220" spans="3:6" x14ac:dyDescent="0.3">
      <c r="C1220" s="56"/>
      <c r="D1220" s="56"/>
      <c r="E1220" s="56"/>
      <c r="F1220" s="56"/>
    </row>
    <row r="1221" spans="3:6" x14ac:dyDescent="0.3">
      <c r="C1221" s="56"/>
      <c r="D1221" s="56"/>
      <c r="E1221" s="56"/>
      <c r="F1221" s="56"/>
    </row>
    <row r="1222" spans="3:6" x14ac:dyDescent="0.3">
      <c r="C1222" s="56"/>
      <c r="D1222" s="56"/>
      <c r="E1222" s="56"/>
      <c r="F1222" s="56"/>
    </row>
    <row r="1223" spans="3:6" x14ac:dyDescent="0.3">
      <c r="C1223" s="56"/>
      <c r="D1223" s="56"/>
      <c r="E1223" s="56"/>
      <c r="F1223" s="56"/>
    </row>
    <row r="1224" spans="3:6" x14ac:dyDescent="0.3">
      <c r="C1224" s="56"/>
      <c r="D1224" s="56"/>
      <c r="E1224" s="56"/>
      <c r="F1224" s="56"/>
    </row>
    <row r="1225" spans="3:6" x14ac:dyDescent="0.3">
      <c r="C1225" s="56"/>
      <c r="D1225" s="56"/>
      <c r="E1225" s="56"/>
      <c r="F1225" s="56"/>
    </row>
    <row r="1226" spans="3:6" x14ac:dyDescent="0.3">
      <c r="C1226" s="56"/>
      <c r="D1226" s="56"/>
      <c r="E1226" s="56"/>
      <c r="F1226" s="56"/>
    </row>
    <row r="1227" spans="3:6" x14ac:dyDescent="0.3">
      <c r="C1227" s="56"/>
      <c r="D1227" s="56"/>
      <c r="E1227" s="56"/>
      <c r="F1227" s="56"/>
    </row>
    <row r="1228" spans="3:6" x14ac:dyDescent="0.3">
      <c r="C1228" s="56"/>
      <c r="D1228" s="56"/>
      <c r="E1228" s="56"/>
      <c r="F1228" s="56"/>
    </row>
    <row r="1229" spans="3:6" x14ac:dyDescent="0.3">
      <c r="C1229" s="56"/>
      <c r="D1229" s="56"/>
      <c r="E1229" s="56"/>
      <c r="F1229" s="56"/>
    </row>
    <row r="1230" spans="3:6" x14ac:dyDescent="0.3">
      <c r="C1230" s="56"/>
      <c r="D1230" s="56"/>
      <c r="E1230" s="56"/>
      <c r="F1230" s="56"/>
    </row>
    <row r="1231" spans="3:6" x14ac:dyDescent="0.3">
      <c r="C1231" s="56"/>
      <c r="D1231" s="56"/>
      <c r="E1231" s="56"/>
      <c r="F1231" s="56"/>
    </row>
    <row r="1232" spans="3:6" x14ac:dyDescent="0.3">
      <c r="C1232" s="56"/>
      <c r="D1232" s="56"/>
      <c r="E1232" s="56"/>
      <c r="F1232" s="56"/>
    </row>
    <row r="1233" spans="3:6" x14ac:dyDescent="0.3">
      <c r="C1233" s="56"/>
      <c r="D1233" s="56"/>
      <c r="E1233" s="56"/>
      <c r="F1233" s="56"/>
    </row>
    <row r="1234" spans="3:6" x14ac:dyDescent="0.3">
      <c r="C1234" s="56"/>
      <c r="D1234" s="56"/>
      <c r="E1234" s="56"/>
      <c r="F1234" s="56"/>
    </row>
    <row r="1235" spans="3:6" x14ac:dyDescent="0.3">
      <c r="C1235" s="56"/>
      <c r="D1235" s="56"/>
      <c r="E1235" s="56"/>
      <c r="F1235" s="56"/>
    </row>
    <row r="1236" spans="3:6" x14ac:dyDescent="0.3">
      <c r="C1236" s="56"/>
      <c r="D1236" s="56"/>
      <c r="E1236" s="56"/>
      <c r="F1236" s="56"/>
    </row>
    <row r="1237" spans="3:6" x14ac:dyDescent="0.3">
      <c r="C1237" s="56"/>
      <c r="D1237" s="56"/>
      <c r="E1237" s="56"/>
    </row>
    <row r="1238" spans="3:6" x14ac:dyDescent="0.3">
      <c r="C1238" s="56"/>
      <c r="D1238" s="56"/>
      <c r="E1238" s="56"/>
    </row>
    <row r="1239" spans="3:6" x14ac:dyDescent="0.3">
      <c r="C1239" s="56"/>
      <c r="D1239" s="56"/>
      <c r="E1239" s="56"/>
    </row>
    <row r="1240" spans="3:6" x14ac:dyDescent="0.3">
      <c r="C1240" s="56"/>
      <c r="D1240" s="56"/>
      <c r="E1240" s="56"/>
    </row>
    <row r="1241" spans="3:6" x14ac:dyDescent="0.3">
      <c r="C1241" s="56"/>
      <c r="D1241" s="56"/>
      <c r="E1241" s="56"/>
    </row>
    <row r="1242" spans="3:6" x14ac:dyDescent="0.3">
      <c r="C1242" s="56"/>
      <c r="D1242" s="56"/>
      <c r="E1242" s="56"/>
    </row>
    <row r="1243" spans="3:6" x14ac:dyDescent="0.3">
      <c r="C1243" s="56"/>
      <c r="D1243" s="56"/>
      <c r="E1243" s="56"/>
    </row>
    <row r="1244" spans="3:6" x14ac:dyDescent="0.3">
      <c r="C1244" s="56"/>
      <c r="D1244" s="56"/>
      <c r="E1244" s="56"/>
    </row>
    <row r="1245" spans="3:6" x14ac:dyDescent="0.3">
      <c r="C1245" s="56"/>
      <c r="D1245" s="56"/>
      <c r="E1245" s="56"/>
    </row>
    <row r="1246" spans="3:6" x14ac:dyDescent="0.3">
      <c r="C1246" s="56"/>
      <c r="D1246" s="56"/>
      <c r="E1246" s="56"/>
    </row>
    <row r="1247" spans="3:6" x14ac:dyDescent="0.3">
      <c r="C1247" s="56"/>
      <c r="D1247" s="56"/>
      <c r="E1247" s="56"/>
    </row>
    <row r="1248" spans="3:6" x14ac:dyDescent="0.3">
      <c r="C1248" s="56"/>
      <c r="D1248" s="56"/>
      <c r="E1248" s="56"/>
    </row>
    <row r="1249" spans="3:5" x14ac:dyDescent="0.3">
      <c r="C1249" s="56"/>
      <c r="D1249" s="56"/>
      <c r="E1249" s="56"/>
    </row>
    <row r="1250" spans="3:5" x14ac:dyDescent="0.3">
      <c r="C1250" s="56"/>
      <c r="D1250" s="56"/>
      <c r="E1250" s="56"/>
    </row>
    <row r="1251" spans="3:5" x14ac:dyDescent="0.3">
      <c r="C1251" s="56"/>
      <c r="D1251" s="56"/>
      <c r="E1251" s="56"/>
    </row>
    <row r="1252" spans="3:5" x14ac:dyDescent="0.3">
      <c r="C1252" s="56"/>
      <c r="D1252" s="56"/>
      <c r="E1252" s="56"/>
    </row>
    <row r="1253" spans="3:5" x14ac:dyDescent="0.3">
      <c r="C1253" s="56"/>
      <c r="D1253" s="56"/>
      <c r="E1253" s="56"/>
    </row>
    <row r="1254" spans="3:5" x14ac:dyDescent="0.3">
      <c r="C1254" s="56"/>
      <c r="D1254" s="56"/>
      <c r="E1254" s="56"/>
    </row>
    <row r="1255" spans="3:5" x14ac:dyDescent="0.3">
      <c r="C1255" s="56"/>
      <c r="D1255" s="56"/>
      <c r="E1255" s="56"/>
    </row>
    <row r="1256" spans="3:5" x14ac:dyDescent="0.3">
      <c r="C1256" s="56"/>
      <c r="D1256" s="56"/>
      <c r="E1256" s="56"/>
    </row>
    <row r="1257" spans="3:5" x14ac:dyDescent="0.3">
      <c r="C1257" s="56"/>
      <c r="D1257" s="56"/>
      <c r="E1257" s="56"/>
    </row>
    <row r="1258" spans="3:5" x14ac:dyDescent="0.3">
      <c r="C1258" s="56"/>
      <c r="D1258" s="56"/>
      <c r="E1258" s="56"/>
    </row>
    <row r="1259" spans="3:5" x14ac:dyDescent="0.3">
      <c r="C1259" s="56"/>
      <c r="D1259" s="56"/>
      <c r="E1259" s="56"/>
    </row>
    <row r="1260" spans="3:5" x14ac:dyDescent="0.3">
      <c r="C1260" s="56"/>
      <c r="D1260" s="56"/>
      <c r="E1260" s="56"/>
    </row>
    <row r="1261" spans="3:5" x14ac:dyDescent="0.3">
      <c r="C1261" s="56"/>
      <c r="D1261" s="56"/>
      <c r="E1261" s="56"/>
    </row>
    <row r="1262" spans="3:5" x14ac:dyDescent="0.3">
      <c r="C1262" s="56"/>
      <c r="D1262" s="56"/>
      <c r="E1262" s="56"/>
    </row>
    <row r="1263" spans="3:5" x14ac:dyDescent="0.3">
      <c r="C1263" s="56"/>
      <c r="D1263" s="56"/>
      <c r="E1263" s="56"/>
    </row>
    <row r="1264" spans="3:5" x14ac:dyDescent="0.3">
      <c r="C1264" s="56"/>
      <c r="D1264" s="56"/>
      <c r="E1264" s="56"/>
    </row>
    <row r="1265" spans="3:5" x14ac:dyDescent="0.3">
      <c r="C1265" s="56"/>
      <c r="D1265" s="56"/>
      <c r="E1265" s="56"/>
    </row>
    <row r="1266" spans="3:5" x14ac:dyDescent="0.3">
      <c r="C1266" s="56"/>
      <c r="D1266" s="56"/>
      <c r="E1266" s="56"/>
    </row>
    <row r="1267" spans="3:5" x14ac:dyDescent="0.3">
      <c r="C1267" s="56"/>
      <c r="D1267" s="56"/>
      <c r="E1267" s="56"/>
    </row>
    <row r="1268" spans="3:5" x14ac:dyDescent="0.3">
      <c r="C1268" s="56"/>
      <c r="D1268" s="56"/>
    </row>
    <row r="1269" spans="3:5" x14ac:dyDescent="0.3">
      <c r="C1269" s="56"/>
      <c r="D1269" s="56"/>
    </row>
    <row r="1270" spans="3:5" x14ac:dyDescent="0.3">
      <c r="C1270" s="56"/>
      <c r="D1270" s="56"/>
    </row>
    <row r="1271" spans="3:5" x14ac:dyDescent="0.3">
      <c r="C1271" s="56"/>
      <c r="D1271" s="56"/>
    </row>
    <row r="1272" spans="3:5" x14ac:dyDescent="0.3">
      <c r="C1272" s="56"/>
      <c r="D1272" s="56"/>
    </row>
    <row r="1273" spans="3:5" x14ac:dyDescent="0.3">
      <c r="C1273" s="56"/>
      <c r="D1273" s="56"/>
    </row>
    <row r="1274" spans="3:5" x14ac:dyDescent="0.3">
      <c r="C1274" s="56"/>
      <c r="D1274" s="56"/>
    </row>
    <row r="1275" spans="3:5" x14ac:dyDescent="0.3">
      <c r="C1275" s="56"/>
      <c r="D1275" s="56"/>
    </row>
    <row r="1276" spans="3:5" x14ac:dyDescent="0.3">
      <c r="C1276" s="56"/>
      <c r="D1276" s="56"/>
    </row>
    <row r="1277" spans="3:5" x14ac:dyDescent="0.3">
      <c r="C1277" s="56"/>
      <c r="D1277" s="56"/>
    </row>
    <row r="1278" spans="3:5" x14ac:dyDescent="0.3">
      <c r="C1278" s="56"/>
      <c r="D1278" s="56"/>
    </row>
    <row r="1279" spans="3:5" x14ac:dyDescent="0.3">
      <c r="C1279" s="56"/>
      <c r="D1279" s="56"/>
    </row>
    <row r="1280" spans="3:5" x14ac:dyDescent="0.3">
      <c r="C1280" s="56"/>
      <c r="D1280" s="56"/>
    </row>
    <row r="1281" spans="3:4" x14ac:dyDescent="0.3">
      <c r="C1281" s="56"/>
      <c r="D1281" s="56"/>
    </row>
    <row r="1282" spans="3:4" x14ac:dyDescent="0.3">
      <c r="C1282" s="56"/>
      <c r="D1282" s="56"/>
    </row>
    <row r="1283" spans="3:4" x14ac:dyDescent="0.3">
      <c r="C1283" s="56"/>
      <c r="D1283" s="56"/>
    </row>
    <row r="1284" spans="3:4" x14ac:dyDescent="0.3">
      <c r="C1284" s="56"/>
      <c r="D1284" s="56"/>
    </row>
    <row r="1285" spans="3:4" x14ac:dyDescent="0.3">
      <c r="C1285" s="56"/>
      <c r="D1285" s="56"/>
    </row>
    <row r="1286" spans="3:4" x14ac:dyDescent="0.3">
      <c r="C1286" s="56"/>
      <c r="D1286" s="56"/>
    </row>
    <row r="1287" spans="3:4" x14ac:dyDescent="0.3">
      <c r="C1287" s="56"/>
      <c r="D1287" s="56"/>
    </row>
    <row r="1288" spans="3:4" x14ac:dyDescent="0.3">
      <c r="C1288" s="56"/>
      <c r="D1288" s="56"/>
    </row>
    <row r="1289" spans="3:4" x14ac:dyDescent="0.3">
      <c r="C1289" s="56"/>
      <c r="D1289" s="56"/>
    </row>
    <row r="1290" spans="3:4" x14ac:dyDescent="0.3">
      <c r="C1290" s="56"/>
      <c r="D1290" s="56"/>
    </row>
    <row r="1291" spans="3:4" x14ac:dyDescent="0.3">
      <c r="C1291" s="56"/>
      <c r="D1291" s="56"/>
    </row>
    <row r="1292" spans="3:4" x14ac:dyDescent="0.3">
      <c r="C1292" s="56"/>
      <c r="D1292" s="56"/>
    </row>
    <row r="1293" spans="3:4" x14ac:dyDescent="0.3">
      <c r="C1293" s="56"/>
      <c r="D1293" s="56"/>
    </row>
    <row r="1294" spans="3:4" x14ac:dyDescent="0.3">
      <c r="C1294" s="56"/>
      <c r="D1294" s="56"/>
    </row>
    <row r="1295" spans="3:4" x14ac:dyDescent="0.3">
      <c r="C1295" s="56"/>
      <c r="D1295" s="56"/>
    </row>
    <row r="1296" spans="3:4" x14ac:dyDescent="0.3">
      <c r="C1296" s="56"/>
      <c r="D1296" s="56"/>
    </row>
    <row r="1297" spans="3:4" x14ac:dyDescent="0.3">
      <c r="C1297" s="56"/>
      <c r="D1297" s="56"/>
    </row>
    <row r="1298" spans="3:4" x14ac:dyDescent="0.3">
      <c r="C1298" s="56"/>
      <c r="D1298" s="56"/>
    </row>
    <row r="1299" spans="3:4" x14ac:dyDescent="0.3">
      <c r="C1299" s="56"/>
      <c r="D1299" s="56"/>
    </row>
    <row r="1300" spans="3:4" x14ac:dyDescent="0.3">
      <c r="C1300" s="56"/>
      <c r="D1300" s="56"/>
    </row>
    <row r="1301" spans="3:4" x14ac:dyDescent="0.3">
      <c r="C1301" s="56"/>
      <c r="D1301" s="56"/>
    </row>
    <row r="1302" spans="3:4" x14ac:dyDescent="0.3">
      <c r="C1302" s="56"/>
      <c r="D1302" s="56"/>
    </row>
    <row r="1303" spans="3:4" x14ac:dyDescent="0.3">
      <c r="C1303" s="56"/>
      <c r="D1303" s="56"/>
    </row>
    <row r="1304" spans="3:4" x14ac:dyDescent="0.3">
      <c r="C1304" s="56"/>
      <c r="D1304" s="56"/>
    </row>
    <row r="1305" spans="3:4" x14ac:dyDescent="0.3">
      <c r="C1305" s="56"/>
      <c r="D1305" s="56"/>
    </row>
    <row r="1306" spans="3:4" x14ac:dyDescent="0.3">
      <c r="C1306" s="56"/>
      <c r="D1306" s="56"/>
    </row>
    <row r="1307" spans="3:4" x14ac:dyDescent="0.3">
      <c r="C1307" s="56"/>
      <c r="D1307" s="56"/>
    </row>
    <row r="1308" spans="3:4" x14ac:dyDescent="0.3">
      <c r="C1308" s="56"/>
      <c r="D1308" s="56"/>
    </row>
    <row r="1309" spans="3:4" x14ac:dyDescent="0.3">
      <c r="C1309" s="56"/>
      <c r="D1309" s="56"/>
    </row>
    <row r="1310" spans="3:4" x14ac:dyDescent="0.3">
      <c r="C1310" s="56"/>
      <c r="D1310" s="56"/>
    </row>
    <row r="1311" spans="3:4" x14ac:dyDescent="0.3">
      <c r="C1311" s="56"/>
      <c r="D1311" s="56"/>
    </row>
    <row r="1312" spans="3:4" x14ac:dyDescent="0.3">
      <c r="C1312" s="56"/>
      <c r="D1312" s="56"/>
    </row>
    <row r="1313" spans="3:4" x14ac:dyDescent="0.3">
      <c r="C1313" s="56"/>
      <c r="D1313" s="56"/>
    </row>
    <row r="1314" spans="3:4" x14ac:dyDescent="0.3">
      <c r="C1314" s="56"/>
      <c r="D1314" s="56"/>
    </row>
    <row r="1315" spans="3:4" x14ac:dyDescent="0.3">
      <c r="C1315" s="56"/>
      <c r="D1315" s="56"/>
    </row>
    <row r="1316" spans="3:4" x14ac:dyDescent="0.3">
      <c r="C1316" s="56"/>
      <c r="D1316" s="56"/>
    </row>
    <row r="1317" spans="3:4" x14ac:dyDescent="0.3">
      <c r="C1317" s="56"/>
      <c r="D1317" s="56"/>
    </row>
    <row r="1318" spans="3:4" x14ac:dyDescent="0.3">
      <c r="C1318" s="56"/>
      <c r="D1318" s="56"/>
    </row>
    <row r="1319" spans="3:4" x14ac:dyDescent="0.3">
      <c r="C1319" s="56"/>
      <c r="D1319" s="56"/>
    </row>
    <row r="1320" spans="3:4" x14ac:dyDescent="0.3">
      <c r="C1320" s="56"/>
      <c r="D1320" s="56"/>
    </row>
    <row r="1321" spans="3:4" x14ac:dyDescent="0.3">
      <c r="C1321" s="56"/>
      <c r="D1321" s="56"/>
    </row>
    <row r="1322" spans="3:4" x14ac:dyDescent="0.3">
      <c r="C1322" s="56"/>
      <c r="D1322" s="56"/>
    </row>
    <row r="1323" spans="3:4" x14ac:dyDescent="0.3">
      <c r="C1323" s="56"/>
      <c r="D1323" s="56"/>
    </row>
    <row r="1324" spans="3:4" x14ac:dyDescent="0.3">
      <c r="C1324" s="56"/>
      <c r="D1324" s="56"/>
    </row>
    <row r="1325" spans="3:4" x14ac:dyDescent="0.3">
      <c r="C1325" s="56"/>
      <c r="D1325" s="56"/>
    </row>
    <row r="1326" spans="3:4" x14ac:dyDescent="0.3">
      <c r="C1326" s="56"/>
      <c r="D1326" s="56"/>
    </row>
    <row r="1327" spans="3:4" x14ac:dyDescent="0.3">
      <c r="C1327" s="56"/>
      <c r="D1327" s="56"/>
    </row>
    <row r="1328" spans="3:4" x14ac:dyDescent="0.3">
      <c r="C1328" s="56"/>
      <c r="D1328" s="56"/>
    </row>
    <row r="1329" spans="3:4" x14ac:dyDescent="0.3">
      <c r="C1329" s="56"/>
      <c r="D1329" s="56"/>
    </row>
    <row r="1330" spans="3:4" x14ac:dyDescent="0.3">
      <c r="C1330" s="56"/>
      <c r="D1330" s="56"/>
    </row>
    <row r="1331" spans="3:4" x14ac:dyDescent="0.3">
      <c r="C1331" s="56"/>
      <c r="D1331" s="56"/>
    </row>
    <row r="1332" spans="3:4" x14ac:dyDescent="0.3">
      <c r="C1332" s="56"/>
      <c r="D1332" s="56"/>
    </row>
    <row r="1333" spans="3:4" x14ac:dyDescent="0.3">
      <c r="C1333" s="56"/>
      <c r="D1333" s="56"/>
    </row>
    <row r="1334" spans="3:4" x14ac:dyDescent="0.3">
      <c r="C1334" s="56"/>
      <c r="D1334" s="56"/>
    </row>
    <row r="1335" spans="3:4" x14ac:dyDescent="0.3">
      <c r="C1335" s="56"/>
      <c r="D1335" s="56"/>
    </row>
    <row r="1336" spans="3:4" x14ac:dyDescent="0.3">
      <c r="C1336" s="56"/>
      <c r="D1336" s="56"/>
    </row>
    <row r="1337" spans="3:4" x14ac:dyDescent="0.3">
      <c r="C1337" s="56"/>
      <c r="D1337" s="56"/>
    </row>
    <row r="1338" spans="3:4" x14ac:dyDescent="0.3">
      <c r="C1338" s="56"/>
      <c r="D1338" s="56"/>
    </row>
    <row r="1339" spans="3:4" x14ac:dyDescent="0.3">
      <c r="C1339" s="56"/>
      <c r="D1339" s="56"/>
    </row>
    <row r="1340" spans="3:4" x14ac:dyDescent="0.3">
      <c r="C1340" s="56"/>
      <c r="D1340" s="56"/>
    </row>
    <row r="1341" spans="3:4" x14ac:dyDescent="0.3">
      <c r="C1341" s="56"/>
      <c r="D1341" s="56"/>
    </row>
    <row r="1342" spans="3:4" x14ac:dyDescent="0.3">
      <c r="C1342" s="56"/>
      <c r="D1342" s="56"/>
    </row>
    <row r="1343" spans="3:4" x14ac:dyDescent="0.3">
      <c r="C1343" s="56"/>
      <c r="D1343" s="56"/>
    </row>
    <row r="1344" spans="3:4" x14ac:dyDescent="0.3">
      <c r="C1344" s="56"/>
      <c r="D1344" s="56"/>
    </row>
    <row r="1345" spans="3:4" x14ac:dyDescent="0.3">
      <c r="C1345" s="56"/>
      <c r="D1345" s="56"/>
    </row>
    <row r="1346" spans="3:4" x14ac:dyDescent="0.3">
      <c r="C1346" s="56"/>
      <c r="D1346" s="56"/>
    </row>
    <row r="1347" spans="3:4" x14ac:dyDescent="0.3">
      <c r="C1347" s="56"/>
      <c r="D1347" s="56"/>
    </row>
    <row r="1348" spans="3:4" x14ac:dyDescent="0.3">
      <c r="C1348" s="56"/>
      <c r="D1348" s="56"/>
    </row>
    <row r="1349" spans="3:4" x14ac:dyDescent="0.3">
      <c r="C1349" s="56"/>
      <c r="D1349" s="56"/>
    </row>
    <row r="1350" spans="3:4" x14ac:dyDescent="0.3">
      <c r="C1350" s="56"/>
      <c r="D1350" s="56"/>
    </row>
    <row r="1351" spans="3:4" x14ac:dyDescent="0.3">
      <c r="C1351" s="56"/>
      <c r="D1351" s="56"/>
    </row>
    <row r="1352" spans="3:4" x14ac:dyDescent="0.3">
      <c r="C1352" s="56"/>
      <c r="D1352" s="56"/>
    </row>
    <row r="1353" spans="3:4" x14ac:dyDescent="0.3">
      <c r="C1353" s="56"/>
      <c r="D1353" s="56"/>
    </row>
    <row r="1354" spans="3:4" x14ac:dyDescent="0.3">
      <c r="C1354" s="56"/>
      <c r="D1354" s="56"/>
    </row>
    <row r="1355" spans="3:4" x14ac:dyDescent="0.3">
      <c r="C1355" s="56"/>
      <c r="D1355" s="56"/>
    </row>
    <row r="1356" spans="3:4" x14ac:dyDescent="0.3">
      <c r="C1356" s="56"/>
      <c r="D1356" s="56"/>
    </row>
    <row r="1357" spans="3:4" x14ac:dyDescent="0.3">
      <c r="C1357" s="56"/>
      <c r="D1357" s="56"/>
    </row>
    <row r="1358" spans="3:4" x14ac:dyDescent="0.3">
      <c r="C1358" s="56"/>
      <c r="D1358" s="56"/>
    </row>
    <row r="1359" spans="3:4" x14ac:dyDescent="0.3">
      <c r="C1359" s="56"/>
      <c r="D1359" s="56"/>
    </row>
    <row r="1360" spans="3:4" x14ac:dyDescent="0.3">
      <c r="C1360" s="56"/>
      <c r="D1360" s="56"/>
    </row>
    <row r="1361" spans="3:4" x14ac:dyDescent="0.3">
      <c r="C1361" s="56"/>
      <c r="D1361" s="56"/>
    </row>
    <row r="1362" spans="3:4" x14ac:dyDescent="0.3">
      <c r="C1362" s="56"/>
      <c r="D1362" s="56"/>
    </row>
    <row r="1363" spans="3:4" x14ac:dyDescent="0.3">
      <c r="C1363" s="56"/>
      <c r="D1363" s="56"/>
    </row>
    <row r="1364" spans="3:4" x14ac:dyDescent="0.3">
      <c r="C1364" s="56"/>
      <c r="D1364" s="56"/>
    </row>
    <row r="1365" spans="3:4" x14ac:dyDescent="0.3">
      <c r="C1365" s="56"/>
      <c r="D1365" s="56"/>
    </row>
    <row r="1366" spans="3:4" x14ac:dyDescent="0.3">
      <c r="C1366" s="56"/>
      <c r="D1366" s="56"/>
    </row>
    <row r="1367" spans="3:4" x14ac:dyDescent="0.3">
      <c r="C1367" s="56"/>
      <c r="D1367" s="56"/>
    </row>
    <row r="1368" spans="3:4" x14ac:dyDescent="0.3">
      <c r="C1368" s="56"/>
      <c r="D1368" s="56"/>
    </row>
    <row r="1369" spans="3:4" x14ac:dyDescent="0.3">
      <c r="C1369" s="56"/>
      <c r="D1369" s="56"/>
    </row>
    <row r="1370" spans="3:4" x14ac:dyDescent="0.3">
      <c r="C1370" s="56"/>
      <c r="D1370" s="56"/>
    </row>
    <row r="1371" spans="3:4" x14ac:dyDescent="0.3">
      <c r="C1371" s="56"/>
      <c r="D1371" s="56"/>
    </row>
    <row r="1372" spans="3:4" x14ac:dyDescent="0.3">
      <c r="C1372" s="56"/>
      <c r="D1372" s="56"/>
    </row>
    <row r="1373" spans="3:4" x14ac:dyDescent="0.3">
      <c r="C1373" s="56"/>
      <c r="D1373" s="56"/>
    </row>
    <row r="1374" spans="3:4" x14ac:dyDescent="0.3">
      <c r="C1374" s="56"/>
      <c r="D1374" s="56"/>
    </row>
    <row r="1375" spans="3:4" x14ac:dyDescent="0.3">
      <c r="C1375" s="56"/>
      <c r="D1375" s="56"/>
    </row>
    <row r="1376" spans="3:4" x14ac:dyDescent="0.3">
      <c r="C1376" s="56"/>
      <c r="D1376" s="56"/>
    </row>
    <row r="1377" spans="3:4" x14ac:dyDescent="0.3">
      <c r="C1377" s="56"/>
      <c r="D1377" s="56"/>
    </row>
    <row r="1378" spans="3:4" x14ac:dyDescent="0.3">
      <c r="C1378" s="56"/>
      <c r="D1378" s="56"/>
    </row>
    <row r="1379" spans="3:4" x14ac:dyDescent="0.3">
      <c r="C1379" s="56"/>
      <c r="D1379" s="56"/>
    </row>
    <row r="1380" spans="3:4" x14ac:dyDescent="0.3">
      <c r="C1380" s="56"/>
      <c r="D1380" s="56"/>
    </row>
    <row r="1381" spans="3:4" x14ac:dyDescent="0.3">
      <c r="C1381" s="56"/>
      <c r="D1381" s="56"/>
    </row>
    <row r="1382" spans="3:4" x14ac:dyDescent="0.3">
      <c r="C1382" s="56"/>
      <c r="D1382" s="56"/>
    </row>
    <row r="1383" spans="3:4" x14ac:dyDescent="0.3">
      <c r="C1383" s="56"/>
      <c r="D1383" s="56"/>
    </row>
    <row r="1384" spans="3:4" x14ac:dyDescent="0.3">
      <c r="C1384" s="56"/>
      <c r="D1384" s="56"/>
    </row>
    <row r="1385" spans="3:4" x14ac:dyDescent="0.3">
      <c r="C1385" s="56"/>
      <c r="D1385" s="56"/>
    </row>
    <row r="1386" spans="3:4" x14ac:dyDescent="0.3">
      <c r="C1386" s="56"/>
      <c r="D1386" s="56"/>
    </row>
    <row r="1387" spans="3:4" x14ac:dyDescent="0.3">
      <c r="C1387" s="56"/>
      <c r="D1387" s="56"/>
    </row>
    <row r="1388" spans="3:4" x14ac:dyDescent="0.3">
      <c r="C1388" s="56"/>
      <c r="D1388" s="56"/>
    </row>
    <row r="1389" spans="3:4" x14ac:dyDescent="0.3">
      <c r="C1389" s="56"/>
      <c r="D1389" s="56"/>
    </row>
    <row r="1390" spans="3:4" x14ac:dyDescent="0.3">
      <c r="C1390" s="56"/>
      <c r="D1390" s="56"/>
    </row>
    <row r="1391" spans="3:4" x14ac:dyDescent="0.3">
      <c r="C1391" s="56"/>
      <c r="D1391" s="56"/>
    </row>
    <row r="1392" spans="3:4" x14ac:dyDescent="0.3">
      <c r="C1392" s="56"/>
      <c r="D1392" s="56"/>
    </row>
    <row r="1393" spans="3:4" x14ac:dyDescent="0.3">
      <c r="C1393" s="56"/>
      <c r="D1393" s="56"/>
    </row>
    <row r="1394" spans="3:4" x14ac:dyDescent="0.3">
      <c r="C1394" s="56"/>
      <c r="D1394" s="56"/>
    </row>
    <row r="1395" spans="3:4" x14ac:dyDescent="0.3">
      <c r="C1395" s="56"/>
      <c r="D1395" s="56"/>
    </row>
    <row r="1396" spans="3:4" x14ac:dyDescent="0.3">
      <c r="C1396" s="56"/>
      <c r="D1396" s="56"/>
    </row>
    <row r="1397" spans="3:4" x14ac:dyDescent="0.3">
      <c r="C1397" s="56"/>
      <c r="D1397" s="56"/>
    </row>
    <row r="1398" spans="3:4" x14ac:dyDescent="0.3">
      <c r="C1398" s="56"/>
      <c r="D1398" s="56"/>
    </row>
    <row r="1399" spans="3:4" x14ac:dyDescent="0.3">
      <c r="C1399" s="56"/>
      <c r="D1399" s="56"/>
    </row>
    <row r="1400" spans="3:4" x14ac:dyDescent="0.3">
      <c r="C1400" s="56"/>
      <c r="D1400" s="56"/>
    </row>
    <row r="1401" spans="3:4" x14ac:dyDescent="0.3">
      <c r="C1401" s="56"/>
      <c r="D1401" s="56"/>
    </row>
    <row r="1402" spans="3:4" x14ac:dyDescent="0.3">
      <c r="C1402" s="56"/>
      <c r="D1402" s="56"/>
    </row>
    <row r="1403" spans="3:4" x14ac:dyDescent="0.3">
      <c r="C1403" s="56"/>
      <c r="D1403" s="56"/>
    </row>
    <row r="1404" spans="3:4" x14ac:dyDescent="0.3">
      <c r="C1404" s="56"/>
      <c r="D1404" s="56"/>
    </row>
    <row r="1405" spans="3:4" x14ac:dyDescent="0.3">
      <c r="C1405" s="56"/>
      <c r="D1405" s="56"/>
    </row>
    <row r="1406" spans="3:4" x14ac:dyDescent="0.3">
      <c r="C1406" s="56"/>
      <c r="D1406" s="56"/>
    </row>
    <row r="1407" spans="3:4" x14ac:dyDescent="0.3">
      <c r="C1407" s="56"/>
      <c r="D1407" s="56"/>
    </row>
    <row r="1408" spans="3:4" x14ac:dyDescent="0.3">
      <c r="C1408" s="56"/>
      <c r="D1408" s="56"/>
    </row>
    <row r="1409" spans="3:4" x14ac:dyDescent="0.3">
      <c r="C1409" s="56"/>
      <c r="D1409" s="56"/>
    </row>
    <row r="1410" spans="3:4" x14ac:dyDescent="0.3">
      <c r="C1410" s="56"/>
      <c r="D1410" s="56"/>
    </row>
    <row r="1411" spans="3:4" x14ac:dyDescent="0.3">
      <c r="C1411" s="56"/>
      <c r="D1411" s="56"/>
    </row>
    <row r="1412" spans="3:4" x14ac:dyDescent="0.3">
      <c r="C1412" s="56"/>
      <c r="D1412" s="56"/>
    </row>
    <row r="1413" spans="3:4" x14ac:dyDescent="0.3">
      <c r="C1413" s="56"/>
      <c r="D1413" s="56"/>
    </row>
    <row r="1414" spans="3:4" x14ac:dyDescent="0.3">
      <c r="C1414" s="56"/>
      <c r="D1414" s="56"/>
    </row>
    <row r="1415" spans="3:4" x14ac:dyDescent="0.3">
      <c r="C1415" s="56"/>
      <c r="D1415" s="56"/>
    </row>
    <row r="1416" spans="3:4" x14ac:dyDescent="0.3">
      <c r="C1416" s="56"/>
      <c r="D1416" s="56"/>
    </row>
    <row r="1417" spans="3:4" x14ac:dyDescent="0.3">
      <c r="C1417" s="56"/>
      <c r="D1417" s="56"/>
    </row>
    <row r="1418" spans="3:4" x14ac:dyDescent="0.3">
      <c r="C1418" s="56"/>
      <c r="D1418" s="56"/>
    </row>
    <row r="1419" spans="3:4" x14ac:dyDescent="0.3">
      <c r="C1419" s="56"/>
      <c r="D1419" s="56"/>
    </row>
    <row r="1420" spans="3:4" x14ac:dyDescent="0.3">
      <c r="C1420" s="56"/>
      <c r="D1420" s="56"/>
    </row>
    <row r="1421" spans="3:4" x14ac:dyDescent="0.3">
      <c r="C1421" s="56"/>
      <c r="D1421" s="56"/>
    </row>
    <row r="1422" spans="3:4" x14ac:dyDescent="0.3">
      <c r="C1422" s="56"/>
      <c r="D1422" s="56"/>
    </row>
    <row r="1423" spans="3:4" x14ac:dyDescent="0.3">
      <c r="C1423" s="56"/>
      <c r="D1423" s="56"/>
    </row>
    <row r="1424" spans="3:4" x14ac:dyDescent="0.3">
      <c r="C1424" s="56"/>
      <c r="D1424" s="56"/>
    </row>
    <row r="1425" spans="3:4" x14ac:dyDescent="0.3">
      <c r="C1425" s="56"/>
      <c r="D1425" s="56"/>
    </row>
    <row r="1426" spans="3:4" x14ac:dyDescent="0.3">
      <c r="C1426" s="56"/>
      <c r="D1426" s="56"/>
    </row>
    <row r="1427" spans="3:4" x14ac:dyDescent="0.3">
      <c r="C1427" s="56"/>
      <c r="D1427" s="56"/>
    </row>
    <row r="1428" spans="3:4" x14ac:dyDescent="0.3">
      <c r="C1428" s="56"/>
      <c r="D1428" s="56"/>
    </row>
    <row r="1429" spans="3:4" x14ac:dyDescent="0.3">
      <c r="C1429" s="56"/>
      <c r="D1429" s="56"/>
    </row>
    <row r="1430" spans="3:4" x14ac:dyDescent="0.3">
      <c r="C1430" s="56"/>
      <c r="D1430" s="56"/>
    </row>
    <row r="1431" spans="3:4" x14ac:dyDescent="0.3">
      <c r="C1431" s="56"/>
      <c r="D1431" s="56"/>
    </row>
    <row r="1432" spans="3:4" x14ac:dyDescent="0.3">
      <c r="C1432" s="56"/>
      <c r="D1432" s="56"/>
    </row>
    <row r="1433" spans="3:4" x14ac:dyDescent="0.3">
      <c r="C1433" s="56"/>
      <c r="D1433" s="56"/>
    </row>
    <row r="1434" spans="3:4" x14ac:dyDescent="0.3">
      <c r="C1434" s="56"/>
      <c r="D1434" s="56"/>
    </row>
    <row r="1435" spans="3:4" x14ac:dyDescent="0.3">
      <c r="C1435" s="56"/>
      <c r="D1435" s="56"/>
    </row>
    <row r="1436" spans="3:4" x14ac:dyDescent="0.3">
      <c r="C1436" s="56"/>
      <c r="D1436" s="56"/>
    </row>
    <row r="1437" spans="3:4" x14ac:dyDescent="0.3">
      <c r="C1437" s="56"/>
      <c r="D1437" s="56"/>
    </row>
    <row r="1438" spans="3:4" x14ac:dyDescent="0.3">
      <c r="C1438" s="56"/>
      <c r="D1438" s="56"/>
    </row>
    <row r="1439" spans="3:4" x14ac:dyDescent="0.3">
      <c r="C1439" s="56"/>
      <c r="D1439" s="56"/>
    </row>
    <row r="1440" spans="3:4" x14ac:dyDescent="0.3">
      <c r="C1440" s="56"/>
      <c r="D1440" s="56"/>
    </row>
    <row r="1441" spans="3:4" x14ac:dyDescent="0.3">
      <c r="C1441" s="56"/>
      <c r="D1441" s="56"/>
    </row>
    <row r="1442" spans="3:4" x14ac:dyDescent="0.3">
      <c r="C1442" s="56"/>
      <c r="D1442" s="56"/>
    </row>
    <row r="1443" spans="3:4" x14ac:dyDescent="0.3">
      <c r="C1443" s="56"/>
      <c r="D1443" s="56"/>
    </row>
    <row r="1444" spans="3:4" x14ac:dyDescent="0.3">
      <c r="C1444" s="56"/>
      <c r="D1444" s="56"/>
    </row>
    <row r="1445" spans="3:4" x14ac:dyDescent="0.3">
      <c r="C1445" s="56"/>
      <c r="D1445" s="56"/>
    </row>
    <row r="1446" spans="3:4" x14ac:dyDescent="0.3">
      <c r="C1446" s="56"/>
      <c r="D1446" s="56"/>
    </row>
    <row r="1447" spans="3:4" x14ac:dyDescent="0.3">
      <c r="C1447" s="56"/>
      <c r="D1447" s="56"/>
    </row>
    <row r="1448" spans="3:4" x14ac:dyDescent="0.3">
      <c r="C1448" s="56"/>
      <c r="D1448" s="56"/>
    </row>
    <row r="1449" spans="3:4" x14ac:dyDescent="0.3">
      <c r="C1449" s="56"/>
      <c r="D1449" s="56"/>
    </row>
    <row r="1450" spans="3:4" x14ac:dyDescent="0.3">
      <c r="C1450" s="56"/>
      <c r="D1450" s="56"/>
    </row>
    <row r="1451" spans="3:4" x14ac:dyDescent="0.3">
      <c r="C1451" s="56"/>
      <c r="D1451" s="56"/>
    </row>
    <row r="1452" spans="3:4" x14ac:dyDescent="0.3">
      <c r="C1452" s="56"/>
      <c r="D1452" s="56"/>
    </row>
    <row r="1453" spans="3:4" x14ac:dyDescent="0.3">
      <c r="C1453" s="56"/>
      <c r="D1453" s="56"/>
    </row>
    <row r="1454" spans="3:4" x14ac:dyDescent="0.3">
      <c r="C1454" s="56"/>
      <c r="D1454" s="56"/>
    </row>
    <row r="1455" spans="3:4" x14ac:dyDescent="0.3">
      <c r="C1455" s="56"/>
      <c r="D1455" s="56"/>
    </row>
    <row r="1456" spans="3:4" x14ac:dyDescent="0.3">
      <c r="C1456" s="56"/>
      <c r="D1456" s="56"/>
    </row>
    <row r="1457" spans="3:4" x14ac:dyDescent="0.3">
      <c r="C1457" s="56"/>
      <c r="D1457" s="56"/>
    </row>
    <row r="1458" spans="3:4" x14ac:dyDescent="0.3">
      <c r="C1458" s="56"/>
      <c r="D1458" s="56"/>
    </row>
    <row r="1459" spans="3:4" x14ac:dyDescent="0.3">
      <c r="C1459" s="56"/>
      <c r="D1459" s="56"/>
    </row>
    <row r="1460" spans="3:4" x14ac:dyDescent="0.3">
      <c r="C1460" s="56"/>
      <c r="D1460" s="56"/>
    </row>
    <row r="1461" spans="3:4" x14ac:dyDescent="0.3">
      <c r="C1461" s="56"/>
      <c r="D1461" s="56"/>
    </row>
    <row r="1462" spans="3:4" x14ac:dyDescent="0.3">
      <c r="C1462" s="56"/>
      <c r="D1462" s="56"/>
    </row>
    <row r="1463" spans="3:4" x14ac:dyDescent="0.3">
      <c r="C1463" s="56"/>
      <c r="D1463" s="56"/>
    </row>
    <row r="1464" spans="3:4" x14ac:dyDescent="0.3">
      <c r="C1464" s="56"/>
      <c r="D1464" s="56"/>
    </row>
    <row r="1465" spans="3:4" x14ac:dyDescent="0.3">
      <c r="C1465" s="56"/>
      <c r="D1465" s="56"/>
    </row>
    <row r="1466" spans="3:4" x14ac:dyDescent="0.3">
      <c r="C1466" s="56"/>
      <c r="D1466" s="56"/>
    </row>
    <row r="1467" spans="3:4" x14ac:dyDescent="0.3">
      <c r="C1467" s="56"/>
      <c r="D1467" s="56"/>
    </row>
    <row r="1468" spans="3:4" x14ac:dyDescent="0.3">
      <c r="C1468" s="56"/>
      <c r="D1468" s="56"/>
    </row>
    <row r="1469" spans="3:4" x14ac:dyDescent="0.3">
      <c r="C1469" s="56"/>
      <c r="D1469" s="56"/>
    </row>
    <row r="1470" spans="3:4" x14ac:dyDescent="0.3">
      <c r="C1470" s="56"/>
      <c r="D1470" s="56"/>
    </row>
    <row r="1471" spans="3:4" x14ac:dyDescent="0.3">
      <c r="C1471" s="56"/>
      <c r="D1471" s="56"/>
    </row>
    <row r="1472" spans="3:4" x14ac:dyDescent="0.3">
      <c r="C1472" s="56"/>
      <c r="D1472" s="56"/>
    </row>
    <row r="1473" spans="3:4" x14ac:dyDescent="0.3">
      <c r="C1473" s="56"/>
      <c r="D1473" s="56"/>
    </row>
    <row r="1474" spans="3:4" x14ac:dyDescent="0.3">
      <c r="C1474" s="56"/>
      <c r="D1474" s="56"/>
    </row>
    <row r="1475" spans="3:4" x14ac:dyDescent="0.3">
      <c r="C1475" s="56"/>
      <c r="D1475" s="56"/>
    </row>
    <row r="1476" spans="3:4" x14ac:dyDescent="0.3">
      <c r="C1476" s="56"/>
      <c r="D1476" s="56"/>
    </row>
    <row r="1477" spans="3:4" x14ac:dyDescent="0.3">
      <c r="C1477" s="56"/>
      <c r="D1477" s="56"/>
    </row>
    <row r="1478" spans="3:4" x14ac:dyDescent="0.3">
      <c r="C1478" s="56"/>
      <c r="D1478" s="56"/>
    </row>
    <row r="1479" spans="3:4" x14ac:dyDescent="0.3">
      <c r="C1479" s="56"/>
      <c r="D1479" s="56"/>
    </row>
    <row r="1480" spans="3:4" x14ac:dyDescent="0.3">
      <c r="C1480" s="56"/>
      <c r="D1480" s="56"/>
    </row>
    <row r="1481" spans="3:4" x14ac:dyDescent="0.3">
      <c r="C1481" s="56"/>
      <c r="D1481" s="56"/>
    </row>
    <row r="1482" spans="3:4" x14ac:dyDescent="0.3">
      <c r="C1482" s="56"/>
      <c r="D1482" s="56"/>
    </row>
    <row r="1483" spans="3:4" x14ac:dyDescent="0.3">
      <c r="C1483" s="56"/>
      <c r="D1483" s="56"/>
    </row>
    <row r="1484" spans="3:4" x14ac:dyDescent="0.3">
      <c r="C1484" s="56"/>
      <c r="D1484" s="56"/>
    </row>
    <row r="1485" spans="3:4" x14ac:dyDescent="0.3">
      <c r="C1485" s="56"/>
      <c r="D1485" s="56"/>
    </row>
    <row r="1486" spans="3:4" x14ac:dyDescent="0.3">
      <c r="C1486" s="56"/>
      <c r="D1486" s="56"/>
    </row>
    <row r="1487" spans="3:4" x14ac:dyDescent="0.3">
      <c r="C1487" s="56"/>
      <c r="D1487" s="56"/>
    </row>
    <row r="1488" spans="3:4" x14ac:dyDescent="0.3">
      <c r="C1488" s="56"/>
      <c r="D1488" s="56"/>
    </row>
    <row r="1489" spans="3:4" x14ac:dyDescent="0.3">
      <c r="C1489" s="56"/>
      <c r="D1489" s="56"/>
    </row>
    <row r="1490" spans="3:4" x14ac:dyDescent="0.3">
      <c r="C1490" s="56"/>
      <c r="D1490" s="56"/>
    </row>
    <row r="1491" spans="3:4" x14ac:dyDescent="0.3">
      <c r="C1491" s="56"/>
      <c r="D1491" s="56"/>
    </row>
    <row r="1492" spans="3:4" x14ac:dyDescent="0.3">
      <c r="C1492" s="56"/>
      <c r="D1492" s="56"/>
    </row>
    <row r="1493" spans="3:4" x14ac:dyDescent="0.3">
      <c r="C1493" s="56"/>
      <c r="D1493" s="56"/>
    </row>
    <row r="1494" spans="3:4" x14ac:dyDescent="0.3">
      <c r="C1494" s="56"/>
      <c r="D1494" s="56"/>
    </row>
    <row r="1495" spans="3:4" x14ac:dyDescent="0.3">
      <c r="C1495" s="56"/>
      <c r="D1495" s="56"/>
    </row>
    <row r="1496" spans="3:4" x14ac:dyDescent="0.3">
      <c r="C1496" s="56"/>
      <c r="D1496" s="56"/>
    </row>
    <row r="1497" spans="3:4" x14ac:dyDescent="0.3">
      <c r="C1497" s="56"/>
      <c r="D1497" s="56"/>
    </row>
    <row r="1498" spans="3:4" x14ac:dyDescent="0.3">
      <c r="C1498" s="56"/>
      <c r="D1498" s="56"/>
    </row>
    <row r="1499" spans="3:4" x14ac:dyDescent="0.3">
      <c r="C1499" s="56"/>
      <c r="D1499" s="56"/>
    </row>
    <row r="1500" spans="3:4" x14ac:dyDescent="0.3">
      <c r="C1500" s="56"/>
      <c r="D1500" s="56"/>
    </row>
    <row r="1501" spans="3:4" x14ac:dyDescent="0.3">
      <c r="C1501" s="56"/>
      <c r="D1501" s="56"/>
    </row>
    <row r="1502" spans="3:4" x14ac:dyDescent="0.3">
      <c r="C1502" s="56"/>
      <c r="D1502" s="56"/>
    </row>
    <row r="1503" spans="3:4" x14ac:dyDescent="0.3">
      <c r="C1503" s="56"/>
      <c r="D1503" s="56"/>
    </row>
    <row r="1504" spans="3:4" x14ac:dyDescent="0.3">
      <c r="C1504" s="56"/>
      <c r="D1504" s="56"/>
    </row>
    <row r="1505" spans="3:4" x14ac:dyDescent="0.3">
      <c r="C1505" s="56"/>
      <c r="D1505" s="56"/>
    </row>
    <row r="1506" spans="3:4" x14ac:dyDescent="0.3">
      <c r="C1506" s="56"/>
      <c r="D1506" s="56"/>
    </row>
    <row r="1507" spans="3:4" x14ac:dyDescent="0.3">
      <c r="C1507" s="56"/>
      <c r="D1507" s="56"/>
    </row>
    <row r="1508" spans="3:4" x14ac:dyDescent="0.3">
      <c r="C1508" s="56"/>
      <c r="D1508" s="56"/>
    </row>
    <row r="1509" spans="3:4" x14ac:dyDescent="0.3">
      <c r="C1509" s="56"/>
      <c r="D1509" s="56"/>
    </row>
    <row r="1510" spans="3:4" x14ac:dyDescent="0.3">
      <c r="C1510" s="56"/>
      <c r="D1510" s="56"/>
    </row>
    <row r="1511" spans="3:4" x14ac:dyDescent="0.3">
      <c r="C1511" s="56"/>
      <c r="D1511" s="56"/>
    </row>
    <row r="1512" spans="3:4" x14ac:dyDescent="0.3">
      <c r="C1512" s="56"/>
      <c r="D1512" s="56"/>
    </row>
    <row r="1513" spans="3:4" x14ac:dyDescent="0.3">
      <c r="C1513" s="56"/>
      <c r="D1513" s="56"/>
    </row>
    <row r="1514" spans="3:4" x14ac:dyDescent="0.3">
      <c r="C1514" s="56"/>
      <c r="D1514" s="56"/>
    </row>
    <row r="1515" spans="3:4" x14ac:dyDescent="0.3">
      <c r="C1515" s="56"/>
      <c r="D1515" s="56"/>
    </row>
    <row r="1516" spans="3:4" x14ac:dyDescent="0.3">
      <c r="C1516" s="56"/>
      <c r="D1516" s="56"/>
    </row>
    <row r="1517" spans="3:4" x14ac:dyDescent="0.3">
      <c r="C1517" s="56"/>
      <c r="D1517" s="56"/>
    </row>
    <row r="1518" spans="3:4" x14ac:dyDescent="0.3">
      <c r="C1518" s="56"/>
      <c r="D1518" s="56"/>
    </row>
    <row r="1519" spans="3:4" x14ac:dyDescent="0.3">
      <c r="C1519" s="56"/>
      <c r="D1519" s="56"/>
    </row>
    <row r="1520" spans="3:4" x14ac:dyDescent="0.3">
      <c r="C1520" s="56"/>
      <c r="D1520" s="56"/>
    </row>
    <row r="1521" spans="3:4" x14ac:dyDescent="0.3">
      <c r="C1521" s="56"/>
      <c r="D1521" s="56"/>
    </row>
    <row r="1522" spans="3:4" x14ac:dyDescent="0.3">
      <c r="C1522" s="56"/>
      <c r="D1522" s="56"/>
    </row>
    <row r="1523" spans="3:4" x14ac:dyDescent="0.3">
      <c r="C1523" s="56"/>
      <c r="D1523" s="56"/>
    </row>
    <row r="1524" spans="3:4" x14ac:dyDescent="0.3">
      <c r="C1524" s="56"/>
      <c r="D1524" s="56"/>
    </row>
    <row r="1525" spans="3:4" x14ac:dyDescent="0.3">
      <c r="C1525" s="56"/>
      <c r="D1525" s="56"/>
    </row>
    <row r="1526" spans="3:4" x14ac:dyDescent="0.3">
      <c r="C1526" s="56"/>
      <c r="D1526" s="56"/>
    </row>
    <row r="1527" spans="3:4" x14ac:dyDescent="0.3">
      <c r="C1527" s="56"/>
      <c r="D1527" s="56"/>
    </row>
    <row r="1528" spans="3:4" x14ac:dyDescent="0.3">
      <c r="C1528" s="56"/>
      <c r="D1528" s="56"/>
    </row>
    <row r="1529" spans="3:4" x14ac:dyDescent="0.3">
      <c r="C1529" s="56"/>
      <c r="D1529" s="56"/>
    </row>
    <row r="1530" spans="3:4" x14ac:dyDescent="0.3">
      <c r="C1530" s="56"/>
      <c r="D1530" s="56"/>
    </row>
    <row r="1531" spans="3:4" x14ac:dyDescent="0.3">
      <c r="C1531" s="56"/>
      <c r="D1531" s="56"/>
    </row>
    <row r="1532" spans="3:4" x14ac:dyDescent="0.3">
      <c r="C1532" s="56"/>
      <c r="D1532" s="56"/>
    </row>
    <row r="1533" spans="3:4" x14ac:dyDescent="0.3">
      <c r="C1533" s="56"/>
      <c r="D1533" s="56"/>
    </row>
    <row r="1534" spans="3:4" x14ac:dyDescent="0.3">
      <c r="C1534" s="56"/>
      <c r="D1534" s="56"/>
    </row>
    <row r="1535" spans="3:4" x14ac:dyDescent="0.3">
      <c r="C1535" s="56"/>
      <c r="D1535" s="56"/>
    </row>
    <row r="1536" spans="3:4" x14ac:dyDescent="0.3">
      <c r="C1536" s="56"/>
      <c r="D1536" s="56"/>
    </row>
    <row r="1537" spans="3:4" x14ac:dyDescent="0.3">
      <c r="C1537" s="56"/>
      <c r="D1537" s="56"/>
    </row>
    <row r="1538" spans="3:4" x14ac:dyDescent="0.3">
      <c r="C1538" s="56"/>
      <c r="D1538" s="56"/>
    </row>
    <row r="1539" spans="3:4" x14ac:dyDescent="0.3">
      <c r="C1539" s="56"/>
      <c r="D1539" s="56"/>
    </row>
    <row r="1540" spans="3:4" x14ac:dyDescent="0.3">
      <c r="C1540" s="56"/>
      <c r="D1540" s="56"/>
    </row>
    <row r="1541" spans="3:4" x14ac:dyDescent="0.3">
      <c r="C1541" s="56"/>
      <c r="D1541" s="56"/>
    </row>
    <row r="1542" spans="3:4" x14ac:dyDescent="0.3">
      <c r="C1542" s="56"/>
      <c r="D1542" s="56"/>
    </row>
    <row r="1543" spans="3:4" x14ac:dyDescent="0.3">
      <c r="C1543" s="56"/>
      <c r="D1543" s="56"/>
    </row>
    <row r="1544" spans="3:4" x14ac:dyDescent="0.3">
      <c r="C1544" s="56"/>
      <c r="D1544" s="56"/>
    </row>
    <row r="1545" spans="3:4" x14ac:dyDescent="0.3">
      <c r="C1545" s="56"/>
      <c r="D1545" s="56"/>
    </row>
    <row r="1546" spans="3:4" x14ac:dyDescent="0.3">
      <c r="C1546" s="56"/>
      <c r="D1546" s="56"/>
    </row>
    <row r="1547" spans="3:4" x14ac:dyDescent="0.3">
      <c r="C1547" s="56"/>
      <c r="D1547" s="56"/>
    </row>
    <row r="1548" spans="3:4" x14ac:dyDescent="0.3">
      <c r="C1548" s="56"/>
      <c r="D1548" s="56"/>
    </row>
    <row r="1549" spans="3:4" x14ac:dyDescent="0.3">
      <c r="C1549" s="56"/>
      <c r="D1549" s="56"/>
    </row>
    <row r="1550" spans="3:4" x14ac:dyDescent="0.3">
      <c r="C1550" s="56"/>
      <c r="D1550" s="56"/>
    </row>
    <row r="1551" spans="3:4" x14ac:dyDescent="0.3">
      <c r="C1551" s="56"/>
      <c r="D1551" s="56"/>
    </row>
    <row r="1552" spans="3:4" x14ac:dyDescent="0.3">
      <c r="C1552" s="56"/>
      <c r="D1552" s="56"/>
    </row>
    <row r="1553" spans="3:4" x14ac:dyDescent="0.3">
      <c r="C1553" s="56"/>
      <c r="D1553" s="56"/>
    </row>
    <row r="1554" spans="3:4" x14ac:dyDescent="0.3">
      <c r="C1554" s="56"/>
      <c r="D1554" s="56"/>
    </row>
    <row r="1555" spans="3:4" x14ac:dyDescent="0.3">
      <c r="C1555" s="56"/>
      <c r="D1555" s="56"/>
    </row>
    <row r="1556" spans="3:4" x14ac:dyDescent="0.3">
      <c r="C1556" s="56"/>
      <c r="D1556" s="56"/>
    </row>
    <row r="1557" spans="3:4" x14ac:dyDescent="0.3">
      <c r="C1557" s="56"/>
      <c r="D1557" s="56"/>
    </row>
    <row r="1558" spans="3:4" x14ac:dyDescent="0.3">
      <c r="C1558" s="56"/>
      <c r="D1558" s="56"/>
    </row>
    <row r="1559" spans="3:4" x14ac:dyDescent="0.3">
      <c r="C1559" s="56"/>
      <c r="D1559" s="56"/>
    </row>
    <row r="1560" spans="3:4" x14ac:dyDescent="0.3">
      <c r="C1560" s="56"/>
      <c r="D1560" s="56"/>
    </row>
    <row r="1561" spans="3:4" x14ac:dyDescent="0.3">
      <c r="C1561" s="56"/>
      <c r="D1561" s="56"/>
    </row>
    <row r="1562" spans="3:4" x14ac:dyDescent="0.3">
      <c r="C1562" s="56"/>
      <c r="D1562" s="56"/>
    </row>
    <row r="1563" spans="3:4" x14ac:dyDescent="0.3">
      <c r="C1563" s="56"/>
      <c r="D1563" s="56"/>
    </row>
    <row r="1564" spans="3:4" x14ac:dyDescent="0.3">
      <c r="C1564" s="56"/>
      <c r="D1564" s="56"/>
    </row>
    <row r="1565" spans="3:4" x14ac:dyDescent="0.3">
      <c r="C1565" s="56"/>
      <c r="D1565" s="56"/>
    </row>
    <row r="1566" spans="3:4" x14ac:dyDescent="0.3">
      <c r="C1566" s="56"/>
      <c r="D1566" s="56"/>
    </row>
    <row r="1567" spans="3:4" x14ac:dyDescent="0.3">
      <c r="C1567" s="56"/>
      <c r="D1567" s="56"/>
    </row>
    <row r="1568" spans="3:4" x14ac:dyDescent="0.3">
      <c r="C1568" s="56"/>
      <c r="D1568" s="56"/>
    </row>
    <row r="1569" spans="3:4" x14ac:dyDescent="0.3">
      <c r="C1569" s="56"/>
      <c r="D1569" s="56"/>
    </row>
    <row r="1570" spans="3:4" x14ac:dyDescent="0.3">
      <c r="C1570" s="56"/>
      <c r="D1570" s="56"/>
    </row>
    <row r="1571" spans="3:4" x14ac:dyDescent="0.3">
      <c r="C1571" s="56"/>
      <c r="D1571" s="56"/>
    </row>
    <row r="1572" spans="3:4" x14ac:dyDescent="0.3">
      <c r="C1572" s="56"/>
      <c r="D1572" s="56"/>
    </row>
    <row r="1573" spans="3:4" x14ac:dyDescent="0.3">
      <c r="C1573" s="56"/>
      <c r="D1573" s="56"/>
    </row>
    <row r="1574" spans="3:4" x14ac:dyDescent="0.3">
      <c r="C1574" s="56"/>
      <c r="D1574" s="56"/>
    </row>
    <row r="1575" spans="3:4" x14ac:dyDescent="0.3">
      <c r="C1575" s="56"/>
      <c r="D1575" s="56"/>
    </row>
    <row r="1576" spans="3:4" x14ac:dyDescent="0.3">
      <c r="C1576" s="56"/>
      <c r="D1576" s="56"/>
    </row>
    <row r="1577" spans="3:4" x14ac:dyDescent="0.3">
      <c r="C1577" s="56"/>
      <c r="D1577" s="56"/>
    </row>
    <row r="1578" spans="3:4" x14ac:dyDescent="0.3">
      <c r="C1578" s="56"/>
      <c r="D1578" s="56"/>
    </row>
    <row r="1579" spans="3:4" x14ac:dyDescent="0.3">
      <c r="C1579" s="56"/>
      <c r="D1579" s="56"/>
    </row>
    <row r="1580" spans="3:4" x14ac:dyDescent="0.3">
      <c r="C1580" s="56"/>
      <c r="D1580" s="56"/>
    </row>
    <row r="1581" spans="3:4" x14ac:dyDescent="0.3">
      <c r="C1581" s="56"/>
      <c r="D1581" s="56"/>
    </row>
    <row r="1582" spans="3:4" x14ac:dyDescent="0.3">
      <c r="C1582" s="56"/>
      <c r="D1582" s="56"/>
    </row>
    <row r="1583" spans="3:4" x14ac:dyDescent="0.3">
      <c r="C1583" s="56"/>
      <c r="D1583" s="56"/>
    </row>
    <row r="1584" spans="3:4" x14ac:dyDescent="0.3">
      <c r="C1584" s="56"/>
      <c r="D1584" s="56"/>
    </row>
    <row r="1585" spans="3:4" x14ac:dyDescent="0.3">
      <c r="C1585" s="56"/>
      <c r="D1585" s="56"/>
    </row>
    <row r="1586" spans="3:4" x14ac:dyDescent="0.3">
      <c r="C1586" s="56"/>
      <c r="D1586" s="56"/>
    </row>
    <row r="1587" spans="3:4" x14ac:dyDescent="0.3">
      <c r="C1587" s="56"/>
      <c r="D1587" s="56"/>
    </row>
    <row r="1588" spans="3:4" x14ac:dyDescent="0.3">
      <c r="C1588" s="56"/>
      <c r="D1588" s="56"/>
    </row>
    <row r="1589" spans="3:4" x14ac:dyDescent="0.3">
      <c r="C1589" s="56"/>
      <c r="D1589" s="56"/>
    </row>
    <row r="1590" spans="3:4" x14ac:dyDescent="0.3">
      <c r="C1590" s="56"/>
      <c r="D1590" s="56"/>
    </row>
    <row r="1591" spans="3:4" x14ac:dyDescent="0.3">
      <c r="C1591" s="56"/>
      <c r="D1591" s="56"/>
    </row>
    <row r="1592" spans="3:4" x14ac:dyDescent="0.3">
      <c r="C1592" s="56"/>
      <c r="D1592" s="56"/>
    </row>
    <row r="1593" spans="3:4" x14ac:dyDescent="0.3">
      <c r="C1593" s="56"/>
      <c r="D1593" s="56"/>
    </row>
    <row r="1594" spans="3:4" x14ac:dyDescent="0.3">
      <c r="C1594" s="56"/>
      <c r="D1594" s="56"/>
    </row>
    <row r="1595" spans="3:4" x14ac:dyDescent="0.3">
      <c r="C1595" s="56"/>
      <c r="D1595" s="56"/>
    </row>
    <row r="1596" spans="3:4" x14ac:dyDescent="0.3">
      <c r="C1596" s="56"/>
      <c r="D1596" s="56"/>
    </row>
    <row r="1597" spans="3:4" x14ac:dyDescent="0.3">
      <c r="C1597" s="56"/>
      <c r="D1597" s="56"/>
    </row>
    <row r="1598" spans="3:4" x14ac:dyDescent="0.3">
      <c r="C1598" s="56"/>
      <c r="D1598" s="56"/>
    </row>
    <row r="1599" spans="3:4" x14ac:dyDescent="0.3">
      <c r="C1599" s="56"/>
      <c r="D1599" s="56"/>
    </row>
    <row r="1600" spans="3:4" x14ac:dyDescent="0.3">
      <c r="C1600" s="56"/>
      <c r="D1600" s="56"/>
    </row>
    <row r="1601" spans="3:4" x14ac:dyDescent="0.3">
      <c r="C1601" s="56"/>
      <c r="D1601" s="56"/>
    </row>
    <row r="1602" spans="3:4" x14ac:dyDescent="0.3">
      <c r="C1602" s="56"/>
      <c r="D1602" s="56"/>
    </row>
    <row r="1603" spans="3:4" x14ac:dyDescent="0.3">
      <c r="C1603" s="56"/>
      <c r="D1603" s="56"/>
    </row>
    <row r="1604" spans="3:4" x14ac:dyDescent="0.3">
      <c r="C1604" s="56"/>
      <c r="D1604" s="56"/>
    </row>
    <row r="1605" spans="3:4" x14ac:dyDescent="0.3">
      <c r="C1605" s="56"/>
      <c r="D1605" s="56"/>
    </row>
    <row r="1606" spans="3:4" x14ac:dyDescent="0.3">
      <c r="C1606" s="56"/>
      <c r="D1606" s="56"/>
    </row>
    <row r="1607" spans="3:4" x14ac:dyDescent="0.3">
      <c r="C1607" s="56"/>
      <c r="D1607" s="56"/>
    </row>
    <row r="1608" spans="3:4" x14ac:dyDescent="0.3">
      <c r="C1608" s="56"/>
      <c r="D1608" s="56"/>
    </row>
    <row r="1609" spans="3:4" x14ac:dyDescent="0.3">
      <c r="C1609" s="56"/>
      <c r="D1609" s="56"/>
    </row>
    <row r="1610" spans="3:4" x14ac:dyDescent="0.3">
      <c r="C1610" s="56"/>
      <c r="D1610" s="56"/>
    </row>
    <row r="1611" spans="3:4" x14ac:dyDescent="0.3">
      <c r="C1611" s="56"/>
      <c r="D1611" s="56"/>
    </row>
    <row r="1612" spans="3:4" x14ac:dyDescent="0.3">
      <c r="C1612" s="56"/>
      <c r="D1612" s="56"/>
    </row>
    <row r="1613" spans="3:4" x14ac:dyDescent="0.3">
      <c r="C1613" s="56"/>
      <c r="D1613" s="56"/>
    </row>
    <row r="1614" spans="3:4" x14ac:dyDescent="0.3">
      <c r="C1614" s="56"/>
      <c r="D1614" s="56"/>
    </row>
    <row r="1615" spans="3:4" x14ac:dyDescent="0.3">
      <c r="C1615" s="56"/>
      <c r="D1615" s="56"/>
    </row>
    <row r="1616" spans="3:4" x14ac:dyDescent="0.3">
      <c r="C1616" s="56"/>
      <c r="D1616" s="56"/>
    </row>
    <row r="1617" spans="3:4" x14ac:dyDescent="0.3">
      <c r="C1617" s="56"/>
      <c r="D1617" s="56"/>
    </row>
    <row r="1618" spans="3:4" x14ac:dyDescent="0.3">
      <c r="C1618" s="56"/>
      <c r="D1618" s="56"/>
    </row>
    <row r="1619" spans="3:4" x14ac:dyDescent="0.3">
      <c r="C1619" s="56"/>
      <c r="D1619" s="56"/>
    </row>
    <row r="1620" spans="3:4" x14ac:dyDescent="0.3">
      <c r="C1620" s="56"/>
      <c r="D1620" s="56"/>
    </row>
    <row r="1621" spans="3:4" x14ac:dyDescent="0.3">
      <c r="C1621" s="56"/>
      <c r="D1621" s="56"/>
    </row>
    <row r="1622" spans="3:4" x14ac:dyDescent="0.3">
      <c r="C1622" s="56"/>
      <c r="D1622" s="56"/>
    </row>
    <row r="1623" spans="3:4" x14ac:dyDescent="0.3">
      <c r="C1623" s="56"/>
      <c r="D1623" s="56"/>
    </row>
    <row r="1624" spans="3:4" x14ac:dyDescent="0.3">
      <c r="C1624" s="56"/>
      <c r="D1624" s="56"/>
    </row>
    <row r="1625" spans="3:4" x14ac:dyDescent="0.3">
      <c r="C1625" s="56"/>
      <c r="D1625" s="56"/>
    </row>
    <row r="1626" spans="3:4" x14ac:dyDescent="0.3">
      <c r="C1626" s="56"/>
      <c r="D1626" s="56"/>
    </row>
    <row r="1627" spans="3:4" x14ac:dyDescent="0.3">
      <c r="C1627" s="56"/>
      <c r="D1627" s="56"/>
    </row>
    <row r="1628" spans="3:4" x14ac:dyDescent="0.3">
      <c r="C1628" s="56"/>
      <c r="D1628" s="56"/>
    </row>
  </sheetData>
  <autoFilter ref="A1:AA861" xr:uid="{6EEFBEEE-47BF-4792-9F2E-295321A7CECA}"/>
  <mergeCells count="1">
    <mergeCell ref="A858:M858"/>
  </mergeCells>
  <conditionalFormatting sqref="D912:G912">
    <cfRule type="cellIs" dxfId="0" priority="1" operator="lessThan">
      <formula>0</formula>
    </cfRule>
  </conditionalFormatting>
  <dataValidations count="1">
    <dataValidation type="list" allowBlank="1" showInputMessage="1" sqref="J354:J360" xr:uid="{AD17C485-3B75-49A0-8AAF-F1AB4A4F6CC4}">
      <formula1>kod_BZ</formula1>
    </dataValidation>
  </dataValidations>
  <pageMargins left="0.7" right="0.7" top="0.75" bottom="0.75" header="0.3" footer="0.3"/>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Arkusze</vt:lpstr>
      </vt:variant>
      <vt:variant>
        <vt:i4>9</vt:i4>
      </vt:variant>
      <vt:variant>
        <vt:lpstr>Nazwane zakresy</vt:lpstr>
      </vt:variant>
      <vt:variant>
        <vt:i4>5</vt:i4>
      </vt:variant>
    </vt:vector>
  </HeadingPairs>
  <TitlesOfParts>
    <vt:vector size="14" baseType="lpstr">
      <vt:lpstr>6060 pogrupowane na zadania</vt:lpstr>
      <vt:lpstr>dotacje majątkowe</vt:lpstr>
      <vt:lpstr>OPBW wynagr_JS</vt:lpstr>
      <vt:lpstr>Analiza 01.10.2024</vt:lpstr>
      <vt:lpstr>obligatoryjne</vt:lpstr>
      <vt:lpstr>wynagr. wynikajace z OSR</vt:lpstr>
      <vt:lpstr>planowanie na lata 2026-2029</vt:lpstr>
      <vt:lpstr>informacje szczegółowe</vt:lpstr>
      <vt:lpstr>podział limitów</vt:lpstr>
      <vt:lpstr>'informacje szczegółowe'!Obszar_wydruku</vt:lpstr>
      <vt:lpstr>'planowanie na lata 2026-2029'!Obszar_wydruku</vt:lpstr>
      <vt:lpstr>'wynagr. wynikajace z OSR'!Obszar_wydruku</vt:lpstr>
      <vt:lpstr>'planowanie na lata 2026-2029'!Tytuły_wydruku</vt:lpstr>
      <vt:lpstr>'wynagr. wynikajace z OSR'!Tytuły_wydruku</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Wójcik Aneta</dc:creator>
  <cp:lastModifiedBy>Fiszer Ewa</cp:lastModifiedBy>
  <cp:lastPrinted>2025-11-25T11:47:16Z</cp:lastPrinted>
  <dcterms:created xsi:type="dcterms:W3CDTF">2024-07-28T06:54:00Z</dcterms:created>
  <dcterms:modified xsi:type="dcterms:W3CDTF">2025-12-02T07:13:12Z</dcterms:modified>
</cp:coreProperties>
</file>